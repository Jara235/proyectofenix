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26" sheetId="1" r:id="rId4"/>
    <sheet state="visible" name="SEMANA 27" sheetId="2" r:id="rId5"/>
    <sheet state="visible" name="SEMANA 28" sheetId="3" r:id="rId6"/>
    <sheet state="visible" name="SEMANA 29" sheetId="4" r:id="rId7"/>
    <sheet state="visible" name="SEMANA 30" sheetId="5" r:id="rId8"/>
    <sheet state="visible" name="SEMANA 31" sheetId="6" r:id="rId9"/>
    <sheet state="visible" name="SEMANA 32" sheetId="7" r:id="rId10"/>
    <sheet state="visible" name="SEMANA 33" sheetId="8" r:id="rId11"/>
    <sheet state="visible" name="Hoja4" sheetId="9" r:id="rId12"/>
    <sheet state="visible" name="Hoja1" sheetId="10" r:id="rId13"/>
    <sheet state="visible" name="Hoja3" sheetId="11" r:id="rId14"/>
    <sheet state="visible" name="COPIA BASE" sheetId="12" r:id="rId15"/>
    <sheet state="visible" name="Estado de Cuenta" sheetId="13" r:id="rId16"/>
  </sheets>
  <definedNames/>
  <calcPr/>
  <extLst>
    <ext uri="GoogleSheetsCustomDataVersion2">
      <go:sheetsCustomData xmlns:go="http://customooxmlschemas.google.com/" r:id="rId17" roundtripDataChecksum="WlUn6T5KplVndWvQFfByr4jhaigPjQaYCF31J41PT3E="/>
    </ext>
  </extLst>
</workbook>
</file>

<file path=xl/sharedStrings.xml><?xml version="1.0" encoding="utf-8"?>
<sst xmlns="http://schemas.openxmlformats.org/spreadsheetml/2006/main" count="5040" uniqueCount="745">
  <si>
    <t xml:space="preserve"> </t>
  </si>
  <si>
    <t xml:space="preserve">GASOLINA - J.D.J. EQUIPO Y CONSTRUCCIONES S.A. DE C.V. </t>
  </si>
  <si>
    <t>RESONSABLE</t>
  </si>
  <si>
    <t>CENTRO DE TRABAJO</t>
  </si>
  <si>
    <t>UNIDAD / EQUIPO</t>
  </si>
  <si>
    <t>PLACAS</t>
  </si>
  <si>
    <t xml:space="preserve">IMPORTE SEMANAL AUTORIZADO </t>
  </si>
  <si>
    <t>REMANENTE</t>
  </si>
  <si>
    <t>CONSUMO SEMANAL</t>
  </si>
  <si>
    <t>LEVET</t>
  </si>
  <si>
    <t>MOBILE</t>
  </si>
  <si>
    <t xml:space="preserve">SI VALE </t>
  </si>
  <si>
    <t>SI VALE</t>
  </si>
  <si>
    <t xml:space="preserve">ING.ARMANDO  COLIN       </t>
  </si>
  <si>
    <t xml:space="preserve">BACHEO TOLUCA </t>
  </si>
  <si>
    <t>CHEVROLET S10</t>
  </si>
  <si>
    <t>PAT8298</t>
  </si>
  <si>
    <t xml:space="preserve">EQUIPO MENOR </t>
  </si>
  <si>
    <t>ING. ANTONIO IBAÑEZ</t>
  </si>
  <si>
    <t xml:space="preserve">MAQUINARIA </t>
  </si>
  <si>
    <t>RAM 1200</t>
  </si>
  <si>
    <t>LHB188D</t>
  </si>
  <si>
    <t>CONCILIACIÓN J.D.J.GASOLINA DEL 22 AL 26 DE JUNIO 2026</t>
  </si>
  <si>
    <t>CONCILIACIÓN J.D.J.GASOLINA SEMANA 28 (6 AL 12 JULIO 2026)</t>
  </si>
  <si>
    <t xml:space="preserve">PAGO SEMANA 26 LEVET </t>
  </si>
  <si>
    <t>GASOLINERA</t>
  </si>
  <si>
    <t>LITROS</t>
  </si>
  <si>
    <t xml:space="preserve">COSTO UNITARIO </t>
  </si>
  <si>
    <t xml:space="preserve">TOTAL </t>
  </si>
  <si>
    <t xml:space="preserve">CONSUMO </t>
  </si>
  <si>
    <t>ALBERTO HERNANDEZ DE JESUS</t>
  </si>
  <si>
    <t>DODGE RAM 700</t>
  </si>
  <si>
    <t>NXP9814</t>
  </si>
  <si>
    <t>NXP4918</t>
  </si>
  <si>
    <t>JDJ</t>
  </si>
  <si>
    <t>JUAN CARLOS NAZAR CHAVEZ</t>
  </si>
  <si>
    <t>PCW9238</t>
  </si>
  <si>
    <t>JUAN CARLOS NAZAR</t>
  </si>
  <si>
    <t>PCW9391</t>
  </si>
  <si>
    <t xml:space="preserve">EDGAR VELAZQUEZ ESQUIVEL </t>
  </si>
  <si>
    <t>JDJ SINDICATOS</t>
  </si>
  <si>
    <t xml:space="preserve">ROBERTO CARLOS GARCÍA </t>
  </si>
  <si>
    <t xml:space="preserve">H. COLEGIO MILITAR </t>
  </si>
  <si>
    <t>CHANGAN ALSVIN</t>
  </si>
  <si>
    <t>LMH893A</t>
  </si>
  <si>
    <t>OSCAR ESTRADA LINARES</t>
  </si>
  <si>
    <t>EXPLANADA DAMIAN CARMONA</t>
  </si>
  <si>
    <t>NISSAN NP-300</t>
  </si>
  <si>
    <t>MAH844C</t>
  </si>
  <si>
    <t>TRD</t>
  </si>
  <si>
    <t>DIEGO CARREOLA</t>
  </si>
  <si>
    <t>BACHEO TOLUCA Y C. VICENTE LOMBARDO</t>
  </si>
  <si>
    <t xml:space="preserve"> MITSUBISHI L1200</t>
  </si>
  <si>
    <t>NYZ829C</t>
  </si>
  <si>
    <t>BACHEO TOLUCA</t>
  </si>
  <si>
    <t>PAGO GASOLINA</t>
  </si>
  <si>
    <r>
      <rPr>
        <rFont val="Aptos Narrow"/>
        <b/>
        <color theme="1"/>
        <sz val="11.0"/>
      </rPr>
      <t>OBSERVACIONES</t>
    </r>
    <r>
      <rPr>
        <rFont val="Aptos Narrow"/>
        <color theme="1"/>
        <sz val="11.0"/>
      </rPr>
      <t xml:space="preserve">:  </t>
    </r>
  </si>
  <si>
    <t>TOMAS ARANDA PROSPERO</t>
  </si>
  <si>
    <t>DODGE RAM 4000 (3/2)</t>
  </si>
  <si>
    <t>LF05470</t>
  </si>
  <si>
    <t>A10424</t>
  </si>
  <si>
    <t>JAVIER PEREZ DÍAZ</t>
  </si>
  <si>
    <r>
      <rPr>
        <rFont val="Aptos Narrow"/>
        <b/>
        <color theme="1"/>
        <sz val="11.0"/>
      </rPr>
      <t>OBSERVACIONES</t>
    </r>
    <r>
      <rPr>
        <rFont val="Aptos Narrow"/>
        <color theme="1"/>
        <sz val="11.0"/>
      </rPr>
      <t xml:space="preserve">:  </t>
    </r>
  </si>
  <si>
    <t>OBRA MÉXICO TOLUCA</t>
  </si>
  <si>
    <t>A10515</t>
  </si>
  <si>
    <t>MITSUBISHI 1200</t>
  </si>
  <si>
    <t>MHL758A</t>
  </si>
  <si>
    <t>SEMANA 27 LEVET</t>
  </si>
  <si>
    <t xml:space="preserve">ALEXIS SAMUEL RENDON DOMINGUEZ </t>
  </si>
  <si>
    <t>TOYOTA HIACE (URBAN)</t>
  </si>
  <si>
    <t>PBT1230</t>
  </si>
  <si>
    <t>CRISTIAN REYES GAMORA</t>
  </si>
  <si>
    <t>LH49730</t>
  </si>
  <si>
    <t>1ER PAGO</t>
  </si>
  <si>
    <t>APOLINAR REYES BOLAINA</t>
  </si>
  <si>
    <t xml:space="preserve">LERMA TENANGO </t>
  </si>
  <si>
    <t>NYZ971C</t>
  </si>
  <si>
    <t xml:space="preserve">CORTADORA DE CONCRETO </t>
  </si>
  <si>
    <t>MOTOR AUXILIAR PETROLIZADORA</t>
  </si>
  <si>
    <t>1 AL 4 DE JULIO</t>
  </si>
  <si>
    <t>A10372</t>
  </si>
  <si>
    <t>MOTOR AUXILIAR PIPA DE AGUA</t>
  </si>
  <si>
    <t>LEONCIO MARTINEZ PASCACIO</t>
  </si>
  <si>
    <t>NYZ790C</t>
  </si>
  <si>
    <t>A10399</t>
  </si>
  <si>
    <t>A10278</t>
  </si>
  <si>
    <t>A10892</t>
  </si>
  <si>
    <t>A10329</t>
  </si>
  <si>
    <t>A10356</t>
  </si>
  <si>
    <t>CARMELO ALVAREZ ANICETO</t>
  </si>
  <si>
    <t>LH49746</t>
  </si>
  <si>
    <t>A10395</t>
  </si>
  <si>
    <t>SINDICATO</t>
  </si>
  <si>
    <t>DIEGO FERNANDEZ SANTIAGO</t>
  </si>
  <si>
    <t>PBT1229</t>
  </si>
  <si>
    <t>A10322</t>
  </si>
  <si>
    <t>DAMIAN ANTONIO PUINI</t>
  </si>
  <si>
    <t>A10450</t>
  </si>
  <si>
    <t>P. ASFALTO HUIXQUILUCAN</t>
  </si>
  <si>
    <t>FORD RANGER</t>
  </si>
  <si>
    <t>PCU7482</t>
  </si>
  <si>
    <t>A10343</t>
  </si>
  <si>
    <t>LUIS VALDEZ</t>
  </si>
  <si>
    <t>A10267</t>
  </si>
  <si>
    <t>CLEMENTE SANABRIA</t>
  </si>
  <si>
    <t xml:space="preserve">TRANSPORTES FLOTILLA </t>
  </si>
  <si>
    <t>LHB184D</t>
  </si>
  <si>
    <t>BRYAN GABRIEL CHAVEZ ALVAREZ</t>
  </si>
  <si>
    <t>A10337</t>
  </si>
  <si>
    <t>CHEVROLET TORNADO</t>
  </si>
  <si>
    <t>NUZ948C</t>
  </si>
  <si>
    <t>MOTORES LOWBOY</t>
  </si>
  <si>
    <t>A10911</t>
  </si>
  <si>
    <t>mobile</t>
  </si>
  <si>
    <t>ROBERTO ORTEGA</t>
  </si>
  <si>
    <t>MNX601B</t>
  </si>
  <si>
    <t>VICTOR</t>
  </si>
  <si>
    <t>A10427</t>
  </si>
  <si>
    <t>SAMUEL ORTEGA SILVA</t>
  </si>
  <si>
    <t>MITSUBISHI L200</t>
  </si>
  <si>
    <t>NZT266B</t>
  </si>
  <si>
    <t>A10910</t>
  </si>
  <si>
    <t>TOTALES</t>
  </si>
  <si>
    <t>A10407</t>
  </si>
  <si>
    <t>A23783097</t>
  </si>
  <si>
    <t>A10470</t>
  </si>
  <si>
    <t>A PAGAR REAL</t>
  </si>
  <si>
    <t>A10460</t>
  </si>
  <si>
    <t>A10906</t>
  </si>
  <si>
    <t>SIN SI VALE</t>
  </si>
  <si>
    <t>A10454</t>
  </si>
  <si>
    <t xml:space="preserve">TRITURADORA ROCA DURA SAN MIGUEL </t>
  </si>
  <si>
    <t>A10255(1000)</t>
  </si>
  <si>
    <t>A10336</t>
  </si>
  <si>
    <t>IMPORTE SEMANAL</t>
  </si>
  <si>
    <t>JOSÉ CABELLO /JACK</t>
  </si>
  <si>
    <t>ESTIMACIONES /PLANTA PEGASO</t>
  </si>
  <si>
    <t>LHB176D</t>
  </si>
  <si>
    <t>CARLOS REYES TRUJANO</t>
  </si>
  <si>
    <t>MINA TABERNILLAS</t>
  </si>
  <si>
    <t>TOYOTA TACOMA</t>
  </si>
  <si>
    <t>33K849</t>
  </si>
  <si>
    <t>VICTOR HUGO MARTINEZ VELAZQUEZ</t>
  </si>
  <si>
    <t xml:space="preserve">JALSICO </t>
  </si>
  <si>
    <t>LHB182D</t>
  </si>
  <si>
    <t>PAOLA JARAMILLO</t>
  </si>
  <si>
    <t>CORPORATIVO</t>
  </si>
  <si>
    <t xml:space="preserve">LAZARO PINAL RIOS </t>
  </si>
  <si>
    <t>MHL757A</t>
  </si>
  <si>
    <t>A10345</t>
  </si>
  <si>
    <t>A10369</t>
  </si>
  <si>
    <t>A10386</t>
  </si>
  <si>
    <t>A10394</t>
  </si>
  <si>
    <t>A10889 (NO EN CORREO)</t>
  </si>
  <si>
    <t>CONCILIACIÓN TRD GASOLINA DEL 22 AL 26 DE JUNIO 2026</t>
  </si>
  <si>
    <t>CRISTOBAL SILVA</t>
  </si>
  <si>
    <t>LKV206D</t>
  </si>
  <si>
    <t>ARMANDO COLIN MORENO</t>
  </si>
  <si>
    <t>CHEVORLET</t>
  </si>
  <si>
    <t>LKC794D</t>
  </si>
  <si>
    <t>A10434</t>
  </si>
  <si>
    <t>A10903</t>
  </si>
  <si>
    <t>A10451</t>
  </si>
  <si>
    <t>A23783099</t>
  </si>
  <si>
    <t>LKC789D</t>
  </si>
  <si>
    <t>ABNER OSORIO BARTOLO</t>
  </si>
  <si>
    <t>MINA ZUMPAHUACAN</t>
  </si>
  <si>
    <t>NYZ828C</t>
  </si>
  <si>
    <t>ISAAC GONZALEZ GONZALEZ</t>
  </si>
  <si>
    <t>NYZ839C</t>
  </si>
  <si>
    <t>JESUS MARIN GARCIA</t>
  </si>
  <si>
    <t>MINA CUAJOMAC</t>
  </si>
  <si>
    <t>PCU8771</t>
  </si>
  <si>
    <t>J.D.J. EQUIPO Y CONSTRUCCIONES S.A. DE C.V.  (OTROS / DIESEL) SUMINISTRO : LEVET</t>
  </si>
  <si>
    <t>A10268</t>
  </si>
  <si>
    <t>A10321</t>
  </si>
  <si>
    <t>A10344</t>
  </si>
  <si>
    <t xml:space="preserve"> GASOLINA - TRITURADORA ROCA DURA SAN MIGUEL </t>
  </si>
  <si>
    <t>ENRIQUE COLIN</t>
  </si>
  <si>
    <t xml:space="preserve">SINDICATO COSUM TOLUCA </t>
  </si>
  <si>
    <t>HG6103D</t>
  </si>
  <si>
    <t>A10905</t>
  </si>
  <si>
    <t>CONCILIACIÓN J.D.J.DIESEL DEL 22 AL 26 DE JUNIO 2026</t>
  </si>
  <si>
    <t>JORGE GARCIA</t>
  </si>
  <si>
    <t>MY7968B</t>
  </si>
  <si>
    <t>ARTURO HDZ</t>
  </si>
  <si>
    <t>LD57526</t>
  </si>
  <si>
    <t>SANTOS SOTERO</t>
  </si>
  <si>
    <t>NB1258D</t>
  </si>
  <si>
    <t>ALEJANDRO FLORES</t>
  </si>
  <si>
    <t>NR0950C</t>
  </si>
  <si>
    <t>JULIO CESAR</t>
  </si>
  <si>
    <t>LH16062</t>
  </si>
  <si>
    <t xml:space="preserve">DISEL - MOBILE HUIXQUILUCAN  J.D.J. EQUIPO Y CONSTRUCCIONES S.A. DE C.V.  </t>
  </si>
  <si>
    <t xml:space="preserve">CENTRO DE TRABAJO / FRENTE </t>
  </si>
  <si>
    <t>PRECIO</t>
  </si>
  <si>
    <t xml:space="preserve">LIRTROS TOTAL </t>
  </si>
  <si>
    <t xml:space="preserve">#FACTURA </t>
  </si>
  <si>
    <t xml:space="preserve">FRANCISCO JAVIER </t>
  </si>
  <si>
    <t>MÉXICO- TOLUCA</t>
  </si>
  <si>
    <t>A-10148</t>
  </si>
  <si>
    <t>A-10198</t>
  </si>
  <si>
    <t>A-10211</t>
  </si>
  <si>
    <t>A-10 226</t>
  </si>
  <si>
    <t>A10 270</t>
  </si>
  <si>
    <t>LUIS</t>
  </si>
  <si>
    <t>PLANTA DE ASFALTO HUIXQUILUCAN</t>
  </si>
  <si>
    <t>A10 216</t>
  </si>
  <si>
    <t>A10 271</t>
  </si>
  <si>
    <t>A10 246</t>
  </si>
  <si>
    <t>TOTAL</t>
  </si>
  <si>
    <t xml:space="preserve">DISEL SINDICATOS- LEVET J.D.J. EQUIPO Y CONSTRUCCIONES S.A. DE C.V.  </t>
  </si>
  <si>
    <t>DAYAN</t>
  </si>
  <si>
    <t xml:space="preserve">TANQUE MAQUINARIA </t>
  </si>
  <si>
    <t xml:space="preserve">DISEL - LEVET J.D.J. EQUIPO Y CONSTRUCCIONES S.A. DE C.V.  </t>
  </si>
  <si>
    <t>CONCILIACIÓN J.D.J.DIESEL DEL 29 DE JUNIO  AL 04  DE JULIO 2026</t>
  </si>
  <si>
    <t xml:space="preserve">J.D.J. EQUIPO Y CONSTRUCCIONES S.A. DE C.V. </t>
  </si>
  <si>
    <t>OPERADOR</t>
  </si>
  <si>
    <t xml:space="preserve">DISEL SEMANA 29 - MOBILE HUIXQUILUCAN  J.D.J. EQUIPO Y CONSTRUCCIONES S.A. DE C.V.  </t>
  </si>
  <si>
    <t>LITROS DIARIO</t>
  </si>
  <si>
    <t>OBRA</t>
  </si>
  <si>
    <t xml:space="preserve">LITROS TOTAL </t>
  </si>
  <si>
    <t xml:space="preserve">PRECIO UNITARIO </t>
  </si>
  <si>
    <t>MOBIL</t>
  </si>
  <si>
    <t>LITROS TOTAL</t>
  </si>
  <si>
    <t>MEXICO TOLUCA</t>
  </si>
  <si>
    <t>MÉXICO TOLUCA</t>
  </si>
  <si>
    <t>A10509</t>
  </si>
  <si>
    <t>A10459</t>
  </si>
  <si>
    <t>A10367</t>
  </si>
  <si>
    <t>FRANCISCO JAVIER</t>
  </si>
  <si>
    <t xml:space="preserve">MÉXICO TOLUCA </t>
  </si>
  <si>
    <t>A10389</t>
  </si>
  <si>
    <t>PAVIMENTADORA VOGELE 1800-3 I</t>
  </si>
  <si>
    <t>A10398</t>
  </si>
  <si>
    <t>LERMA</t>
  </si>
  <si>
    <t>A10426</t>
  </si>
  <si>
    <t>A10457</t>
  </si>
  <si>
    <t>A10381 Y A10388</t>
  </si>
  <si>
    <t>A10894</t>
  </si>
  <si>
    <t>NEUMATICO VOLVO PT-240R</t>
  </si>
  <si>
    <t>PLANTA PEGASO</t>
  </si>
  <si>
    <t>A10361 y A10365</t>
  </si>
  <si>
    <t>DOBLE RODILLO/VIBROCOMPACTADOR DE RODILLOS HAMM 120HD VV</t>
  </si>
  <si>
    <t>A10495</t>
  </si>
  <si>
    <t>A10380</t>
  </si>
  <si>
    <t>A10438</t>
  </si>
  <si>
    <t>A10405 + A10406</t>
  </si>
  <si>
    <t>A10449</t>
  </si>
  <si>
    <t>A10888</t>
  </si>
  <si>
    <t>A10899</t>
  </si>
  <si>
    <t>A23783100</t>
  </si>
  <si>
    <t>RETROEXCAVADORA JHONDEREE 310 K</t>
  </si>
  <si>
    <t>BACHEO</t>
  </si>
  <si>
    <t>A10366</t>
  </si>
  <si>
    <t>A10387</t>
  </si>
  <si>
    <t>PERFILADORA RODATEC RX600-4-4008</t>
  </si>
  <si>
    <t>PROVIDENCIA</t>
  </si>
  <si>
    <t>A10513</t>
  </si>
  <si>
    <t>A10447</t>
  </si>
  <si>
    <t>PERFILADORA RODATEC RX600E</t>
  </si>
  <si>
    <t>A10362</t>
  </si>
  <si>
    <t>A10887</t>
  </si>
  <si>
    <t>A10253</t>
  </si>
  <si>
    <t>VICENTE</t>
  </si>
  <si>
    <t>A10422</t>
  </si>
  <si>
    <t>A10499</t>
  </si>
  <si>
    <t>A10298</t>
  </si>
  <si>
    <t>BARREDORA BROCE RJ350</t>
  </si>
  <si>
    <t>A10900 (SE REPITE)</t>
  </si>
  <si>
    <t>A10319</t>
  </si>
  <si>
    <t>A10335</t>
  </si>
  <si>
    <t>A10351</t>
  </si>
  <si>
    <t xml:space="preserve">PLANTA HUIXQUI </t>
  </si>
  <si>
    <t>TANDEM DOBLE RODILLO / VIBROCOMPACTOR RODILLO CAT CB54</t>
  </si>
  <si>
    <t>A10514</t>
  </si>
  <si>
    <t>A10368</t>
  </si>
  <si>
    <t>A10884</t>
  </si>
  <si>
    <t>A10408</t>
  </si>
  <si>
    <t>A10904</t>
  </si>
  <si>
    <t>A10912</t>
  </si>
  <si>
    <t>Desasolve</t>
  </si>
  <si>
    <t>A10286</t>
  </si>
  <si>
    <t>A10423</t>
  </si>
  <si>
    <t>A10320</t>
  </si>
  <si>
    <t>A10331</t>
  </si>
  <si>
    <t>PETROLIZADORA    INTERNATIONAL</t>
  </si>
  <si>
    <t>A10500</t>
  </si>
  <si>
    <t>A10409</t>
  </si>
  <si>
    <t>A10453</t>
  </si>
  <si>
    <t>A10900</t>
  </si>
  <si>
    <t>A10458</t>
  </si>
  <si>
    <t>A10339</t>
  </si>
  <si>
    <t>NEUMATICO / COMPACTADOR DE NEUMATICOS DINAPAC CP271</t>
  </si>
  <si>
    <t>A10352</t>
  </si>
  <si>
    <t>Maquinaria pegaso</t>
  </si>
  <si>
    <t>A10323</t>
  </si>
  <si>
    <t>A10886</t>
  </si>
  <si>
    <t>A10332</t>
  </si>
  <si>
    <t>Colegio Militar</t>
  </si>
  <si>
    <t>Alfredo del mazo</t>
  </si>
  <si>
    <t>A10496</t>
  </si>
  <si>
    <t>A10893</t>
  </si>
  <si>
    <t>A10338</t>
  </si>
  <si>
    <t>A10425</t>
  </si>
  <si>
    <t>A10512</t>
  </si>
  <si>
    <t>A10446</t>
  </si>
  <si>
    <t>A10474</t>
  </si>
  <si>
    <t>A10350</t>
  </si>
  <si>
    <t>A10254</t>
  </si>
  <si>
    <t>A10307</t>
  </si>
  <si>
    <t>A10324 Y A23783095</t>
  </si>
  <si>
    <t>A10333</t>
  </si>
  <si>
    <t>A10349</t>
  </si>
  <si>
    <t xml:space="preserve">PAGO SEGÚN FACTURA </t>
  </si>
  <si>
    <t xml:space="preserve">PLANTA DE ASFALTO </t>
  </si>
  <si>
    <t>PAGO LEVET SEMANA 28 (DEL 6 AL 12 DE JULIO 2026)</t>
  </si>
  <si>
    <t>CONCEPTO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</si>
  <si>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</t>
    </r>
    <r>
      <rPr>
        <rFont val="Arial"/>
        <b/>
        <color theme="1"/>
        <sz val="12.0"/>
      </rPr>
      <t>28</t>
    </r>
  </si>
  <si>
    <t xml:space="preserve">RELACIÓN DE FACTURAS GASOLINA SEMANA 29 MOBILE HUIXQUILUCAN </t>
  </si>
  <si>
    <t>PAGO LEVET (JUNIO 26-1/2 (27))</t>
  </si>
  <si>
    <t>SEMANA 28 PAGO</t>
  </si>
  <si>
    <t>MONTO</t>
  </si>
  <si>
    <t>FACTURA RELACIONADA</t>
  </si>
  <si>
    <t>PRE PAGADO (SEMANA 27)</t>
  </si>
  <si>
    <t>RESTA</t>
  </si>
  <si>
    <t xml:space="preserve">A PAGAR </t>
  </si>
  <si>
    <t>CONSUMO DE SINDICATO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</si>
  <si>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</t>
    </r>
    <r>
      <rPr>
        <rFont val="Arial"/>
        <b/>
        <color theme="1"/>
        <sz val="12.0"/>
      </rPr>
      <t>26</t>
    </r>
  </si>
  <si>
    <t>4025/4LV</t>
  </si>
  <si>
    <t xml:space="preserve">1 FACTURA </t>
  </si>
  <si>
    <t>PAGO LEVET SEMANA 27</t>
  </si>
  <si>
    <t>FACTURA</t>
  </si>
  <si>
    <t>(-) COSTO DISEL SINDICATO</t>
  </si>
  <si>
    <t xml:space="preserve">EFECTIVO </t>
  </si>
  <si>
    <r>
      <rPr>
        <rFont val="Arial"/>
        <color theme="1"/>
        <sz val="12.0"/>
      </rPr>
      <t xml:space="preserve">CONSUMO GASOLINA SEMANA </t>
    </r>
    <r>
      <rPr>
        <rFont val="Arial"/>
        <b/>
        <color theme="1"/>
        <sz val="12.0"/>
      </rPr>
      <t>26</t>
    </r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</si>
  <si>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</t>
    </r>
    <r>
      <rPr>
        <rFont val="Arial"/>
        <b/>
        <color theme="1"/>
        <sz val="12.0"/>
      </rPr>
      <t xml:space="preserve">27 </t>
    </r>
  </si>
  <si>
    <t>TOTAL  CONSUMO SEMANA 28</t>
  </si>
  <si>
    <r>
      <rPr>
        <rFont val="Arial"/>
        <color theme="1"/>
        <sz val="12.0"/>
      </rPr>
      <t xml:space="preserve">CONSUMO AL 30 DE JUNIO (SEMANA </t>
    </r>
    <r>
      <rPr>
        <rFont val="Arial"/>
        <b/>
        <color theme="1"/>
        <sz val="12.0"/>
      </rPr>
      <t>27</t>
    </r>
    <r>
      <rPr>
        <rFont val="Arial"/>
        <color theme="1"/>
        <sz val="12.0"/>
      </rPr>
      <t>)</t>
    </r>
  </si>
  <si>
    <t>AJUSTE</t>
  </si>
  <si>
    <t xml:space="preserve">FACTURADO </t>
  </si>
  <si>
    <t>SE RECONOCE CARGA CARLOS  $1995.39 Y ARMANDO $600</t>
  </si>
  <si>
    <t>CONSUMO DEL 29 Y 30 DE JUNIO (YA SE PAGO)</t>
  </si>
  <si>
    <t>SEMANA 27 GASOLINERAS</t>
  </si>
  <si>
    <t>MOBILE HUIXQUI</t>
  </si>
  <si>
    <t>GASOLINA</t>
  </si>
  <si>
    <t>PAGO MOBILE SEMANA 26</t>
  </si>
  <si>
    <t xml:space="preserve">CONCEPTO </t>
  </si>
  <si>
    <t>CONSUMO DEL 1 AL 4 DE JULIO</t>
  </si>
  <si>
    <t xml:space="preserve">FACTURAS RELACIONADAS </t>
  </si>
  <si>
    <t>DIESEL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</si>
  <si>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</t>
    </r>
    <r>
      <rPr>
        <rFont val="Arial"/>
        <b/>
        <color theme="1"/>
        <sz val="12.0"/>
      </rPr>
      <t>26</t>
    </r>
  </si>
  <si>
    <t>($15,193.26 - $1995.39 TICKET NO RECONOCIDO)</t>
  </si>
  <si>
    <r>
      <rPr>
        <rFont val="Aptos Narrow"/>
        <color theme="1"/>
        <sz val="11.0"/>
      </rPr>
      <t>A-10167, A10168, A-10166, A-10213, A-10214,</t>
    </r>
    <r>
      <rPr>
        <rFont val="Aptos Narrow"/>
        <color rgb="FFFF0000"/>
        <sz val="11.0"/>
      </rPr>
      <t xml:space="preserve"> A-10255</t>
    </r>
    <r>
      <rPr>
        <rFont val="Aptos Narrow"/>
        <color theme="1"/>
        <sz val="11.0"/>
      </rPr>
      <t>, A-10217, A-10265, A-10266, A-10272, A-10274, A-10273</t>
    </r>
  </si>
  <si>
    <t>TOTAL  CONSUMO SEMANA 27</t>
  </si>
  <si>
    <t xml:space="preserve">12 FACTURAS </t>
  </si>
  <si>
    <t xml:space="preserve">TRANSFERENCIA </t>
  </si>
  <si>
    <t>PAGO LEVET SEMANA 29 (DEL 13 AL 19 DE JULIO 2026)</t>
  </si>
  <si>
    <r>
      <rPr>
        <rFont val="Arial"/>
        <color theme="1"/>
        <sz val="12.0"/>
      </rPr>
      <t xml:space="preserve">CONSUMO TOTAL DISEL SEMANA </t>
    </r>
    <r>
      <rPr>
        <rFont val="Arial"/>
        <b/>
        <color theme="1"/>
        <sz val="12.0"/>
      </rPr>
      <t>26</t>
    </r>
  </si>
  <si>
    <t>PAGO MOBILE SEMANA 28 (DEL 6 AL 12 DE JULIO 2026)</t>
  </si>
  <si>
    <t>A-10148 , A-10 226, A-10198, A-10211, A10 216, A10 246, A10 271, A10 270</t>
  </si>
  <si>
    <t xml:space="preserve">8 FACTURAS </t>
  </si>
  <si>
    <t>FACTURAS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</si>
  <si>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</t>
    </r>
    <r>
      <rPr>
        <rFont val="Arial"/>
        <b/>
        <color theme="1"/>
        <sz val="12.0"/>
      </rPr>
      <t>29</t>
    </r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</si>
  <si>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28</t>
    </r>
  </si>
  <si>
    <t>A10372, A10369, A10386, A10399, A10395, A10407, A10394, A10889, A10892, A10903, A10911, A10910, A10906, A10905</t>
  </si>
  <si>
    <t>14 FACTURAS</t>
  </si>
  <si>
    <t>CONSUMO TOTAL DISEL SEMANA 28</t>
  </si>
  <si>
    <t>SEMANA 29 PAGO GASOLINERAS</t>
  </si>
  <si>
    <t>PAGO MOBILE SEMANA 27</t>
  </si>
  <si>
    <t>A10367, A10361 , A10365, A10366, A10362, A10368, A10389, A10381,  A10388, A10380, A10387, A10884, A10398, A10405 , A10406, A10408, A10409, A10888, A10887, A10886, A10894, A10899, A10900, A10893, A10904, A10912</t>
  </si>
  <si>
    <t>26 FACTURAS</t>
  </si>
  <si>
    <t>TOTAL NETO</t>
  </si>
  <si>
    <t>SE PAGO</t>
  </si>
  <si>
    <t xml:space="preserve">A FAVOR 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</si>
  <si>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27</t>
    </r>
  </si>
  <si>
    <t>SALDO A FAVOR</t>
  </si>
  <si>
    <t>A10372,A10394,A10395,A10399,A10892,A10903,A10905,A10906,A10910,A10911,A10369($896.25)</t>
  </si>
  <si>
    <r>
      <rPr>
        <rFont val="Arial"/>
        <color theme="1"/>
        <sz val="11.0"/>
      </rPr>
      <t xml:space="preserve">A10278, A10267,, A10268, A,10329, A10322, A10321, A10344, A10343, A10337, A10345, A10356, </t>
    </r>
    <r>
      <rPr>
        <rFont val="Arial"/>
        <color rgb="FF3A7D22"/>
        <sz val="11.0"/>
      </rPr>
      <t>A10336</t>
    </r>
  </si>
  <si>
    <t>LA A10336 SE COMPARTE CON DIESEL</t>
  </si>
  <si>
    <t>a10052</t>
  </si>
  <si>
    <t>CONSUMO TOTAL DISEL SEMANA 27</t>
  </si>
  <si>
    <t>TOTAL A PAGAR GASOLINA</t>
  </si>
  <si>
    <r>
      <rPr>
        <rFont val="Arial"/>
        <color theme="1"/>
        <sz val="11.0"/>
      </rPr>
      <t xml:space="preserve">A10253, A10254, A10298, A10286, A23783095, A10319, A10320, A10323, A10335, A10331, A10332, A10333, A10339, A10338, A10350, </t>
    </r>
    <r>
      <rPr>
        <rFont val="Arial"/>
        <color rgb="FF3A7D22"/>
        <sz val="11.0"/>
      </rPr>
      <t>A10336</t>
    </r>
    <r>
      <rPr>
        <rFont val="Arial"/>
        <color theme="1"/>
        <sz val="11.0"/>
      </rPr>
      <t>, A10351, A10352, A10349</t>
    </r>
  </si>
  <si>
    <t>19 FACTURAS</t>
  </si>
  <si>
    <t>A10369($303.75), A10386, A10407, A10889,</t>
  </si>
  <si>
    <t>PAGO MOBILE SEMANA 29</t>
  </si>
  <si>
    <t>TOTAL A PAGAR DISEL</t>
  </si>
  <si>
    <t>A10367, A10361 , A10365, A10366, A10362, A10368, A10381,  A10388, A10380, A10387, A10884, A10398, A10405 , A10406, A10408, A10409, A10888, A10887, A10886, A10894, A10899, A10900, A10893, A10904, A10912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</si>
  <si>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</t>
    </r>
    <r>
      <rPr>
        <rFont val="Arial"/>
        <b/>
        <color theme="1"/>
        <sz val="12.0"/>
      </rPr>
      <t>GASOLINA</t>
    </r>
    <r>
      <rPr>
        <rFont val="Arial"/>
        <color theme="1"/>
        <sz val="12.0"/>
      </rPr>
      <t xml:space="preserve"> SEMANA 29</t>
    </r>
  </si>
  <si>
    <t>A10424, A10427, A23783097, A10434, A10515, A10451, A10450, A10454, A23783099, A10470, A10460</t>
  </si>
  <si>
    <r>
      <rPr>
        <rFont val="Arial"/>
        <color theme="1"/>
        <sz val="12.0"/>
      </rPr>
      <t xml:space="preserve">CONSUMO TOTAL </t>
    </r>
    <r>
      <rPr>
        <rFont val="Arial"/>
        <b/>
        <color theme="1"/>
        <sz val="12.0"/>
      </rPr>
      <t>DIESEL</t>
    </r>
    <r>
      <rPr>
        <rFont val="Arial"/>
        <color theme="1"/>
        <sz val="12.0"/>
      </rPr>
      <t xml:space="preserve"> SEMANA 29</t>
    </r>
  </si>
  <si>
    <t>A10426, A10422, A10423, A10425, A10495, A10499, A10500, A10496, A10509, A10438, A10513, A10514, A10512, A10449, A10447, A10453, A10446, A10459, A10457, A23783100, A10458, A10474</t>
  </si>
  <si>
    <t xml:space="preserve">  SEMANA 27</t>
  </si>
  <si>
    <t>DIESEL DAYAN SEMANA 27</t>
  </si>
  <si>
    <t>CONSUMO EXCEDIDO DE GASOLINA SEMANA 29</t>
  </si>
  <si>
    <t>LUNES 29</t>
  </si>
  <si>
    <t>MARTES 30</t>
  </si>
  <si>
    <t>MIERCOLES 1</t>
  </si>
  <si>
    <t>JUEVES 2</t>
  </si>
  <si>
    <t>VIERNES 3</t>
  </si>
  <si>
    <t>SÁBADO 4</t>
  </si>
  <si>
    <t>RESPONSABLE</t>
  </si>
  <si>
    <t>UNIDAD</t>
  </si>
  <si>
    <t>PLACA</t>
  </si>
  <si>
    <t xml:space="preserve">AUTORIZADO </t>
  </si>
  <si>
    <t>CONSUMO EXTRA</t>
  </si>
  <si>
    <t>GASOLINA SEMANA 28</t>
  </si>
  <si>
    <t>MT</t>
  </si>
  <si>
    <t>A10372, A10369, A10386, A10399, A10395, A10407, A10394, A10892, A10903</t>
  </si>
  <si>
    <t>CONSUMO REAL DIESEL SEMANA  29</t>
  </si>
  <si>
    <t>CONSUMO SEMANA 29</t>
  </si>
  <si>
    <t>A2378095</t>
  </si>
  <si>
    <t>AUTORIZADO DIARIO</t>
  </si>
  <si>
    <t>SEMANAL (7 DÍAS)</t>
  </si>
  <si>
    <t>CONSUMO POR OBRA</t>
  </si>
  <si>
    <t>CONSUMO  POR INGENIERO</t>
  </si>
  <si>
    <t>REMANENTE POR INGENIERO</t>
  </si>
  <si>
    <t>CONSUMO POR INGENIERO</t>
  </si>
  <si>
    <t>APOLINAR</t>
  </si>
  <si>
    <t>LERMA 3 MARIAS</t>
  </si>
  <si>
    <t>Alfredo del Mazo</t>
  </si>
  <si>
    <t xml:space="preserve">COLEGIO MILITAR </t>
  </si>
  <si>
    <t>CONSUMO EXCEDIDO DE GASOLINA SEMANA 28</t>
  </si>
  <si>
    <t>ALFREDO DEL MAZO</t>
  </si>
  <si>
    <t>Lerma - Tres Marías</t>
  </si>
  <si>
    <t xml:space="preserve">TOLUCA MÉXICO </t>
  </si>
  <si>
    <t>DAYANNE</t>
  </si>
  <si>
    <t>SIN CONSUMOS</t>
  </si>
  <si>
    <t>Bacheo Toluca</t>
  </si>
  <si>
    <t>GASOLINA POR FRENTE  SEMANA 27</t>
  </si>
  <si>
    <t>MAQUINARIA</t>
  </si>
  <si>
    <t>DESASOLVE</t>
  </si>
  <si>
    <t>Vicente Lombardo</t>
  </si>
  <si>
    <t>Bacheo</t>
  </si>
  <si>
    <t>VECENTE L</t>
  </si>
  <si>
    <t>EDGAR</t>
  </si>
  <si>
    <t>México Toluca</t>
  </si>
  <si>
    <t>PLANTA HUIXQUILUCAN</t>
  </si>
  <si>
    <t>Lerma Tenango</t>
  </si>
  <si>
    <t>P. A. HUIXQUI</t>
  </si>
  <si>
    <t>JACK</t>
  </si>
  <si>
    <t xml:space="preserve">PLANTA PEGASO </t>
  </si>
  <si>
    <t>CONSUMO TAG SEMANA 28</t>
  </si>
  <si>
    <t>México - Toluca</t>
  </si>
  <si>
    <t xml:space="preserve">RESPONSABLE </t>
  </si>
  <si>
    <t>CONSUMO</t>
  </si>
  <si>
    <t>Transportes</t>
  </si>
  <si>
    <t>EXCEDENTE</t>
  </si>
  <si>
    <t>SAMUEL</t>
  </si>
  <si>
    <t>Planta Pegaso</t>
  </si>
  <si>
    <t>DRAGONES</t>
  </si>
  <si>
    <t>Planta Huixquilucan</t>
  </si>
  <si>
    <t>3 1/2 DIESEL</t>
  </si>
  <si>
    <t>Providencia</t>
  </si>
  <si>
    <t>CAM 3 1/2 CARMELO</t>
  </si>
  <si>
    <t>TOTALES:</t>
  </si>
  <si>
    <t>CARLOS NAZAR</t>
  </si>
  <si>
    <t>JAVIER PEREZ</t>
  </si>
  <si>
    <t>LEONCIO</t>
  </si>
  <si>
    <t>PETROLIZADORA</t>
  </si>
  <si>
    <t>PIPA ROJA</t>
  </si>
  <si>
    <t>TOYOTA HIACE</t>
  </si>
  <si>
    <t>URBAN PERSONAL</t>
  </si>
  <si>
    <t>UT 10 COMPRAS</t>
  </si>
  <si>
    <t>IBAÑEZ</t>
  </si>
  <si>
    <t>CARLOS REYES</t>
  </si>
  <si>
    <t>CRISTIAN GOMORA</t>
  </si>
  <si>
    <t>CRISTOBAL</t>
  </si>
  <si>
    <t>EDGAR VELAZQUEZ</t>
  </si>
  <si>
    <t>FLOR ARANDA</t>
  </si>
  <si>
    <t>IMPACTO</t>
  </si>
  <si>
    <t>JESUS MARIN</t>
  </si>
  <si>
    <t>PIPA AGUA</t>
  </si>
  <si>
    <t>RAYMUNDO</t>
  </si>
  <si>
    <t>CONSUMO SEMANA 28</t>
  </si>
  <si>
    <t>SEMANAL (6 DÍAS)</t>
  </si>
  <si>
    <t>ACTUALIZACIÓN AUTORIZACIÓN GASOLINA (FE DE ERRTAS)</t>
  </si>
  <si>
    <t>Maquinaria Pegaso</t>
  </si>
  <si>
    <t xml:space="preserve">AUTORIZACIÓN GASOLINA J.D.J. EQUIPO Y CONSTRUCCIONES </t>
  </si>
  <si>
    <t>MITSUBISHI</t>
  </si>
  <si>
    <t>MHL755A</t>
  </si>
  <si>
    <t>NO</t>
  </si>
  <si>
    <t>FACTURADO</t>
  </si>
  <si>
    <t>CONSUMIDO</t>
  </si>
  <si>
    <t xml:space="preserve">EXCEDIDO </t>
  </si>
  <si>
    <t>LLY085A</t>
  </si>
  <si>
    <t xml:space="preserve">HENRY PINEDA VALLE </t>
  </si>
  <si>
    <t xml:space="preserve">LICITACIONES </t>
  </si>
  <si>
    <t xml:space="preserve">GASOLINA SEMANA 28 MOBILE HUIXQUILUCAN </t>
  </si>
  <si>
    <t>AUTORIZACIÓN GASOLINA TRD</t>
  </si>
  <si>
    <t>A10486</t>
  </si>
  <si>
    <t>A10482</t>
  </si>
  <si>
    <t>A10567</t>
  </si>
  <si>
    <t>A10545</t>
  </si>
  <si>
    <t>A10580</t>
  </si>
  <si>
    <t>A10518</t>
  </si>
  <si>
    <t>A10552</t>
  </si>
  <si>
    <t>A10571</t>
  </si>
  <si>
    <t>A10585</t>
  </si>
  <si>
    <t>HENRY</t>
  </si>
  <si>
    <t>A10620</t>
  </si>
  <si>
    <t xml:space="preserve">DISEL SEMANA 30 - MOBILE HUIXQUILUCAN  J.D.J. EQUIPO Y CONSTRUCCIONES S.A. DE C.V.  </t>
  </si>
  <si>
    <t>A10522</t>
  </si>
  <si>
    <t>A10563</t>
  </si>
  <si>
    <t>A105887</t>
  </si>
  <si>
    <t>A10589</t>
  </si>
  <si>
    <t>A10480</t>
  </si>
  <si>
    <t>A10491</t>
  </si>
  <si>
    <t>A10535</t>
  </si>
  <si>
    <t>A10484</t>
  </si>
  <si>
    <t>A10565</t>
  </si>
  <si>
    <t>A10479</t>
  </si>
  <si>
    <t>A10520</t>
  </si>
  <si>
    <t>A10485</t>
  </si>
  <si>
    <t>A10544</t>
  </si>
  <si>
    <t>A10556</t>
  </si>
  <si>
    <t>A10579,A10581</t>
  </si>
  <si>
    <t>A10483</t>
  </si>
  <si>
    <t>A10521</t>
  </si>
  <si>
    <t>A10543</t>
  </si>
  <si>
    <t>A10564</t>
  </si>
  <si>
    <t>A105886</t>
  </si>
  <si>
    <t>A10492</t>
  </si>
  <si>
    <t>A10532</t>
  </si>
  <si>
    <t>A10572</t>
  </si>
  <si>
    <t>A10577, A10588,A10583</t>
  </si>
  <si>
    <t xml:space="preserve">RELACIÓN DE FACTURAS GASOLINA SEMANA 30 MOBILE HUIXQUILUCAN </t>
  </si>
  <si>
    <t>A10607</t>
  </si>
  <si>
    <t>A10741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</si>
  <si>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30</t>
    </r>
  </si>
  <si>
    <t>SEMANA 28 CONSUMO GASOLINA</t>
  </si>
  <si>
    <t>A10606</t>
  </si>
  <si>
    <t>A10710</t>
  </si>
  <si>
    <t>A10635,A10746</t>
  </si>
  <si>
    <t>PAGO MOBILE SEMANA 30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</si>
  <si>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30</t>
    </r>
  </si>
  <si>
    <t>A 10486, A 10482, A 10518, A 10545, A 10552, A 10567, A 10571, A 10580, A 10585</t>
  </si>
  <si>
    <t>CONSUMO TOTAL DISEL SEMANA 30</t>
  </si>
  <si>
    <t>A 10480, A 10491, A 10484, A 10479, A 10485, A 10483, A 10492, A 10522, A 10520, A 10521, A 10532, A 10535, A 10544, A 10543, A 10563, A 10565, A 10556, A 10564, A 10572, A 10587, A 10579 Y A 10581, A 10586, A 10577, A 10588, A 10583, A 10589</t>
  </si>
  <si>
    <t>CONSUMO EXCEDIDO DE GASOLINA SEMANA 30</t>
  </si>
  <si>
    <t>a10678</t>
  </si>
  <si>
    <t>A10621</t>
  </si>
  <si>
    <t>a237803</t>
  </si>
  <si>
    <t>A10772</t>
  </si>
  <si>
    <t>A10681</t>
  </si>
  <si>
    <t>A10786</t>
  </si>
  <si>
    <t>ACTUALIZACIÓN AUTORIZACIÓN GASOLINA</t>
  </si>
  <si>
    <t>MINA ZUPAHUACAN</t>
  </si>
  <si>
    <t>a10695</t>
  </si>
  <si>
    <t>A10810</t>
  </si>
  <si>
    <t>A10816</t>
  </si>
  <si>
    <t>A10782</t>
  </si>
  <si>
    <t>LYY085A</t>
  </si>
  <si>
    <t>A10690</t>
  </si>
  <si>
    <t>A10775</t>
  </si>
  <si>
    <t>MOVBILE</t>
  </si>
  <si>
    <t>JOSE JAVIER</t>
  </si>
  <si>
    <t>SINDICATO COSUM HUIXQUILUCAN</t>
  </si>
  <si>
    <t>LJU469D</t>
  </si>
  <si>
    <t>A10700</t>
  </si>
  <si>
    <t>A10655</t>
  </si>
  <si>
    <t xml:space="preserve">DISEL SEMANA 31 - MOBILE HUIXQUILUCAN  J.D.J. EQUIPO Y CONSTRUCCIONES S.A. DE C.V.  </t>
  </si>
  <si>
    <t>a10850</t>
  </si>
  <si>
    <t>#FACTURA</t>
  </si>
  <si>
    <t>A10623</t>
  </si>
  <si>
    <t>A10733</t>
  </si>
  <si>
    <t>A10673</t>
  </si>
  <si>
    <t>A10603</t>
  </si>
  <si>
    <t>A10637</t>
  </si>
  <si>
    <t>A10630</t>
  </si>
  <si>
    <t>A10669</t>
  </si>
  <si>
    <t>A10674</t>
  </si>
  <si>
    <t>A10653</t>
  </si>
  <si>
    <t>A10604</t>
  </si>
  <si>
    <t>A10712</t>
  </si>
  <si>
    <t>A10644</t>
  </si>
  <si>
    <t>A10605</t>
  </si>
  <si>
    <t>A10625,A10634</t>
  </si>
  <si>
    <t>A10722,A10748A01,A10635,A10746</t>
  </si>
  <si>
    <t>A10652</t>
  </si>
  <si>
    <t>A10624</t>
  </si>
  <si>
    <t>A10702</t>
  </si>
  <si>
    <t>A10646,A10654</t>
  </si>
  <si>
    <t>A10829</t>
  </si>
  <si>
    <t>a10882</t>
  </si>
  <si>
    <t>A10636</t>
  </si>
  <si>
    <t>A10713</t>
  </si>
  <si>
    <t>A10645</t>
  </si>
  <si>
    <t>A10680</t>
  </si>
  <si>
    <t>A23783104</t>
  </si>
  <si>
    <t xml:space="preserve">RELACIÓN DE FACTURAS GASOLINA SEMANA 31 MOBILE HUIXQUILUCAN </t>
  </si>
  <si>
    <t>a10928</t>
  </si>
  <si>
    <t>a10943</t>
  </si>
  <si>
    <t xml:space="preserve">DISEL SEMANA 32 - MOBILE HUIXQUILUCAN  J.D.J. EQUIPO Y CONSTRUCCIONES S.A. DE C.V.  </t>
  </si>
  <si>
    <t>A10853</t>
  </si>
  <si>
    <t>a10929</t>
  </si>
  <si>
    <t>A PAGAR</t>
  </si>
  <si>
    <t>A10682</t>
  </si>
  <si>
    <t>A10692,A10694</t>
  </si>
  <si>
    <t>A10783</t>
  </si>
  <si>
    <t>A10814</t>
  </si>
  <si>
    <t xml:space="preserve">JOSÉ CABELLO </t>
  </si>
  <si>
    <t xml:space="preserve">ESTIMACIONES </t>
  </si>
  <si>
    <t>A10856</t>
  </si>
  <si>
    <t>a10881</t>
  </si>
  <si>
    <t>A10684</t>
  </si>
  <si>
    <t>a2378</t>
  </si>
  <si>
    <t>A10770</t>
  </si>
  <si>
    <t>A10635</t>
  </si>
  <si>
    <t>A10699</t>
  </si>
  <si>
    <t>A10773</t>
  </si>
  <si>
    <t>A10693</t>
  </si>
  <si>
    <t>A10778</t>
  </si>
  <si>
    <t>A10791,A10785</t>
  </si>
  <si>
    <t>A10803</t>
  </si>
  <si>
    <t>A10683</t>
  </si>
  <si>
    <t>A10792</t>
  </si>
  <si>
    <t>A10804</t>
  </si>
  <si>
    <t>A10854</t>
  </si>
  <si>
    <t>A10874</t>
  </si>
  <si>
    <t>A10679</t>
  </si>
  <si>
    <t>A10771</t>
  </si>
  <si>
    <t>A10815</t>
  </si>
  <si>
    <t>A10685</t>
  </si>
  <si>
    <t>A10779</t>
  </si>
  <si>
    <t>A10784</t>
  </si>
  <si>
    <t>A10801</t>
  </si>
  <si>
    <t>PAGO LEVET SEMANA 31</t>
  </si>
  <si>
    <t>A10802</t>
  </si>
  <si>
    <t>A10774</t>
  </si>
  <si>
    <t>A10793</t>
  </si>
  <si>
    <t>A10811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</si>
  <si>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30</t>
    </r>
  </si>
  <si>
    <t>SEMANA 31 CONSUMO GASOLINA</t>
  </si>
  <si>
    <t>PAGO MOBILE SEMANA 31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</si>
  <si>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31</t>
    </r>
  </si>
  <si>
    <t xml:space="preserve">RELACIÓN DE FACTURAS GASOLINA SEMANA 32 MOBILE HUIXQUILUCAN </t>
  </si>
  <si>
    <t>A10620,A10607,A10606,A10741,A10710,A10635,A10621</t>
  </si>
  <si>
    <t>CONSUMO TOTAL DISEL SEMANA 31</t>
  </si>
  <si>
    <r>
      <rPr>
        <rFont val="Arial"/>
        <color theme="1"/>
        <sz val="11.0"/>
      </rPr>
      <t>A10603,A10604,A10605,A10623,A10630,A10625,A10634,A10624,A10636,A10637,A10712,A10702,A10713,A10733,A10722,A10748</t>
    </r>
    <r>
      <rPr>
        <rFont val="Arial"/>
        <color rgb="FFFF0000"/>
        <sz val="11.0"/>
      </rPr>
      <t>,</t>
    </r>
    <r>
      <rPr>
        <rFont val="Arial"/>
        <color theme="1"/>
        <sz val="11.0"/>
      </rPr>
      <t>A10669,A10653,A10644,A10652,A10646,A10654,A10645,A10673,A10674</t>
    </r>
  </si>
  <si>
    <t>A10655,A10700</t>
  </si>
  <si>
    <t>A10695</t>
  </si>
  <si>
    <t>PAGO LEVET SEMANA 32</t>
  </si>
  <si>
    <t>Transporte de Personal y Carlos Alarcon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</si>
  <si>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32</t>
    </r>
  </si>
  <si>
    <t>PAGO MOBILE SEMANA 32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</si>
  <si>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31</t>
    </r>
  </si>
  <si>
    <t>CONSUMO EXCEDIDO DE GASOLINA SEMANA 32</t>
  </si>
  <si>
    <t>SEMANA 32 CONSUMO GASOLINA</t>
  </si>
  <si>
    <t>SEMANA 32 CONSUMO SINDICATO</t>
  </si>
  <si>
    <t>COSUM</t>
  </si>
  <si>
    <t xml:space="preserve">DISEL SEMANA 33 - MOBILE HUIXQUILUCAN  J.D.J. EQUIPO Y CONSTRUCCIONES S.A. DE C.V.  </t>
  </si>
  <si>
    <t>A la gasolinera Levet, en su relación de consumo, le hacen falta 2 cargas por la cantidad de $1,228.90 de Mina Tabernillas del día 6 de agosto, pero sí las reportan con tickets de carga.</t>
  </si>
  <si>
    <t>A10826</t>
  </si>
  <si>
    <t>A10843</t>
  </si>
  <si>
    <t>A10861, A10864</t>
  </si>
  <si>
    <t>A10930</t>
  </si>
  <si>
    <t>A10941</t>
  </si>
  <si>
    <t>A10841,A10849</t>
  </si>
  <si>
    <t>A10855</t>
  </si>
  <si>
    <t>A10844</t>
  </si>
  <si>
    <t>A10875</t>
  </si>
  <si>
    <t>A10933</t>
  </si>
  <si>
    <t>A10858</t>
  </si>
  <si>
    <t>SAN FELIPE</t>
  </si>
  <si>
    <t>A10863</t>
  </si>
  <si>
    <t>A10932</t>
  </si>
  <si>
    <t>A10825</t>
  </si>
  <si>
    <t>A10860</t>
  </si>
  <si>
    <t>A10927</t>
  </si>
  <si>
    <t>A10940,A10944</t>
  </si>
  <si>
    <t>CHALMA-MEXICO</t>
  </si>
  <si>
    <t>A10842</t>
  </si>
  <si>
    <t>A10832</t>
  </si>
  <si>
    <t>A10859</t>
  </si>
  <si>
    <t>A10945</t>
  </si>
  <si>
    <t xml:space="preserve">RELACIÓN DE FACTURAS GASOLINA SEMANA 33 MOBILE HUIXQUILUCAN </t>
  </si>
  <si>
    <t>A10928</t>
  </si>
  <si>
    <t>A10943</t>
  </si>
  <si>
    <t>A10881</t>
  </si>
  <si>
    <t>A10929</t>
  </si>
  <si>
    <t>A10882</t>
  </si>
  <si>
    <t>PAGO LEVET SEMANA 33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</si>
  <si>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33</t>
    </r>
  </si>
  <si>
    <t>PAGO MOBILE SEMANA 33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</si>
  <si>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33</t>
    </r>
  </si>
  <si>
    <t>CONSUMO TOTAL DISEL SEMANA 33</t>
  </si>
  <si>
    <t>CONSUMO EXCEDIDO DE GASOLINA SEMANA 33</t>
  </si>
  <si>
    <t>SEMANA 33 CONSUMO GASOLINA</t>
  </si>
  <si>
    <t>SEMANA 33 CONSUMO SINDICATO</t>
  </si>
  <si>
    <t xml:space="preserve">DISEL SEMANA 28 - MOBILE HUIXQUILUCAN  J.D.J. EQUIPO Y CONSTRUCCIONES S.A. DE C.V.  </t>
  </si>
  <si>
    <t>A10361</t>
  </si>
  <si>
    <t xml:space="preserve">OBRA </t>
  </si>
  <si>
    <t>M-T</t>
  </si>
  <si>
    <t>ALFRE</t>
  </si>
  <si>
    <t>ESTADO DE CUENTA A LA SEMANA 31 : LEVET 1 (CONSUMO)</t>
  </si>
  <si>
    <t>Relacion de Facturas Levet 1 Julio</t>
  </si>
  <si>
    <t>Semana 27 (1 al 4 de julio)</t>
  </si>
  <si>
    <t>Fecha</t>
  </si>
  <si>
    <t>Factura</t>
  </si>
  <si>
    <t>Monto</t>
  </si>
  <si>
    <t>Gasolineria</t>
  </si>
  <si>
    <t>Tipo</t>
  </si>
  <si>
    <t>4LV4086</t>
  </si>
  <si>
    <t>Levet 1</t>
  </si>
  <si>
    <t>Gasolina</t>
  </si>
  <si>
    <t>4LV4108</t>
  </si>
  <si>
    <t>Semana 28</t>
  </si>
  <si>
    <t>4LV4226</t>
  </si>
  <si>
    <t>4LV4446</t>
  </si>
  <si>
    <t>Semana 29</t>
  </si>
  <si>
    <t>Semana 30</t>
  </si>
  <si>
    <t>Semana 31</t>
  </si>
  <si>
    <t>Semana 32</t>
  </si>
  <si>
    <t>Total</t>
  </si>
  <si>
    <t>ESTADO DE CUENTA A LA SEMANA 31 : LEVET 2 (CONSUMO)</t>
  </si>
  <si>
    <t>Relacion de Facturas Levet 2</t>
  </si>
  <si>
    <t xml:space="preserve">Semana 28 </t>
  </si>
  <si>
    <t>Datos (CTA CLABE)</t>
  </si>
  <si>
    <t>4LVTIIF8064</t>
  </si>
  <si>
    <t>072180 01290624776 4</t>
  </si>
  <si>
    <t>Levet 2</t>
  </si>
  <si>
    <t>ESTADO DE CUENTA A LA SEMANA 31 : MOBILE(HUIXQUILUCAN)</t>
  </si>
  <si>
    <t>Facturas</t>
  </si>
  <si>
    <t>Mobile</t>
  </si>
  <si>
    <t>Gasolina a Favor</t>
  </si>
  <si>
    <t>Gasolina a Pagar</t>
  </si>
  <si>
    <t>Diesel</t>
  </si>
  <si>
    <t>Diesel a Favor</t>
  </si>
  <si>
    <t>Diesel a Pagar</t>
  </si>
  <si>
    <t>Total a Pagar</t>
  </si>
  <si>
    <t>A10367, A10361 , A10365, A10366, A10362, A10368, A10381,  A10388, A10380, A10387, A10884, A10398, A10405 , A10406, A10408, A10409, A10888, A10887, A10886, A10894, A10899, A10900, A10893, A10904, A10912,A10369($303.75), A10386, A10407, A10889,</t>
  </si>
  <si>
    <t>Se solicita que aun no se realize el pago de la semana 28, ya que falta conciliar $2000.00 m/n , con el contador Sergio</t>
  </si>
  <si>
    <t>A10426, A10422, A10423, A10425, A10495, A10499, A10500, A10496, A10509, A10438, A10513, A10514, A10512, A10449, A10447, A10453, A10446, A10459, A10457, A23783100, A10458, A10474, A10424, A10427, A23783097, A10434, A10515, A10451, A10450, A10454, A23783099, A10470, A10460</t>
  </si>
  <si>
    <t>A 10486, A 10482, A 10518, A 10545, A 10552, A 10567, A 10571, A 10580, A 10585,A 10480, A 10491, A 10484, A 10479, A 10485, A 10483, A 10492, A 10522, A 10520, A 10521, A 10532, A 10535, A 10544, A 10543, A 10563, A 10565, A 10556, A 10564, A 10572, A 10587, A 10579 Y A 10581, A 10586, A 10577, A 10588, A 10583, A 10589</t>
  </si>
  <si>
    <t>A10603,A10604,A10605,A10623,A10630,A10625,A10634,A10624,A10636,A10637,A10712,A10702,A10713,A10733,A10722,A10748,A10669,A10653,A10644,A10652,A10646,A10654,A10645,A10673,A10674</t>
  </si>
  <si>
    <t>A10620,A10607,A10606,A10741,A10710,A10635,A10621,A10603,A10604,A10605,A10623,A10630,A10625,A10634,A10624,A10636,A10637,A10712,A10702,A10713,A10733,A10722,A10748,A10668,A10653,A10644,A10652,A10646,A10654,A10645,A10673,A10674</t>
  </si>
  <si>
    <t>A10681,A10690,A10695,A10772,A10775,A10782,A10786,A10810,A10816</t>
  </si>
  <si>
    <t>A10682,A10684,A10683,A10679,A10685,A10692,A10694,A10699,A10693,A10770,A10773,A10778,A10771,A10779,A10774,A10783,A10791,A10785,A10792,A10784,A10793,A10803,A10804,A10792,A10801,A10802,A10811,A10814,A10815</t>
  </si>
  <si>
    <t>A10682,A10684,A10683,A10679,A10685,A10692,A10694,A10699,A10693,A10770,A10773,A10778,A10771,A10779,A10774,A10783,A10791,A10785,A10792,A10784,A10793,A10803,A10804,A10792,A10801,A10802,A10811,A10814,A10815,A10681,A10690,A10695,A10772,A10775,A10782,A10786,A10810,A10816</t>
  </si>
  <si>
    <t>Monto sin la semana 28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</si>
  <si>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</t>
    </r>
    <r>
      <rPr>
        <rFont val="Arial"/>
        <b/>
        <color theme="1"/>
        <sz val="12.0"/>
      </rPr>
      <t>29</t>
    </r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</si>
  <si>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29</t>
    </r>
  </si>
  <si>
    <t>CONSUMO TOTAL DISEL SEMANA 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</si>
</sst>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&quot;$&quot;* #,##0.00_-;\-&quot;$&quot;* #,##0.00_-;_-&quot;$&quot;* &quot;-&quot;??_-;_-@"/>
    <numFmt numFmtId="165" formatCode="_-* #,##0.00_-;\-* #,##0.00_-;_-* &quot;-&quot;??_-;_-@"/>
    <numFmt numFmtId="166" formatCode="_-&quot;$&quot;* #,##0.00_-;_-&quot;$&quot;* \-#,##0.00_-;_-&quot;$&quot;* &quot;-&quot;??_-;_-@"/>
    <numFmt numFmtId="167" formatCode="&quot;$&quot;#,##0;[Red]\-&quot;$&quot;#,##0"/>
    <numFmt numFmtId="168" formatCode="&quot;$&quot;#,##0.00;[Red]\-&quot;$&quot;#,##0.00"/>
    <numFmt numFmtId="169" formatCode="dd/mm/yyyy"/>
  </numFmts>
  <fonts count="29">
    <font>
      <sz val="11.0"/>
      <color theme="1"/>
      <name val="Aptos Narrow"/>
      <scheme val="minor"/>
    </font>
    <font>
      <b/>
      <sz val="20.0"/>
      <color theme="1"/>
      <name val="Arial"/>
    </font>
    <font/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"/>
    </font>
    <font>
      <color theme="1"/>
      <name val="Aptos Narrow"/>
      <scheme val="minor"/>
    </font>
    <font>
      <sz val="11.0"/>
      <color rgb="FFFF0000"/>
      <name val="Aptos Narrow"/>
    </font>
    <font>
      <color theme="1"/>
      <name val="Arial"/>
    </font>
    <font>
      <sz val="20.0"/>
      <color theme="1"/>
      <name val="Arial"/>
    </font>
    <font>
      <sz val="11.0"/>
      <color theme="1"/>
      <name val="Carlito"/>
    </font>
    <font>
      <b/>
      <sz val="12.0"/>
      <color theme="1"/>
      <name val="Arial"/>
    </font>
    <font>
      <sz val="12.0"/>
      <color theme="1"/>
      <name val="Arial"/>
    </font>
    <font>
      <b/>
      <sz val="15.0"/>
      <color theme="1"/>
      <name val="Aptos Narrow"/>
    </font>
    <font>
      <b/>
      <sz val="16.0"/>
      <color theme="1"/>
      <name val="Aptos Narrow"/>
    </font>
    <font>
      <b/>
      <sz val="11.0"/>
      <color rgb="FFFF0000"/>
      <name val="Aptos Narrow"/>
    </font>
    <font>
      <b/>
      <sz val="12.0"/>
      <color rgb="FFFFFFFF"/>
      <name val="Calibri"/>
    </font>
    <font>
      <b/>
      <sz val="9.0"/>
      <color rgb="FFFFFFFF"/>
      <name val="Calibri"/>
    </font>
    <font>
      <sz val="9.0"/>
      <color rgb="FF000000"/>
      <name val="Calibri"/>
    </font>
    <font>
      <b/>
      <sz val="9.0"/>
      <color rgb="FF991B1B"/>
      <name val="Calibri"/>
    </font>
    <font>
      <b/>
      <sz val="9.0"/>
      <color rgb="FF065F46"/>
      <name val="Calibri"/>
    </font>
    <font>
      <b/>
      <sz val="15.0"/>
      <color theme="1"/>
      <name val="Arial"/>
    </font>
    <font>
      <sz val="11.0"/>
      <color rgb="FFFF0000"/>
      <name val="Arial"/>
    </font>
    <font>
      <sz val="11.0"/>
      <color rgb="FF000000"/>
      <name val="Arial"/>
    </font>
    <font>
      <b/>
      <sz val="16.0"/>
      <color theme="1"/>
      <name val="Arial"/>
    </font>
    <font>
      <color rgb="FFFFFFFF"/>
      <name val="Arial"/>
    </font>
    <font>
      <b/>
      <color theme="1"/>
      <name val="Arial"/>
    </font>
    <font>
      <b/>
      <color theme="1"/>
      <name val="Aptos Narrow"/>
      <scheme val="minor"/>
    </font>
  </fonts>
  <fills count="34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  <fill>
      <patternFill patternType="solid">
        <fgColor rgb="FF45B0E1"/>
        <bgColor rgb="FF45B0E1"/>
      </patternFill>
    </fill>
    <fill>
      <patternFill patternType="solid">
        <fgColor rgb="FFD0D0D0"/>
        <bgColor rgb="FFD0D0D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E49EDD"/>
        <bgColor rgb="FFE49EDD"/>
      </patternFill>
    </fill>
    <fill>
      <patternFill patternType="solid">
        <fgColor rgb="FF47D45A"/>
        <bgColor rgb="FF47D45A"/>
      </patternFill>
    </fill>
    <fill>
      <patternFill patternType="solid">
        <fgColor rgb="FFF6C6AC"/>
        <bgColor rgb="FFF6C6AC"/>
      </patternFill>
    </fill>
    <fill>
      <patternFill patternType="solid">
        <fgColor rgb="FF78206E"/>
        <bgColor rgb="FF78206E"/>
      </patternFill>
    </fill>
    <fill>
      <patternFill patternType="solid">
        <fgColor rgb="FF84E291"/>
        <bgColor rgb="FF84E291"/>
      </patternFill>
    </fill>
    <fill>
      <patternFill patternType="solid">
        <fgColor rgb="FF8ED873"/>
        <bgColor rgb="FF8ED873"/>
      </patternFill>
    </fill>
    <fill>
      <patternFill patternType="solid">
        <fgColor rgb="FFF1A983"/>
        <bgColor rgb="FFF1A983"/>
      </patternFill>
    </fill>
    <fill>
      <patternFill patternType="solid">
        <fgColor rgb="FF4D94D8"/>
        <bgColor rgb="FF4D94D8"/>
      </patternFill>
    </fill>
    <fill>
      <patternFill patternType="solid">
        <fgColor rgb="FFBFBFBF"/>
        <bgColor rgb="FFBFBFBF"/>
      </patternFill>
    </fill>
    <fill>
      <patternFill patternType="solid">
        <fgColor rgb="FFD9F2D0"/>
        <bgColor rgb="FFD9F2D0"/>
      </patternFill>
    </fill>
    <fill>
      <patternFill patternType="solid">
        <fgColor rgb="FF60CBF3"/>
        <bgColor rgb="FF60CBF3"/>
      </patternFill>
    </fill>
    <fill>
      <patternFill patternType="solid">
        <fgColor rgb="FFA6C9EB"/>
        <bgColor rgb="FFA6C9EB"/>
      </patternFill>
    </fill>
    <fill>
      <patternFill patternType="solid">
        <fgColor rgb="FF95DCF7"/>
        <bgColor rgb="FF95DCF7"/>
      </patternFill>
    </fill>
    <fill>
      <patternFill patternType="solid">
        <fgColor rgb="FF1E293B"/>
        <bgColor rgb="FF1E293B"/>
      </patternFill>
    </fill>
    <fill>
      <patternFill patternType="solid">
        <fgColor rgb="FF312E81"/>
        <bgColor rgb="FF312E81"/>
      </patternFill>
    </fill>
    <fill>
      <patternFill patternType="solid">
        <fgColor rgb="FFF8FAFC"/>
        <bgColor rgb="FFF8FAFC"/>
      </patternFill>
    </fill>
    <fill>
      <patternFill patternType="solid">
        <fgColor rgb="FFFEE2E2"/>
        <bgColor rgb="FFFEE2E2"/>
      </patternFill>
    </fill>
    <fill>
      <patternFill patternType="solid">
        <fgColor rgb="FFEFF6FF"/>
        <bgColor rgb="FFEFF6FF"/>
      </patternFill>
    </fill>
    <fill>
      <patternFill patternType="solid">
        <fgColor rgb="FFD1FAE5"/>
        <bgColor rgb="FFD1FAE5"/>
      </patternFill>
    </fill>
    <fill>
      <patternFill patternType="solid">
        <fgColor rgb="FF1E3A5F"/>
        <bgColor rgb="FF1E3A5F"/>
      </patternFill>
    </fill>
    <fill>
      <patternFill patternType="solid">
        <fgColor rgb="FF0070C0"/>
        <bgColor rgb="FF0070C0"/>
      </patternFill>
    </fill>
    <fill>
      <patternFill patternType="solid">
        <fgColor rgb="FFD76DCC"/>
        <bgColor rgb="FFD76DCC"/>
      </patternFill>
    </fill>
    <fill>
      <patternFill patternType="solid">
        <fgColor rgb="FF0B5394"/>
        <bgColor rgb="FF0B5394"/>
      </patternFill>
    </fill>
    <fill>
      <patternFill patternType="solid">
        <fgColor rgb="FF6FA8DC"/>
        <bgColor rgb="FF6FA8DC"/>
      </patternFill>
    </fill>
  </fills>
  <borders count="5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right/>
      <top style="thin">
        <color rgb="FF000000"/>
      </top>
    </border>
    <border>
      <left/>
      <right/>
      <top style="thin">
        <color rgb="FF000000"/>
      </top>
    </border>
    <border>
      <right/>
      <bottom style="thin">
        <color rgb="FF000000"/>
      </bottom>
    </border>
    <border>
      <left/>
      <right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</border>
    <border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/>
      <bottom/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bottom/>
    </border>
    <border>
      <right style="thin">
        <color rgb="FF000000"/>
      </right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</border>
    <border>
      <left style="thin">
        <color rgb="FFCBD5E1"/>
      </left>
      <right style="thin">
        <color rgb="FFCBD5E1"/>
      </right>
    </border>
    <border>
      <left style="thin">
        <color rgb="FFCBD5E1"/>
      </left>
      <right style="thin">
        <color rgb="FFCBD5E1"/>
      </right>
      <bottom style="thin">
        <color rgb="FFCBD5E1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3" fontId="3" numFmtId="0" xfId="0" applyAlignment="1" applyBorder="1" applyFont="1">
      <alignment horizontal="center" shrinkToFit="0" vertical="center" wrapText="1"/>
    </xf>
    <xf borderId="6" fillId="3" fontId="3" numFmtId="164" xfId="0" applyAlignment="1" applyBorder="1" applyFont="1" applyNumberFormat="1">
      <alignment horizontal="center" shrinkToFit="0" vertical="center" wrapText="1"/>
    </xf>
    <xf borderId="1" fillId="2" fontId="3" numFmtId="14" xfId="0" applyAlignment="1" applyBorder="1" applyFont="1" applyNumberFormat="1">
      <alignment horizontal="center" vertical="center"/>
    </xf>
    <xf borderId="6" fillId="2" fontId="3" numFmtId="14" xfId="0" applyAlignment="1" applyBorder="1" applyFont="1" applyNumberForma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2" fontId="3" numFmtId="14" xfId="0" applyAlignment="1" applyBorder="1" applyFont="1" applyNumberFormat="1">
      <alignment horizontal="center" vertical="center"/>
    </xf>
    <xf borderId="10" fillId="4" fontId="3" numFmtId="0" xfId="0" applyAlignment="1" applyBorder="1" applyFill="1" applyFont="1">
      <alignment horizontal="center" vertical="center"/>
    </xf>
    <xf borderId="6" fillId="4" fontId="4" numFmtId="0" xfId="0" applyAlignment="1" applyBorder="1" applyFont="1">
      <alignment horizontal="center" shrinkToFit="0" vertical="center" wrapText="1"/>
    </xf>
    <xf borderId="10" fillId="4" fontId="4" numFmtId="0" xfId="0" applyAlignment="1" applyBorder="1" applyFont="1">
      <alignment horizontal="center" shrinkToFit="0" vertical="center" wrapText="1"/>
    </xf>
    <xf borderId="10" fillId="4" fontId="4" numFmtId="164" xfId="0" applyAlignment="1" applyBorder="1" applyFont="1" applyNumberFormat="1">
      <alignment horizontal="center" shrinkToFit="0" vertical="center" wrapText="1"/>
    </xf>
    <xf borderId="10" fillId="4" fontId="4" numFmtId="164" xfId="0" applyBorder="1" applyFont="1" applyNumberFormat="1"/>
    <xf borderId="11" fillId="4" fontId="4" numFmtId="0" xfId="0" applyBorder="1" applyFont="1"/>
    <xf borderId="0" fillId="0" fontId="4" numFmtId="164" xfId="0" applyFont="1" applyNumberFormat="1"/>
    <xf borderId="10" fillId="4" fontId="4" numFmtId="0" xfId="0" applyAlignment="1" applyBorder="1" applyFont="1">
      <alignment horizontal="center" vertical="center"/>
    </xf>
    <xf borderId="10" fillId="4" fontId="4" numFmtId="164" xfId="0" applyAlignment="1" applyBorder="1" applyFont="1" applyNumberFormat="1">
      <alignment horizontal="center" vertical="center"/>
    </xf>
    <xf borderId="10" fillId="5" fontId="4" numFmtId="164" xfId="0" applyBorder="1" applyFill="1" applyFont="1" applyNumberFormat="1"/>
    <xf borderId="10" fillId="0" fontId="4" numFmtId="164" xfId="0" applyBorder="1" applyFont="1" applyNumberFormat="1"/>
    <xf borderId="10" fillId="0" fontId="3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0" fillId="0" fontId="4" numFmtId="164" xfId="0" applyAlignment="1" applyBorder="1" applyFont="1" applyNumberFormat="1">
      <alignment horizontal="center" vertical="center"/>
    </xf>
    <xf borderId="10" fillId="6" fontId="5" numFmtId="164" xfId="0" applyAlignment="1" applyBorder="1" applyFill="1" applyFont="1" applyNumberFormat="1">
      <alignment readingOrder="0"/>
    </xf>
    <xf borderId="10" fillId="7" fontId="4" numFmtId="164" xfId="0" applyBorder="1" applyFill="1" applyFont="1" applyNumberFormat="1"/>
    <xf borderId="1" fillId="8" fontId="6" numFmtId="0" xfId="0" applyAlignment="1" applyBorder="1" applyFill="1" applyFont="1">
      <alignment horizontal="center"/>
    </xf>
    <xf borderId="0" fillId="0" fontId="4" numFmtId="165" xfId="0" applyFont="1" applyNumberFormat="1"/>
    <xf borderId="0" fillId="0" fontId="5" numFmtId="0" xfId="0" applyFont="1"/>
    <xf borderId="0" fillId="0" fontId="7" numFmtId="0" xfId="0" applyFont="1"/>
    <xf borderId="10" fillId="9" fontId="6" numFmtId="0" xfId="0" applyAlignment="1" applyBorder="1" applyFill="1" applyFont="1">
      <alignment horizontal="center" vertical="center"/>
    </xf>
    <xf borderId="10" fillId="3" fontId="4" numFmtId="164" xfId="0" applyBorder="1" applyFont="1" applyNumberFormat="1"/>
    <xf borderId="10" fillId="0" fontId="3" numFmtId="0" xfId="0" applyAlignment="1" applyBorder="1" applyFont="1">
      <alignment horizontal="center"/>
    </xf>
    <xf borderId="10" fillId="0" fontId="4" numFmtId="2" xfId="0" applyAlignment="1" applyBorder="1" applyFont="1" applyNumberFormat="1">
      <alignment horizontal="center"/>
    </xf>
    <xf borderId="10" fillId="0" fontId="4" numFmtId="0" xfId="0" applyAlignment="1" applyBorder="1" applyFont="1">
      <alignment horizontal="center"/>
    </xf>
    <xf borderId="10" fillId="0" fontId="3" numFmtId="164" xfId="0" applyAlignment="1" applyBorder="1" applyFont="1" applyNumberFormat="1">
      <alignment horizontal="center"/>
    </xf>
    <xf borderId="10" fillId="8" fontId="4" numFmtId="164" xfId="0" applyBorder="1" applyFont="1" applyNumberFormat="1"/>
    <xf borderId="6" fillId="0" fontId="4" numFmtId="164" xfId="0" applyAlignment="1" applyBorder="1" applyFont="1" applyNumberFormat="1">
      <alignment horizontal="center"/>
    </xf>
    <xf borderId="10" fillId="10" fontId="3" numFmtId="164" xfId="0" applyAlignment="1" applyBorder="1" applyFill="1" applyFont="1" applyNumberFormat="1">
      <alignment horizontal="center"/>
    </xf>
    <xf borderId="12" fillId="0" fontId="2" numFmtId="0" xfId="0" applyBorder="1" applyFont="1"/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10" fillId="6" fontId="4" numFmtId="164" xfId="0" applyBorder="1" applyFont="1" applyNumberFormat="1"/>
    <xf borderId="1" fillId="0" fontId="3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vertical="top"/>
    </xf>
    <xf borderId="0" fillId="0" fontId="4" numFmtId="164" xfId="0" applyAlignment="1" applyFont="1" applyNumberFormat="1">
      <alignment shrinkToFit="0" wrapText="1"/>
    </xf>
    <xf borderId="1" fillId="8" fontId="3" numFmtId="0" xfId="0" applyAlignment="1" applyBorder="1" applyFont="1">
      <alignment horizontal="center" shrinkToFit="0" wrapText="1"/>
    </xf>
    <xf borderId="10" fillId="0" fontId="3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shrinkToFit="0" wrapText="1"/>
    </xf>
    <xf borderId="10" fillId="0" fontId="4" numFmtId="164" xfId="0" applyAlignment="1" applyBorder="1" applyFont="1" applyNumberFormat="1">
      <alignment horizontal="center" shrinkToFit="0" vertical="center" wrapText="1"/>
    </xf>
    <xf borderId="6" fillId="4" fontId="4" numFmtId="0" xfId="0" applyAlignment="1" applyBorder="1" applyFont="1">
      <alignment horizontal="center" vertical="center"/>
    </xf>
    <xf borderId="10" fillId="0" fontId="4" numFmtId="164" xfId="0" applyAlignment="1" applyBorder="1" applyFont="1" applyNumberFormat="1">
      <alignment shrinkToFit="0" wrapText="1"/>
    </xf>
    <xf borderId="10" fillId="0" fontId="4" numFmtId="164" xfId="0" applyAlignment="1" applyBorder="1" applyFont="1" applyNumberFormat="1">
      <alignment vertical="center"/>
    </xf>
    <xf borderId="10" fillId="2" fontId="4" numFmtId="164" xfId="0" applyBorder="1" applyFont="1" applyNumberFormat="1"/>
    <xf borderId="6" fillId="5" fontId="4" numFmtId="164" xfId="0" applyAlignment="1" applyBorder="1" applyFont="1" applyNumberFormat="1">
      <alignment horizontal="center" vertical="center"/>
    </xf>
    <xf borderId="6" fillId="0" fontId="4" numFmtId="164" xfId="0" applyAlignment="1" applyBorder="1" applyFont="1" applyNumberFormat="1">
      <alignment vertical="center"/>
    </xf>
    <xf borderId="10" fillId="10" fontId="4" numFmtId="164" xfId="0" applyAlignment="1" applyBorder="1" applyFont="1" applyNumberFormat="1">
      <alignment shrinkToFit="0" wrapText="1"/>
    </xf>
    <xf borderId="10" fillId="10" fontId="4" numFmtId="164" xfId="0" applyBorder="1" applyFont="1" applyNumberFormat="1"/>
    <xf borderId="9" fillId="0" fontId="4" numFmtId="164" xfId="0" applyAlignment="1" applyBorder="1" applyFont="1" applyNumberFormat="1">
      <alignment vertical="center"/>
    </xf>
    <xf borderId="6" fillId="7" fontId="4" numFmtId="164" xfId="0" applyAlignment="1" applyBorder="1" applyFont="1" applyNumberFormat="1">
      <alignment horizontal="center" vertical="center"/>
    </xf>
    <xf borderId="10" fillId="11" fontId="4" numFmtId="164" xfId="0" applyBorder="1" applyFill="1" applyFont="1" applyNumberFormat="1"/>
    <xf borderId="11" fillId="5" fontId="4" numFmtId="0" xfId="0" applyBorder="1" applyFont="1"/>
    <xf borderId="11" fillId="5" fontId="4" numFmtId="164" xfId="0" applyBorder="1" applyFont="1" applyNumberFormat="1"/>
    <xf borderId="1" fillId="12" fontId="3" numFmtId="0" xfId="0" applyAlignment="1" applyBorder="1" applyFill="1" applyFont="1">
      <alignment horizontal="center" vertical="center"/>
    </xf>
    <xf borderId="10" fillId="12" fontId="3" numFmtId="164" xfId="0" applyAlignment="1" applyBorder="1" applyFont="1" applyNumberFormat="1">
      <alignment horizontal="center" vertical="center"/>
    </xf>
    <xf borderId="10" fillId="12" fontId="3" numFmtId="164" xfId="0" applyBorder="1" applyFont="1" applyNumberFormat="1"/>
    <xf borderId="11" fillId="13" fontId="4" numFmtId="0" xfId="0" applyBorder="1" applyFill="1" applyFont="1"/>
    <xf borderId="0" fillId="0" fontId="4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3" numFmtId="0" xfId="0" applyFont="1"/>
    <xf borderId="11" fillId="2" fontId="4" numFmtId="164" xfId="0" applyBorder="1" applyFont="1" applyNumberFormat="1"/>
    <xf borderId="0" fillId="0" fontId="3" numFmtId="0" xfId="0" applyAlignment="1" applyFont="1">
      <alignment horizontal="center" vertical="center"/>
    </xf>
    <xf borderId="13" fillId="2" fontId="1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1" fillId="7" fontId="4" numFmtId="0" xfId="0" applyBorder="1" applyFont="1"/>
    <xf borderId="10" fillId="4" fontId="5" numFmtId="164" xfId="0" applyAlignment="1" applyBorder="1" applyFont="1" applyNumberFormat="1">
      <alignment readingOrder="0"/>
    </xf>
    <xf borderId="10" fillId="0" fontId="8" numFmtId="0" xfId="0" applyAlignment="1" applyBorder="1" applyFont="1">
      <alignment horizontal="center" vertical="center"/>
    </xf>
    <xf borderId="10" fillId="5" fontId="4" numFmtId="164" xfId="0" applyAlignment="1" applyBorder="1" applyFont="1" applyNumberFormat="1">
      <alignment shrinkToFit="0" wrapText="1"/>
    </xf>
    <xf borderId="6" fillId="0" fontId="3" numFmtId="0" xfId="0" applyAlignment="1" applyBorder="1" applyFont="1">
      <alignment horizontal="center" vertical="center"/>
    </xf>
    <xf borderId="10" fillId="0" fontId="4" numFmtId="0" xfId="0" applyBorder="1" applyFont="1"/>
    <xf borderId="10" fillId="12" fontId="4" numFmtId="164" xfId="0" applyBorder="1" applyFont="1" applyNumberFormat="1"/>
    <xf borderId="16" fillId="3" fontId="3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0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0" fillId="0" fontId="4" numFmtId="164" xfId="0" applyAlignment="1" applyBorder="1" applyFont="1" applyNumberFormat="1">
      <alignment horizontal="left" shrinkToFit="0" vertical="center" wrapText="1"/>
    </xf>
    <xf borderId="1" fillId="8" fontId="6" numFmtId="0" xfId="0" applyAlignment="1" applyBorder="1" applyFont="1">
      <alignment horizontal="center" vertical="center"/>
    </xf>
    <xf borderId="10" fillId="12" fontId="3" numFmtId="0" xfId="0" applyAlignment="1" applyBorder="1" applyFont="1">
      <alignment horizontal="center" vertical="center"/>
    </xf>
    <xf borderId="11" fillId="8" fontId="4" numFmtId="164" xfId="0" applyBorder="1" applyFont="1" applyNumberFormat="1"/>
    <xf borderId="18" fillId="2" fontId="1" numFmtId="0" xfId="0" applyAlignment="1" applyBorder="1" applyFont="1">
      <alignment horizontal="center" vertical="center"/>
    </xf>
    <xf borderId="0" fillId="6" fontId="9" numFmtId="166" xfId="0" applyAlignment="1" applyFont="1" applyNumberFormat="1">
      <alignment readingOrder="0"/>
    </xf>
    <xf borderId="19" fillId="0" fontId="2" numFmtId="0" xfId="0" applyBorder="1" applyFont="1"/>
    <xf borderId="20" fillId="0" fontId="2" numFmtId="0" xfId="0" applyBorder="1" applyFont="1"/>
    <xf borderId="6" fillId="2" fontId="3" numFmtId="14" xfId="0" applyAlignment="1" applyBorder="1" applyFont="1" applyNumberFormat="1">
      <alignment horizontal="center" shrinkToFit="0" vertical="center" wrapText="1"/>
    </xf>
    <xf borderId="10" fillId="5" fontId="4" numFmtId="167" xfId="0" applyBorder="1" applyFont="1" applyNumberFormat="1"/>
    <xf borderId="10" fillId="0" fontId="3" numFmtId="0" xfId="0" applyAlignment="1" applyBorder="1" applyFont="1">
      <alignment vertical="center"/>
    </xf>
    <xf borderId="10" fillId="10" fontId="4" numFmtId="0" xfId="0" applyBorder="1" applyFont="1"/>
    <xf borderId="10" fillId="6" fontId="4" numFmtId="0" xfId="0" applyBorder="1" applyFont="1"/>
    <xf borderId="10" fillId="0" fontId="4" numFmtId="167" xfId="0" applyBorder="1" applyFont="1" applyNumberFormat="1"/>
    <xf borderId="0" fillId="0" fontId="7" numFmtId="164" xfId="0" applyFont="1" applyNumberFormat="1"/>
    <xf borderId="0" fillId="0" fontId="9" numFmtId="164" xfId="0" applyAlignment="1" applyFont="1" applyNumberFormat="1">
      <alignment readingOrder="0"/>
    </xf>
    <xf borderId="0" fillId="0" fontId="4" numFmtId="167" xfId="0" applyFont="1" applyNumberFormat="1"/>
    <xf borderId="0" fillId="0" fontId="10" numFmtId="0" xfId="0" applyAlignment="1" applyFont="1">
      <alignment vertical="center"/>
    </xf>
    <xf borderId="10" fillId="2" fontId="3" numFmtId="14" xfId="0" applyAlignment="1" applyBorder="1" applyFont="1" applyNumberFormat="1">
      <alignment vertical="center"/>
    </xf>
    <xf borderId="10" fillId="14" fontId="3" numFmtId="0" xfId="0" applyBorder="1" applyFill="1" applyFont="1"/>
    <xf borderId="0" fillId="0" fontId="3" numFmtId="14" xfId="0" applyAlignment="1" applyFont="1" applyNumberFormat="1">
      <alignment vertical="center"/>
    </xf>
    <xf borderId="0" fillId="0" fontId="3" numFmtId="14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1" fillId="10" fontId="4" numFmtId="167" xfId="0" applyAlignment="1" applyBorder="1" applyFont="1" applyNumberFormat="1">
      <alignment horizontal="center"/>
    </xf>
    <xf borderId="1" fillId="0" fontId="4" numFmtId="167" xfId="0" applyAlignment="1" applyBorder="1" applyFont="1" applyNumberFormat="1">
      <alignment horizontal="center"/>
    </xf>
    <xf borderId="10" fillId="14" fontId="4" numFmtId="0" xfId="0" applyBorder="1" applyFont="1"/>
    <xf borderId="21" fillId="0" fontId="2" numFmtId="0" xfId="0" applyBorder="1" applyFont="1"/>
    <xf borderId="22" fillId="2" fontId="3" numFmtId="14" xfId="0" applyAlignment="1" applyBorder="1" applyFont="1" applyNumberFormat="1">
      <alignment horizontal="center" vertical="center"/>
    </xf>
    <xf borderId="23" fillId="0" fontId="2" numFmtId="0" xfId="0" applyBorder="1" applyFont="1"/>
    <xf borderId="10" fillId="2" fontId="3" numFmtId="14" xfId="0" applyAlignment="1" applyBorder="1" applyFont="1" applyNumberFormat="1">
      <alignment horizontal="center" shrinkToFit="0" vertical="center" wrapText="1"/>
    </xf>
    <xf borderId="24" fillId="0" fontId="2" numFmtId="0" xfId="0" applyBorder="1" applyFont="1"/>
    <xf borderId="10" fillId="5" fontId="4" numFmtId="0" xfId="0" applyAlignment="1" applyBorder="1" applyFont="1">
      <alignment horizontal="center"/>
    </xf>
    <xf borderId="10" fillId="5" fontId="4" numFmtId="0" xfId="0" applyBorder="1" applyFont="1"/>
    <xf borderId="10" fillId="8" fontId="4" numFmtId="0" xfId="0" applyAlignment="1" applyBorder="1" applyFont="1">
      <alignment horizontal="center"/>
    </xf>
    <xf borderId="10" fillId="5" fontId="4" numFmtId="164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 vertical="center"/>
    </xf>
    <xf borderId="10" fillId="8" fontId="4" numFmtId="0" xfId="0" applyAlignment="1" applyBorder="1" applyFont="1">
      <alignment vertical="center"/>
    </xf>
    <xf borderId="10" fillId="8" fontId="4" numFmtId="0" xfId="0" applyAlignment="1" applyBorder="1" applyFont="1">
      <alignment horizontal="center" vertical="center"/>
    </xf>
    <xf borderId="10" fillId="0" fontId="11" numFmtId="0" xfId="0" applyAlignment="1" applyBorder="1" applyFont="1">
      <alignment horizontal="center" shrinkToFit="0" vertical="center" wrapText="1"/>
    </xf>
    <xf borderId="10" fillId="0" fontId="11" numFmtId="4" xfId="0" applyAlignment="1" applyBorder="1" applyFont="1" applyNumberFormat="1">
      <alignment horizontal="center" vertical="center"/>
    </xf>
    <xf borderId="6" fillId="0" fontId="4" numFmtId="0" xfId="0" applyAlignment="1" applyBorder="1" applyFont="1">
      <alignment horizontal="center"/>
    </xf>
    <xf borderId="10" fillId="0" fontId="4" numFmtId="0" xfId="0" applyAlignment="1" applyBorder="1" applyFont="1">
      <alignment vertical="center"/>
    </xf>
    <xf borderId="25" fillId="0" fontId="2" numFmtId="0" xfId="0" applyBorder="1" applyFont="1"/>
    <xf borderId="10" fillId="6" fontId="4" numFmtId="0" xfId="0" applyAlignment="1" applyBorder="1" applyFont="1">
      <alignment horizontal="center"/>
    </xf>
    <xf borderId="10" fillId="5" fontId="4" numFmtId="0" xfId="0" applyAlignment="1" applyBorder="1" applyFont="1">
      <alignment horizontal="center" vertical="center"/>
    </xf>
    <xf borderId="10" fillId="8" fontId="4" numFmtId="0" xfId="0" applyBorder="1" applyFont="1"/>
    <xf borderId="10" fillId="7" fontId="4" numFmtId="164" xfId="0" applyAlignment="1" applyBorder="1" applyFont="1" applyNumberFormat="1">
      <alignment horizontal="center" vertical="center"/>
    </xf>
    <xf borderId="10" fillId="7" fontId="4" numFmtId="0" xfId="0" applyBorder="1" applyFont="1"/>
    <xf borderId="10" fillId="0" fontId="3" numFmtId="0" xfId="0" applyAlignment="1" applyBorder="1" applyFont="1">
      <alignment horizontal="center" shrinkToFit="0" wrapText="1"/>
    </xf>
    <xf borderId="10" fillId="0" fontId="4" numFmtId="0" xfId="0" applyAlignment="1" applyBorder="1" applyFont="1">
      <alignment horizontal="center" shrinkToFit="0" vertical="center" wrapText="1"/>
    </xf>
    <xf borderId="10" fillId="15" fontId="4" numFmtId="0" xfId="0" applyAlignment="1" applyBorder="1" applyFill="1" applyFont="1">
      <alignment horizontal="center"/>
    </xf>
    <xf borderId="10" fillId="6" fontId="4" numFmtId="0" xfId="0" applyAlignment="1" applyBorder="1" applyFont="1">
      <alignment horizontal="center" vertical="center"/>
    </xf>
    <xf borderId="26" fillId="5" fontId="4" numFmtId="0" xfId="0" applyBorder="1" applyFont="1"/>
    <xf borderId="11" fillId="5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11" fillId="5" fontId="4" numFmtId="0" xfId="0" applyAlignment="1" applyBorder="1" applyFont="1">
      <alignment horizontal="center"/>
    </xf>
    <xf borderId="4" fillId="16" fontId="3" numFmtId="2" xfId="0" applyAlignment="1" applyBorder="1" applyFill="1" applyFont="1" applyNumberFormat="1">
      <alignment horizontal="center" vertical="center"/>
    </xf>
    <xf borderId="27" fillId="0" fontId="2" numFmtId="0" xfId="0" applyBorder="1" applyFont="1"/>
    <xf borderId="10" fillId="0" fontId="4" numFmtId="4" xfId="0" applyAlignment="1" applyBorder="1" applyFont="1" applyNumberFormat="1">
      <alignment horizontal="center" vertical="center"/>
    </xf>
    <xf borderId="4" fillId="12" fontId="3" numFmtId="0" xfId="0" applyAlignment="1" applyBorder="1" applyFont="1">
      <alignment horizontal="center" vertical="center"/>
    </xf>
    <xf borderId="10" fillId="12" fontId="4" numFmtId="0" xfId="0" applyAlignment="1" applyBorder="1" applyFont="1">
      <alignment horizontal="center" vertical="center"/>
    </xf>
    <xf borderId="10" fillId="10" fontId="4" numFmtId="2" xfId="0" applyAlignment="1" applyBorder="1" applyFont="1" applyNumberFormat="1">
      <alignment horizontal="center"/>
    </xf>
    <xf borderId="10" fillId="7" fontId="4" numFmtId="0" xfId="0" applyAlignment="1" applyBorder="1" applyFont="1">
      <alignment horizontal="center"/>
    </xf>
    <xf borderId="11" fillId="15" fontId="4" numFmtId="164" xfId="0" applyBorder="1" applyFont="1" applyNumberFormat="1"/>
    <xf borderId="11" fillId="6" fontId="4" numFmtId="0" xfId="0" applyBorder="1" applyFont="1"/>
    <xf borderId="28" fillId="0" fontId="2" numFmtId="0" xfId="0" applyBorder="1" applyFont="1"/>
    <xf borderId="1" fillId="0" fontId="4" numFmtId="4" xfId="0" applyAlignment="1" applyBorder="1" applyFont="1" applyNumberFormat="1">
      <alignment horizontal="center"/>
    </xf>
    <xf borderId="10" fillId="15" fontId="4" numFmtId="164" xfId="0" applyBorder="1" applyFont="1" applyNumberFormat="1"/>
    <xf borderId="0" fillId="0" fontId="9" numFmtId="0" xfId="0" applyAlignment="1" applyFont="1">
      <alignment readingOrder="0"/>
    </xf>
    <xf borderId="10" fillId="0" fontId="4" numFmtId="4" xfId="0" applyAlignment="1" applyBorder="1" applyFont="1" applyNumberFormat="1">
      <alignment horizontal="center"/>
    </xf>
    <xf borderId="6" fillId="0" fontId="4" numFmtId="164" xfId="0" applyAlignment="1" applyBorder="1" applyFont="1" applyNumberFormat="1">
      <alignment horizontal="center" vertical="center"/>
    </xf>
    <xf borderId="25" fillId="0" fontId="4" numFmtId="14" xfId="0" applyAlignment="1" applyBorder="1" applyFont="1" applyNumberFormat="1">
      <alignment horizontal="center" vertical="center"/>
    </xf>
    <xf borderId="0" fillId="0" fontId="4" numFmtId="14" xfId="0" applyAlignment="1" applyFont="1" applyNumberFormat="1">
      <alignment horizontal="center" vertical="center"/>
    </xf>
    <xf borderId="10" fillId="10" fontId="3" numFmtId="0" xfId="0" applyAlignment="1" applyBorder="1" applyFont="1">
      <alignment horizontal="center" shrinkToFit="0" wrapText="1"/>
    </xf>
    <xf borderId="1" fillId="2" fontId="12" numFmtId="0" xfId="0" applyAlignment="1" applyBorder="1" applyFont="1">
      <alignment horizontal="center" vertical="center"/>
    </xf>
    <xf borderId="10" fillId="6" fontId="4" numFmtId="164" xfId="0" applyAlignment="1" applyBorder="1" applyFont="1" applyNumberFormat="1">
      <alignment horizontal="center" vertical="center"/>
    </xf>
    <xf borderId="10" fillId="2" fontId="12" numFmtId="0" xfId="0" applyAlignment="1" applyBorder="1" applyFont="1">
      <alignment horizontal="center" vertical="center"/>
    </xf>
    <xf borderId="6" fillId="0" fontId="13" numFmtId="0" xfId="0" applyAlignment="1" applyBorder="1" applyFont="1">
      <alignment horizontal="center" shrinkToFit="0" vertical="center" wrapText="1"/>
    </xf>
    <xf borderId="1" fillId="15" fontId="14" numFmtId="0" xfId="0" applyAlignment="1" applyBorder="1" applyFont="1">
      <alignment horizontal="center"/>
    </xf>
    <xf borderId="4" fillId="0" fontId="3" numFmtId="14" xfId="0" applyAlignment="1" applyBorder="1" applyFont="1" applyNumberFormat="1">
      <alignment horizontal="center" vertical="center"/>
    </xf>
    <xf borderId="1" fillId="17" fontId="6" numFmtId="0" xfId="0" applyAlignment="1" applyBorder="1" applyFill="1" applyFont="1">
      <alignment horizontal="center" shrinkToFit="0" vertical="center" wrapText="1"/>
    </xf>
    <xf borderId="10" fillId="2" fontId="12" numFmtId="164" xfId="0" applyAlignment="1" applyBorder="1" applyFont="1" applyNumberFormat="1">
      <alignment vertical="center"/>
    </xf>
    <xf borderId="10" fillId="18" fontId="13" numFmtId="0" xfId="0" applyAlignment="1" applyBorder="1" applyFill="1" applyFont="1">
      <alignment horizontal="center" shrinkToFit="0" vertical="center" wrapText="1"/>
    </xf>
    <xf borderId="10" fillId="0" fontId="13" numFmtId="0" xfId="0" applyAlignment="1" applyBorder="1" applyFont="1">
      <alignment horizontal="center" shrinkToFit="0" vertical="center" wrapText="1"/>
    </xf>
    <xf borderId="10" fillId="0" fontId="13" numFmtId="164" xfId="0" applyAlignment="1" applyBorder="1" applyFont="1" applyNumberFormat="1">
      <alignment horizontal="center" shrinkToFit="0" vertical="center" wrapText="1"/>
    </xf>
    <xf borderId="10" fillId="18" fontId="13" numFmtId="164" xfId="0" applyAlignment="1" applyBorder="1" applyFont="1" applyNumberFormat="1">
      <alignment horizontal="center" shrinkToFit="0" vertical="center" wrapText="1"/>
    </xf>
    <xf borderId="10" fillId="18" fontId="4" numFmtId="0" xfId="0" applyAlignment="1" applyBorder="1" applyFont="1">
      <alignment vertical="center"/>
    </xf>
    <xf borderId="10" fillId="0" fontId="3" numFmtId="0" xfId="0" applyBorder="1" applyFont="1"/>
    <xf borderId="10" fillId="5" fontId="13" numFmtId="164" xfId="0" applyAlignment="1" applyBorder="1" applyFont="1" applyNumberFormat="1">
      <alignment horizontal="center" shrinkToFit="0" vertical="center" wrapText="1"/>
    </xf>
    <xf borderId="10" fillId="18" fontId="4" numFmtId="164" xfId="0" applyAlignment="1" applyBorder="1" applyFont="1" applyNumberFormat="1">
      <alignment vertical="center"/>
    </xf>
    <xf borderId="10" fillId="0" fontId="5" numFmtId="0" xfId="0" applyAlignment="1" applyBorder="1" applyFont="1">
      <alignment horizontal="center" shrinkToFit="0" wrapText="1"/>
    </xf>
    <xf borderId="10" fillId="0" fontId="5" numFmtId="164" xfId="0" applyAlignment="1" applyBorder="1" applyFont="1" applyNumberFormat="1">
      <alignment horizontal="center" shrinkToFit="0" wrapText="1"/>
    </xf>
    <xf borderId="10" fillId="0" fontId="4" numFmtId="168" xfId="0" applyAlignment="1" applyBorder="1" applyFont="1" applyNumberFormat="1">
      <alignment shrinkToFit="0" vertical="center" wrapText="1"/>
    </xf>
    <xf borderId="10" fillId="0" fontId="4" numFmtId="164" xfId="0" applyAlignment="1" applyBorder="1" applyFont="1" applyNumberFormat="1">
      <alignment shrinkToFit="0" vertical="center" wrapText="1"/>
    </xf>
    <xf borderId="1" fillId="17" fontId="3" numFmtId="0" xfId="0" applyAlignment="1" applyBorder="1" applyFont="1">
      <alignment horizontal="center" vertical="center"/>
    </xf>
    <xf borderId="10" fillId="0" fontId="12" numFmtId="0" xfId="0" applyAlignment="1" applyBorder="1" applyFont="1">
      <alignment horizontal="center" shrinkToFit="0" vertical="center" wrapText="1"/>
    </xf>
    <xf borderId="10" fillId="17" fontId="4" numFmtId="164" xfId="0" applyAlignment="1" applyBorder="1" applyFont="1" applyNumberFormat="1">
      <alignment vertical="center"/>
    </xf>
    <xf borderId="10" fillId="5" fontId="4" numFmtId="164" xfId="0" applyAlignment="1" applyBorder="1" applyFont="1" applyNumberFormat="1">
      <alignment horizontal="center" vertical="center"/>
    </xf>
    <xf borderId="1" fillId="17" fontId="6" numFmtId="0" xfId="0" applyAlignment="1" applyBorder="1" applyFont="1">
      <alignment horizontal="center" vertical="center"/>
    </xf>
    <xf borderId="10" fillId="0" fontId="12" numFmtId="164" xfId="0" applyAlignment="1" applyBorder="1" applyFont="1" applyNumberFormat="1">
      <alignment horizontal="center" shrinkToFit="0" vertical="center" wrapText="1"/>
    </xf>
    <xf borderId="10" fillId="19" fontId="3" numFmtId="164" xfId="0" applyBorder="1" applyFill="1" applyFont="1" applyNumberFormat="1"/>
    <xf borderId="4" fillId="8" fontId="12" numFmtId="0" xfId="0" applyAlignment="1" applyBorder="1" applyFont="1">
      <alignment horizontal="center" shrinkToFit="0" vertical="center" wrapText="1"/>
    </xf>
    <xf borderId="10" fillId="19" fontId="3" numFmtId="0" xfId="0" applyBorder="1" applyFont="1"/>
    <xf borderId="10" fillId="0" fontId="5" numFmtId="0" xfId="0" applyAlignment="1" applyBorder="1" applyFont="1">
      <alignment horizontal="center"/>
    </xf>
    <xf borderId="1" fillId="2" fontId="12" numFmtId="164" xfId="0" applyAlignment="1" applyBorder="1" applyFont="1" applyNumberFormat="1">
      <alignment horizontal="center" vertical="center"/>
    </xf>
    <xf borderId="6" fillId="0" fontId="3" numFmtId="164" xfId="0" applyAlignment="1" applyBorder="1" applyFont="1" applyNumberFormat="1">
      <alignment horizontal="center" vertical="center"/>
    </xf>
    <xf borderId="10" fillId="0" fontId="5" numFmtId="164" xfId="0" applyAlignment="1" applyBorder="1" applyFont="1" applyNumberFormat="1">
      <alignment horizontal="center"/>
    </xf>
    <xf borderId="6" fillId="0" fontId="6" numFmtId="14" xfId="0" applyAlignment="1" applyBorder="1" applyFont="1" applyNumberFormat="1">
      <alignment horizontal="center" shrinkToFit="0" vertical="center" wrapText="1"/>
    </xf>
    <xf borderId="10" fillId="2" fontId="12" numFmtId="164" xfId="0" applyAlignment="1" applyBorder="1" applyFont="1" applyNumberFormat="1">
      <alignment horizontal="center" vertical="center"/>
    </xf>
    <xf borderId="6" fillId="0" fontId="6" numFmtId="164" xfId="0" applyAlignment="1" applyBorder="1" applyFont="1" applyNumberFormat="1">
      <alignment horizontal="center" shrinkToFit="0" vertical="center" wrapText="1"/>
    </xf>
    <xf borderId="10" fillId="19" fontId="4" numFmtId="0" xfId="0" applyBorder="1" applyFont="1"/>
    <xf borderId="10" fillId="0" fontId="4" numFmtId="168" xfId="0" applyAlignment="1" applyBorder="1" applyFont="1" applyNumberFormat="1">
      <alignment vertical="center"/>
    </xf>
    <xf borderId="10" fillId="0" fontId="13" numFmtId="164" xfId="0" applyAlignment="1" applyBorder="1" applyFont="1" applyNumberForma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6" fillId="15" fontId="4" numFmtId="164" xfId="0" applyAlignment="1" applyBorder="1" applyFont="1" applyNumberFormat="1">
      <alignment horizontal="center" vertical="center"/>
    </xf>
    <xf borderId="10" fillId="0" fontId="12" numFmtId="164" xfId="0" applyAlignment="1" applyBorder="1" applyFont="1" applyNumberFormat="1">
      <alignment shrinkToFit="0" vertical="center" wrapText="1"/>
    </xf>
    <xf borderId="6" fillId="0" fontId="6" numFmtId="1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/>
    </xf>
    <xf borderId="0" fillId="0" fontId="13" numFmtId="0" xfId="0" applyAlignment="1" applyFont="1">
      <alignment horizontal="center" shrinkToFit="0" vertical="center" wrapText="1"/>
    </xf>
    <xf borderId="0" fillId="0" fontId="13" numFmtId="164" xfId="0" applyAlignment="1" applyFont="1" applyNumberFormat="1">
      <alignment horizontal="center" shrinkToFit="0" vertical="center" wrapText="1"/>
    </xf>
    <xf borderId="1" fillId="0" fontId="4" numFmtId="168" xfId="0" applyAlignment="1" applyBorder="1" applyFont="1" applyNumberFormat="1">
      <alignment horizontal="center" shrinkToFit="0" vertical="center" wrapText="1"/>
    </xf>
    <xf borderId="0" fillId="0" fontId="12" numFmtId="164" xfId="0" applyAlignment="1" applyFont="1" applyNumberFormat="1">
      <alignment horizontal="center" shrinkToFit="0" vertical="center" wrapText="1"/>
    </xf>
    <xf borderId="10" fillId="0" fontId="13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10" fillId="0" fontId="12" numFmtId="164" xfId="0" applyAlignment="1" applyBorder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horizontal="center"/>
    </xf>
    <xf borderId="10" fillId="0" fontId="13" numFmtId="164" xfId="0" applyAlignment="1" applyBorder="1" applyFont="1" applyNumberFormat="1">
      <alignment horizontal="center" shrinkToFit="0" wrapText="1"/>
    </xf>
    <xf borderId="6" fillId="0" fontId="13" numFmtId="0" xfId="0" applyAlignment="1" applyBorder="1" applyFont="1">
      <alignment horizontal="center" vertical="center"/>
    </xf>
    <xf borderId="10" fillId="15" fontId="12" numFmtId="164" xfId="0" applyAlignment="1" applyBorder="1" applyFont="1" applyNumberFormat="1">
      <alignment horizontal="center" shrinkToFit="0" vertical="center" wrapText="1"/>
    </xf>
    <xf borderId="6" fillId="0" fontId="13" numFmtId="16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0" fillId="9" fontId="4" numFmtId="0" xfId="0" applyBorder="1" applyFont="1"/>
    <xf borderId="10" fillId="0" fontId="4" numFmtId="168" xfId="0" applyAlignment="1" applyBorder="1" applyFont="1" applyNumberFormat="1">
      <alignment horizontal="center" vertical="center"/>
    </xf>
    <xf borderId="10" fillId="0" fontId="5" numFmtId="0" xfId="0" applyAlignment="1" applyBorder="1" applyFont="1">
      <alignment readingOrder="0"/>
    </xf>
    <xf borderId="11" fillId="15" fontId="3" numFmtId="164" xfId="0" applyAlignment="1" applyBorder="1" applyFont="1" applyNumberFormat="1">
      <alignment horizontal="center" vertical="center"/>
    </xf>
    <xf borderId="6" fillId="0" fontId="13" numFmtId="0" xfId="0" applyAlignment="1" applyBorder="1" applyFont="1">
      <alignment horizontal="center" readingOrder="0" vertical="center"/>
    </xf>
    <xf borderId="10" fillId="0" fontId="4" numFmtId="0" xfId="0" applyAlignment="1" applyBorder="1" applyFont="1">
      <alignment readingOrder="0" shrinkToFit="0" vertical="center" wrapText="1"/>
    </xf>
    <xf borderId="1" fillId="0" fontId="5" numFmtId="168" xfId="0" applyAlignment="1" applyBorder="1" applyFont="1" applyNumberFormat="1">
      <alignment horizontal="center" readingOrder="0" shrinkToFit="0" vertical="center" wrapText="1"/>
    </xf>
    <xf borderId="9" fillId="0" fontId="13" numFmtId="0" xfId="0" applyAlignment="1" applyBorder="1" applyFont="1">
      <alignment horizontal="center" readingOrder="0" vertical="center"/>
    </xf>
    <xf borderId="10" fillId="0" fontId="12" numFmtId="164" xfId="0" applyAlignment="1" applyBorder="1" applyFont="1" applyNumberFormat="1">
      <alignment horizontal="center" shrinkToFit="0" wrapText="1"/>
    </xf>
    <xf borderId="1" fillId="0" fontId="5" numFmtId="0" xfId="0" applyAlignment="1" applyBorder="1" applyFont="1">
      <alignment horizontal="center" readingOrder="0" shrinkToFit="0" vertical="center" wrapText="1"/>
    </xf>
    <xf borderId="10" fillId="6" fontId="13" numFmtId="164" xfId="0" applyAlignment="1" applyBorder="1" applyFont="1" applyNumberFormat="1">
      <alignment horizontal="center" shrinkToFit="0" vertical="center" wrapText="1"/>
    </xf>
    <xf borderId="10" fillId="8" fontId="12" numFmtId="0" xfId="0" applyAlignment="1" applyBorder="1" applyFont="1">
      <alignment horizontal="center" vertical="center"/>
    </xf>
    <xf borderId="10" fillId="15" fontId="3" numFmtId="164" xfId="0" applyBorder="1" applyFont="1" applyNumberFormat="1"/>
    <xf borderId="1" fillId="8" fontId="12" numFmtId="164" xfId="0" applyAlignment="1" applyBorder="1" applyFont="1" applyNumberFormat="1">
      <alignment horizontal="center" vertical="center"/>
    </xf>
    <xf borderId="10" fillId="9" fontId="3" numFmtId="164" xfId="0" applyBorder="1" applyFont="1" applyNumberFormat="1"/>
    <xf borderId="10" fillId="9" fontId="6" numFmtId="164" xfId="0" applyAlignment="1" applyBorder="1" applyFont="1" applyNumberFormat="1">
      <alignment readingOrder="0"/>
    </xf>
    <xf borderId="0" fillId="0" fontId="4" numFmtId="0" xfId="0" applyAlignment="1" applyFont="1">
      <alignment vertical="center"/>
    </xf>
    <xf borderId="29" fillId="17" fontId="3" numFmtId="0" xfId="0" applyAlignment="1" applyBorder="1" applyFont="1">
      <alignment horizontal="center" vertical="center"/>
    </xf>
    <xf borderId="1" fillId="10" fontId="12" numFmtId="164" xfId="0" applyAlignment="1" applyBorder="1" applyFont="1" applyNumberFormat="1">
      <alignment horizontal="center" shrinkToFit="0" vertical="center" wrapText="1"/>
    </xf>
    <xf borderId="18" fillId="17" fontId="3" numFmtId="0" xfId="0" applyAlignment="1" applyBorder="1" applyFont="1">
      <alignment horizontal="center" vertical="center"/>
    </xf>
    <xf borderId="30" fillId="0" fontId="2" numFmtId="0" xfId="0" applyBorder="1" applyFont="1"/>
    <xf borderId="0" fillId="0" fontId="3" numFmtId="164" xfId="0" applyAlignment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0" fontId="4" numFmtId="0" xfId="0" applyBorder="1" applyFont="1"/>
    <xf borderId="13" fillId="20" fontId="15" numFmtId="0" xfId="0" applyAlignment="1" applyBorder="1" applyFill="1" applyFont="1">
      <alignment horizontal="center" vertical="center"/>
    </xf>
    <xf borderId="4" fillId="17" fontId="3" numFmtId="0" xfId="0" applyAlignment="1" applyBorder="1" applyFont="1">
      <alignment horizontal="center" vertical="center"/>
    </xf>
    <xf borderId="10" fillId="21" fontId="3" numFmtId="0" xfId="0" applyAlignment="1" applyBorder="1" applyFill="1" applyFont="1">
      <alignment horizontal="center" shrinkToFit="0" vertical="center" wrapText="1"/>
    </xf>
    <xf borderId="10" fillId="21" fontId="3" numFmtId="164" xfId="0" applyAlignment="1" applyBorder="1" applyFont="1" applyNumberFormat="1">
      <alignment horizontal="center" shrinkToFit="0" vertical="center" wrapText="1"/>
    </xf>
    <xf borderId="10" fillId="18" fontId="3" numFmtId="0" xfId="0" applyAlignment="1" applyBorder="1" applyFont="1">
      <alignment horizontal="center" shrinkToFit="0" vertical="center" wrapText="1"/>
    </xf>
    <xf borderId="31" fillId="17" fontId="4" numFmtId="0" xfId="0" applyAlignment="1" applyBorder="1" applyFont="1">
      <alignment horizontal="center" vertical="center"/>
    </xf>
    <xf borderId="32" fillId="0" fontId="2" numFmtId="0" xfId="0" applyBorder="1" applyFont="1"/>
    <xf borderId="10" fillId="0" fontId="4" numFmtId="164" xfId="0" applyAlignment="1" applyBorder="1" applyFont="1" applyNumberFormat="1">
      <alignment horizontal="center"/>
    </xf>
    <xf borderId="10" fillId="0" fontId="16" numFmtId="164" xfId="0" applyAlignment="1" applyBorder="1" applyFont="1" applyNumberFormat="1">
      <alignment horizontal="center" shrinkToFit="0" wrapText="1"/>
    </xf>
    <xf borderId="10" fillId="18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horizontal="center" vertical="center"/>
    </xf>
    <xf borderId="33" fillId="0" fontId="2" numFmtId="0" xfId="0" applyBorder="1" applyFont="1"/>
    <xf borderId="34" fillId="0" fontId="2" numFmtId="0" xfId="0" applyBorder="1" applyFont="1"/>
    <xf borderId="10" fillId="18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10" fillId="0" fontId="16" numFmtId="164" xfId="0" applyAlignment="1" applyBorder="1" applyFont="1" applyNumberFormat="1">
      <alignment horizontal="center"/>
    </xf>
    <xf borderId="25" fillId="0" fontId="4" numFmtId="164" xfId="0" applyAlignment="1" applyBorder="1" applyFont="1" applyNumberFormat="1">
      <alignment horizontal="center" vertical="center"/>
    </xf>
    <xf borderId="35" fillId="0" fontId="4" numFmtId="0" xfId="0" applyAlignment="1" applyBorder="1" applyFont="1">
      <alignment horizontal="center"/>
    </xf>
    <xf borderId="1" fillId="22" fontId="3" numFmtId="0" xfId="0" applyAlignment="1" applyBorder="1" applyFill="1" applyFont="1">
      <alignment horizontal="center" vertical="center"/>
    </xf>
    <xf borderId="10" fillId="0" fontId="4" numFmtId="0" xfId="0" applyAlignment="1" applyBorder="1" applyFont="1">
      <alignment shrinkToFit="0" vertical="center" wrapText="1"/>
    </xf>
    <xf borderId="35" fillId="0" fontId="2" numFmtId="0" xfId="0" applyBorder="1" applyFont="1"/>
    <xf borderId="10" fillId="18" fontId="4" numFmtId="0" xfId="0" applyAlignment="1" applyBorder="1" applyFont="1">
      <alignment horizontal="center" vertical="center"/>
    </xf>
    <xf borderId="7" fillId="0" fontId="4" numFmtId="164" xfId="0" applyAlignment="1" applyBorder="1" applyFont="1" applyNumberFormat="1">
      <alignment horizontal="center" vertical="center"/>
    </xf>
    <xf borderId="1" fillId="9" fontId="15" numFmtId="0" xfId="0" applyAlignment="1" applyBorder="1" applyFont="1">
      <alignment horizontal="center" shrinkToFit="0" vertical="center" wrapText="1"/>
    </xf>
    <xf borderId="10" fillId="0" fontId="4" numFmtId="167" xfId="0" applyAlignment="1" applyBorder="1" applyFont="1" applyNumberFormat="1">
      <alignment horizontal="center" vertical="center"/>
    </xf>
    <xf borderId="10" fillId="5" fontId="3" numFmtId="164" xfId="0" applyAlignment="1" applyBorder="1" applyFont="1" applyNumberFormat="1">
      <alignment horizontal="center" shrinkToFit="0" wrapText="1"/>
    </xf>
    <xf borderId="0" fillId="0" fontId="3" numFmtId="0" xfId="0" applyAlignment="1" applyFont="1">
      <alignment horizontal="center" shrinkToFit="0" vertical="center" wrapText="1"/>
    </xf>
    <xf borderId="36" fillId="9" fontId="4" numFmtId="0" xfId="0" applyBorder="1" applyFont="1"/>
    <xf borderId="10" fillId="9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0" fillId="15" fontId="3" numFmtId="0" xfId="0" applyAlignment="1" applyBorder="1" applyFont="1">
      <alignment horizontal="center" vertical="center"/>
    </xf>
    <xf borderId="37" fillId="23" fontId="17" numFmtId="0" xfId="0" applyAlignment="1" applyBorder="1" applyFill="1" applyFont="1">
      <alignment horizontal="center" vertical="center"/>
    </xf>
    <xf borderId="38" fillId="0" fontId="2" numFmtId="0" xfId="0" applyBorder="1" applyFont="1"/>
    <xf borderId="10" fillId="9" fontId="4" numFmtId="164" xfId="0" applyBorder="1" applyFont="1" applyNumberFormat="1"/>
    <xf borderId="39" fillId="0" fontId="2" numFmtId="0" xfId="0" applyBorder="1" applyFont="1"/>
    <xf borderId="10" fillId="0" fontId="3" numFmtId="164" xfId="0" applyAlignment="1" applyBorder="1" applyFont="1" applyNumberFormat="1">
      <alignment horizontal="center" vertical="center"/>
    </xf>
    <xf borderId="40" fillId="23" fontId="18" numFmtId="0" xfId="0" applyAlignment="1" applyBorder="1" applyFont="1">
      <alignment horizontal="center" shrinkToFit="0" vertical="center" wrapText="1"/>
    </xf>
    <xf borderId="10" fillId="0" fontId="4" numFmtId="168" xfId="0" applyBorder="1" applyFont="1" applyNumberFormat="1"/>
    <xf borderId="3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0" fillId="15" fontId="4" numFmtId="0" xfId="0" applyAlignment="1" applyBorder="1" applyFont="1">
      <alignment vertical="center"/>
    </xf>
    <xf borderId="10" fillId="5" fontId="4" numFmtId="168" xfId="0" applyAlignment="1" applyBorder="1" applyFont="1" applyNumberFormat="1">
      <alignment horizontal="center" vertical="center"/>
    </xf>
    <xf borderId="41" fillId="24" fontId="18" numFmtId="0" xfId="0" applyAlignment="1" applyBorder="1" applyFill="1" applyFont="1">
      <alignment horizontal="left" vertical="center"/>
    </xf>
    <xf borderId="40" fillId="25" fontId="19" numFmtId="0" xfId="0" applyAlignment="1" applyBorder="1" applyFill="1" applyFont="1">
      <alignment horizontal="left" vertical="center"/>
    </xf>
    <xf borderId="10" fillId="5" fontId="4" numFmtId="168" xfId="0" applyBorder="1" applyFont="1" applyNumberFormat="1"/>
    <xf borderId="41" fillId="25" fontId="19" numFmtId="0" xfId="0" applyAlignment="1" applyBorder="1" applyFont="1">
      <alignment horizontal="right" vertical="center"/>
    </xf>
    <xf borderId="40" fillId="25" fontId="19" numFmtId="0" xfId="0" applyAlignment="1" applyBorder="1" applyFont="1">
      <alignment horizontal="right" vertical="center"/>
    </xf>
    <xf borderId="41" fillId="26" fontId="20" numFmtId="0" xfId="0" applyAlignment="1" applyBorder="1" applyFill="1" applyFont="1">
      <alignment horizontal="right" vertical="center"/>
    </xf>
    <xf borderId="42" fillId="0" fontId="2" numFmtId="0" xfId="0" applyBorder="1" applyFont="1"/>
    <xf borderId="43" fillId="0" fontId="2" numFmtId="0" xfId="0" applyBorder="1" applyFont="1"/>
    <xf borderId="9" fillId="0" fontId="4" numFmtId="0" xfId="0" applyBorder="1" applyFont="1"/>
    <xf borderId="6" fillId="18" fontId="3" numFmtId="0" xfId="0" applyAlignment="1" applyBorder="1" applyFont="1">
      <alignment horizontal="center" shrinkToFit="0" vertical="center" wrapText="1"/>
    </xf>
    <xf borderId="40" fillId="24" fontId="18" numFmtId="0" xfId="0" applyAlignment="1" applyBorder="1" applyFont="1">
      <alignment horizontal="left" vertical="center"/>
    </xf>
    <xf borderId="40" fillId="27" fontId="19" numFmtId="0" xfId="0" applyAlignment="1" applyBorder="1" applyFill="1" applyFont="1">
      <alignment horizontal="left" vertical="center"/>
    </xf>
    <xf borderId="40" fillId="27" fontId="19" numFmtId="0" xfId="0" applyAlignment="1" applyBorder="1" applyFont="1">
      <alignment horizontal="right" vertical="center"/>
    </xf>
    <xf borderId="40" fillId="28" fontId="21" numFmtId="0" xfId="0" applyAlignment="1" applyBorder="1" applyFill="1" applyFont="1">
      <alignment horizontal="right" vertical="center"/>
    </xf>
    <xf borderId="41" fillId="28" fontId="21" numFmtId="0" xfId="0" applyAlignment="1" applyBorder="1" applyFont="1">
      <alignment horizontal="right" vertical="center"/>
    </xf>
    <xf borderId="1" fillId="15" fontId="3" numFmtId="0" xfId="0" applyAlignment="1" applyBorder="1" applyFont="1">
      <alignment horizontal="center"/>
    </xf>
    <xf borderId="6" fillId="0" fontId="4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vertical="center"/>
    </xf>
    <xf borderId="40" fillId="26" fontId="20" numFmtId="0" xfId="0" applyAlignment="1" applyBorder="1" applyFont="1">
      <alignment horizontal="right" vertical="center"/>
    </xf>
    <xf borderId="1" fillId="20" fontId="15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shrinkToFit="0" wrapText="1"/>
    </xf>
    <xf borderId="10" fillId="0" fontId="4" numFmtId="164" xfId="0" applyAlignment="1" applyBorder="1" applyFont="1" applyNumberFormat="1">
      <alignment horizontal="center" shrinkToFit="0" wrapText="1"/>
    </xf>
    <xf borderId="10" fillId="6" fontId="4" numFmtId="164" xfId="0" applyAlignment="1" applyBorder="1" applyFont="1" applyNumberFormat="1">
      <alignment horizontal="center"/>
    </xf>
    <xf borderId="37" fillId="29" fontId="18" numFmtId="0" xfId="0" applyAlignment="1" applyBorder="1" applyFill="1" applyFont="1">
      <alignment horizontal="right" vertical="center"/>
    </xf>
    <xf borderId="40" fillId="29" fontId="4" numFmtId="0" xfId="0" applyBorder="1" applyFont="1"/>
    <xf borderId="40" fillId="29" fontId="18" numFmtId="0" xfId="0" applyAlignment="1" applyBorder="1" applyFont="1">
      <alignment horizontal="right" vertical="center"/>
    </xf>
    <xf borderId="1" fillId="9" fontId="3" numFmtId="0" xfId="0" applyAlignment="1" applyBorder="1" applyFont="1">
      <alignment horizontal="center" vertical="center"/>
    </xf>
    <xf borderId="10" fillId="20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/>
    </xf>
    <xf borderId="0" fillId="0" fontId="3" numFmtId="0" xfId="0" applyAlignment="1" applyFont="1">
      <alignment vertical="center"/>
    </xf>
    <xf borderId="44" fillId="2" fontId="14" numFmtId="0" xfId="0" applyAlignment="1" applyBorder="1" applyFont="1">
      <alignment horizontal="center" vertical="center"/>
    </xf>
    <xf borderId="45" fillId="0" fontId="2" numFmtId="0" xfId="0" applyBorder="1" applyFont="1"/>
    <xf borderId="46" fillId="0" fontId="2" numFmtId="0" xfId="0" applyBorder="1" applyFont="1"/>
    <xf borderId="47" fillId="0" fontId="2" numFmtId="0" xfId="0" applyBorder="1" applyFont="1"/>
    <xf borderId="48" fillId="0" fontId="2" numFmtId="0" xfId="0" applyBorder="1" applyFont="1"/>
    <xf borderId="49" fillId="0" fontId="2" numFmtId="0" xfId="0" applyBorder="1" applyFont="1"/>
    <xf borderId="50" fillId="30" fontId="14" numFmtId="0" xfId="0" applyAlignment="1" applyBorder="1" applyFill="1" applyFont="1">
      <alignment horizontal="center" shrinkToFit="0" wrapText="1"/>
    </xf>
    <xf borderId="16" fillId="3" fontId="3" numFmtId="164" xfId="0" applyAlignment="1" applyBorder="1" applyFont="1" applyNumberFormat="1">
      <alignment horizontal="center" shrinkToFit="0" vertical="center" wrapText="1"/>
    </xf>
    <xf borderId="10" fillId="4" fontId="3" numFmtId="0" xfId="0" applyAlignment="1" applyBorder="1" applyFont="1">
      <alignment horizontal="center" shrinkToFit="0" vertical="center" wrapText="1"/>
    </xf>
    <xf borderId="51" fillId="4" fontId="4" numFmtId="164" xfId="0" applyAlignment="1" applyBorder="1" applyFont="1" applyNumberFormat="1">
      <alignment horizontal="center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0" fillId="4" fontId="8" numFmtId="0" xfId="0" applyAlignment="1" applyBorder="1" applyFont="1">
      <alignment horizontal="center" shrinkToFit="0" vertical="center" wrapText="1"/>
    </xf>
    <xf borderId="10" fillId="4" fontId="8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2" fillId="0" fontId="4" numFmtId="0" xfId="0" applyBorder="1" applyFont="1"/>
    <xf borderId="12" fillId="0" fontId="4" numFmtId="0" xfId="0" applyAlignment="1" applyBorder="1" applyFont="1">
      <alignment horizontal="center"/>
    </xf>
    <xf borderId="10" fillId="0" fontId="16" numFmtId="0" xfId="0" applyAlignment="1" applyBorder="1" applyFont="1">
      <alignment horizontal="center" shrinkToFit="0" vertical="center" wrapText="1"/>
    </xf>
    <xf borderId="10" fillId="0" fontId="16" numFmtId="164" xfId="0" applyAlignment="1" applyBorder="1" applyFont="1" applyNumberFormat="1">
      <alignment horizontal="center" shrinkToFit="0" vertical="center" wrapText="1"/>
    </xf>
    <xf borderId="1" fillId="12" fontId="3" numFmtId="0" xfId="0" applyAlignment="1" applyBorder="1" applyFont="1">
      <alignment horizontal="center" shrinkToFit="0" vertical="center" wrapText="1"/>
    </xf>
    <xf borderId="10" fillId="15" fontId="3" numFmtId="164" xfId="0" applyAlignment="1" applyBorder="1" applyFont="1" applyNumberFormat="1">
      <alignment horizontal="center" shrinkToFit="0" vertical="center" wrapText="1"/>
    </xf>
    <xf borderId="1" fillId="30" fontId="14" numFmtId="0" xfId="0" applyAlignment="1" applyBorder="1" applyFont="1">
      <alignment horizontal="center" shrinkToFit="0" wrapText="1"/>
    </xf>
    <xf borderId="6" fillId="5" fontId="4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vertical="center"/>
    </xf>
    <xf borderId="10" fillId="2" fontId="10" numFmtId="0" xfId="0" applyAlignment="1" applyBorder="1" applyFont="1">
      <alignment vertical="center"/>
    </xf>
    <xf borderId="10" fillId="4" fontId="4" numFmtId="0" xfId="0" applyBorder="1" applyFont="1"/>
    <xf borderId="10" fillId="31" fontId="5" numFmtId="164" xfId="0" applyAlignment="1" applyBorder="1" applyFill="1" applyFont="1" applyNumberFormat="1">
      <alignment readingOrder="0"/>
    </xf>
    <xf borderId="10" fillId="31" fontId="4" numFmtId="164" xfId="0" applyBorder="1" applyFont="1" applyNumberFormat="1"/>
    <xf borderId="6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11" fillId="31" fontId="4" numFmtId="0" xfId="0" applyBorder="1" applyFont="1"/>
    <xf borderId="1" fillId="2" fontId="6" numFmtId="14" xfId="0" applyAlignment="1" applyBorder="1" applyFont="1" applyNumberFormat="1">
      <alignment horizontal="center" readingOrder="0" vertical="center"/>
    </xf>
    <xf borderId="10" fillId="0" fontId="5" numFmtId="164" xfId="0" applyAlignment="1" applyBorder="1" applyFont="1" applyNumberFormat="1">
      <alignment readingOrder="0"/>
    </xf>
    <xf borderId="10" fillId="7" fontId="5" numFmtId="164" xfId="0" applyAlignment="1" applyBorder="1" applyFont="1" applyNumberFormat="1">
      <alignment readingOrder="0"/>
    </xf>
    <xf borderId="10" fillId="0" fontId="5" numFmtId="0" xfId="0" applyAlignment="1" applyBorder="1" applyFont="1">
      <alignment horizontal="center" readingOrder="0" vertical="center"/>
    </xf>
    <xf borderId="10" fillId="5" fontId="5" numFmtId="164" xfId="0" applyAlignment="1" applyBorder="1" applyFont="1" applyNumberFormat="1">
      <alignment readingOrder="0"/>
    </xf>
    <xf borderId="10" fillId="4" fontId="5" numFmtId="164" xfId="0" applyAlignment="1" applyBorder="1" applyFont="1" applyNumberFormat="1">
      <alignment horizontal="center" readingOrder="0" vertical="center"/>
    </xf>
    <xf borderId="0" fillId="0" fontId="13" numFmtId="164" xfId="0" applyAlignment="1" applyFont="1" applyNumberFormat="1">
      <alignment horizontal="center" vertical="center"/>
    </xf>
    <xf borderId="10" fillId="18" fontId="3" numFmtId="0" xfId="0" applyAlignment="1" applyBorder="1" applyFont="1">
      <alignment shrinkToFit="0" wrapText="1"/>
    </xf>
    <xf borderId="10" fillId="18" fontId="3" numFmtId="0" xfId="0" applyBorder="1" applyFont="1"/>
    <xf borderId="10" fillId="0" fontId="6" numFmtId="0" xfId="0" applyAlignment="1" applyBorder="1" applyFont="1">
      <alignment horizontal="center" readingOrder="0" vertical="center"/>
    </xf>
    <xf borderId="10" fillId="0" fontId="5" numFmtId="164" xfId="0" applyAlignment="1" applyBorder="1" applyFont="1" applyNumberFormat="1">
      <alignment horizontal="center" readingOrder="0" vertical="center"/>
    </xf>
    <xf borderId="10" fillId="0" fontId="8" numFmtId="0" xfId="0" applyAlignment="1" applyBorder="1" applyFont="1">
      <alignment horizontal="center" shrinkToFit="0" vertical="center" wrapText="1"/>
    </xf>
    <xf borderId="10" fillId="2" fontId="6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vertical="center"/>
    </xf>
    <xf borderId="28" fillId="0" fontId="7" numFmtId="0" xfId="0" applyBorder="1" applyFont="1"/>
    <xf borderId="1" fillId="0" fontId="4" numFmtId="0" xfId="0" applyBorder="1" applyFont="1"/>
    <xf borderId="10" fillId="7" fontId="9" numFmtId="166" xfId="0" applyAlignment="1" applyBorder="1" applyFont="1" applyNumberFormat="1">
      <alignment readingOrder="0"/>
    </xf>
    <xf borderId="10" fillId="8" fontId="5" numFmtId="164" xfId="0" applyAlignment="1" applyBorder="1" applyFont="1" applyNumberFormat="1">
      <alignment readingOrder="0"/>
    </xf>
    <xf borderId="10" fillId="0" fontId="4" numFmtId="0" xfId="0" applyAlignment="1" applyBorder="1" applyFont="1">
      <alignment readingOrder="0"/>
    </xf>
    <xf borderId="1" fillId="15" fontId="22" numFmtId="0" xfId="0" applyAlignment="1" applyBorder="1" applyFont="1">
      <alignment horizontal="center" readingOrder="0"/>
    </xf>
    <xf borderId="4" fillId="0" fontId="6" numFmtId="14" xfId="0" applyAlignment="1" applyBorder="1" applyFont="1" applyNumberForma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readingOrder="0"/>
    </xf>
    <xf borderId="10" fillId="0" fontId="5" numFmtId="164" xfId="0" applyAlignment="1" applyBorder="1" applyFont="1" applyNumberFormat="1">
      <alignment horizontal="center" readingOrder="0"/>
    </xf>
    <xf borderId="10" fillId="0" fontId="6" numFmtId="0" xfId="0" applyAlignment="1" applyBorder="1" applyFont="1">
      <alignment readingOrder="0"/>
    </xf>
    <xf borderId="10" fillId="0" fontId="23" numFmtId="0" xfId="0" applyAlignment="1" applyBorder="1" applyFont="1">
      <alignment horizontal="center" readingOrder="0" vertical="center"/>
    </xf>
    <xf borderId="10" fillId="0" fontId="5" numFmtId="164" xfId="0" applyAlignment="1" applyBorder="1" applyFont="1" applyNumberFormat="1">
      <alignment readingOrder="0" vertical="center"/>
    </xf>
    <xf borderId="10" fillId="0" fontId="5" numFmtId="166" xfId="0" applyAlignment="1" applyBorder="1" applyFont="1" applyNumberFormat="1">
      <alignment readingOrder="0"/>
    </xf>
    <xf borderId="10" fillId="0" fontId="5" numFmtId="164" xfId="0" applyAlignment="1" applyBorder="1" applyFont="1" applyNumberFormat="1">
      <alignment readingOrder="0" shrinkToFit="0" wrapText="1"/>
    </xf>
    <xf borderId="0" fillId="7" fontId="9" numFmtId="166" xfId="0" applyAlignment="1" applyFont="1" applyNumberFormat="1">
      <alignment readingOrder="0"/>
    </xf>
    <xf borderId="1" fillId="19" fontId="3" numFmtId="164" xfId="0" applyBorder="1" applyFont="1" applyNumberFormat="1"/>
    <xf borderId="1" fillId="2" fontId="12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shrinkToFit="0" vertical="center" wrapText="1"/>
    </xf>
    <xf borderId="1" fillId="17" fontId="6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/>
    </xf>
    <xf borderId="0" fillId="0" fontId="6" numFmtId="14" xfId="0" applyAlignment="1" applyFont="1" applyNumberFormat="1">
      <alignment horizontal="center" vertical="center"/>
    </xf>
    <xf borderId="10" fillId="0" fontId="9" numFmtId="0" xfId="0" applyAlignment="1" applyBorder="1" applyFont="1">
      <alignment horizontal="center" readingOrder="0"/>
    </xf>
    <xf borderId="10" fillId="0" fontId="9" numFmtId="166" xfId="0" applyAlignment="1" applyBorder="1" applyFont="1" applyNumberFormat="1">
      <alignment readingOrder="0"/>
    </xf>
    <xf borderId="1" fillId="2" fontId="12" numFmtId="164" xfId="0" applyAlignment="1" applyBorder="1" applyFont="1" applyNumberFormat="1">
      <alignment horizontal="center" readingOrder="0" vertical="center"/>
    </xf>
    <xf borderId="10" fillId="0" fontId="13" numFmtId="164" xfId="0" applyAlignment="1" applyBorder="1" applyFont="1" applyNumberFormat="1">
      <alignment horizontal="center" readingOrder="0" shrinkToFit="0" wrapText="1"/>
    </xf>
    <xf borderId="10" fillId="0" fontId="5" numFmtId="0" xfId="0" applyAlignment="1" applyBorder="1" applyFont="1">
      <alignment horizontal="center" readingOrder="0" shrinkToFit="0" vertical="center" wrapText="1"/>
    </xf>
    <xf borderId="10" fillId="0" fontId="13" numFmtId="164" xfId="0" applyAlignment="1" applyBorder="1" applyFont="1" applyNumberFormat="1">
      <alignment horizontal="center" readingOrder="0" shrinkToFit="0" vertical="center" wrapText="1"/>
    </xf>
    <xf borderId="10" fillId="0" fontId="5" numFmtId="0" xfId="0" applyAlignment="1" applyBorder="1" applyFont="1">
      <alignment readingOrder="0" shrinkToFit="0" vertical="center" wrapText="1"/>
    </xf>
    <xf borderId="10" fillId="0" fontId="12" numFmtId="164" xfId="0" applyAlignment="1" applyBorder="1" applyFont="1" applyNumberFormat="1">
      <alignment horizontal="center" readingOrder="0" shrinkToFit="0" wrapText="1"/>
    </xf>
    <xf borderId="10" fillId="0" fontId="5" numFmtId="0" xfId="0" applyAlignment="1" applyBorder="1" applyFont="1">
      <alignment readingOrder="0" vertical="center"/>
    </xf>
    <xf borderId="10" fillId="0" fontId="24" numFmtId="164" xfId="0" applyAlignment="1" applyBorder="1" applyFont="1" applyNumberFormat="1">
      <alignment horizontal="center" readingOrder="0" shrinkToFit="0" wrapText="1"/>
    </xf>
    <xf borderId="6" fillId="0" fontId="13" numFmtId="0" xfId="0" applyAlignment="1" applyBorder="1" applyFont="1">
      <alignment horizontal="center" readingOrder="0" shrinkToFit="0" vertical="center" wrapText="1"/>
    </xf>
    <xf borderId="13" fillId="20" fontId="2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6" fillId="0" fontId="5" numFmtId="164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readingOrder="0" shrinkToFit="0" vertical="center" wrapText="1"/>
    </xf>
    <xf borderId="10" fillId="0" fontId="6" numFmtId="0" xfId="0" applyAlignment="1" applyBorder="1" applyFont="1">
      <alignment horizontal="center" readingOrder="0"/>
    </xf>
    <xf borderId="10" fillId="0" fontId="6" numFmtId="0" xfId="0" applyAlignment="1" applyBorder="1" applyFont="1">
      <alignment horizontal="center" readingOrder="0" shrinkToFit="0" wrapText="1"/>
    </xf>
    <xf borderId="10" fillId="5" fontId="5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10" fillId="3" fontId="3" numFmtId="164" xfId="0" applyAlignment="1" applyBorder="1" applyFont="1" applyNumberFormat="1">
      <alignment horizontal="center" shrinkToFit="0" vertical="center" wrapText="1"/>
    </xf>
    <xf borderId="6" fillId="4" fontId="4" numFmtId="164" xfId="0" applyAlignment="1" applyBorder="1" applyFont="1" applyNumberFormat="1">
      <alignment horizontal="center"/>
    </xf>
    <xf borderId="1" fillId="3" fontId="4" numFmtId="0" xfId="0" applyAlignment="1" applyBorder="1" applyFont="1">
      <alignment horizontal="center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10" fillId="3" fontId="4" numFmtId="164" xfId="0" applyAlignment="1" applyBorder="1" applyFont="1" applyNumberFormat="1">
      <alignment horizontal="center" shrinkToFit="0" vertical="center" wrapText="1"/>
    </xf>
    <xf borderId="27" fillId="0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10" fillId="0" fontId="3" numFmtId="164" xfId="0" applyAlignment="1" applyBorder="1" applyFont="1" applyNumberFormat="1">
      <alignment horizontal="center" shrinkToFit="0" vertical="center" wrapText="1"/>
    </xf>
    <xf borderId="10" fillId="0" fontId="3" numFmtId="0" xfId="0" applyAlignment="1" applyBorder="1" applyFont="1">
      <alignment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1" fillId="9" fontId="3" numFmtId="0" xfId="0" applyAlignment="1" applyBorder="1" applyFont="1">
      <alignment horizontal="center" shrinkToFit="0" vertical="center" wrapText="1"/>
    </xf>
    <xf borderId="10" fillId="20" fontId="3" numFmtId="0" xfId="0" applyAlignment="1" applyBorder="1" applyFont="1">
      <alignment horizontal="center" shrinkToFit="0" vertical="center" wrapText="1"/>
    </xf>
    <xf borderId="10" fillId="2" fontId="3" numFmtId="0" xfId="0" applyAlignment="1" applyBorder="1" applyFont="1">
      <alignment horizontal="center" shrinkToFit="0" wrapText="1"/>
    </xf>
    <xf borderId="10" fillId="10" fontId="4" numFmtId="0" xfId="0" applyAlignment="1" applyBorder="1" applyFont="1">
      <alignment shrinkToFit="0" wrapText="1"/>
    </xf>
    <xf borderId="1" fillId="32" fontId="26" numFmtId="0" xfId="0" applyAlignment="1" applyBorder="1" applyFill="1" applyFont="1">
      <alignment horizontal="center" readingOrder="0"/>
    </xf>
    <xf borderId="1" fillId="32" fontId="26" numFmtId="0" xfId="0" applyAlignment="1" applyBorder="1" applyFont="1">
      <alignment readingOrder="0"/>
    </xf>
    <xf borderId="1" fillId="33" fontId="27" numFmtId="0" xfId="0" applyAlignment="1" applyBorder="1" applyFill="1" applyFont="1">
      <alignment horizontal="center" readingOrder="0"/>
    </xf>
    <xf borderId="10" fillId="33" fontId="27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9" numFmtId="0" xfId="0" applyAlignment="1" applyBorder="1" applyFont="1">
      <alignment horizontal="center" readingOrder="0"/>
    </xf>
    <xf borderId="10" fillId="0" fontId="9" numFmtId="169" xfId="0" applyAlignment="1" applyBorder="1" applyFont="1" applyNumberFormat="1">
      <alignment readingOrder="0"/>
    </xf>
    <xf borderId="10" fillId="0" fontId="9" numFmtId="0" xfId="0" applyAlignment="1" applyBorder="1" applyFont="1">
      <alignment readingOrder="0"/>
    </xf>
    <xf borderId="1" fillId="0" fontId="7" numFmtId="164" xfId="0" applyBorder="1" applyFont="1" applyNumberFormat="1"/>
    <xf borderId="1" fillId="0" fontId="9" numFmtId="164" xfId="0" applyAlignment="1" applyBorder="1" applyFont="1" applyNumberFormat="1">
      <alignment readingOrder="0"/>
    </xf>
    <xf borderId="1" fillId="0" fontId="27" numFmtId="0" xfId="0" applyAlignment="1" applyBorder="1" applyFont="1">
      <alignment horizontal="center" readingOrder="0"/>
    </xf>
    <xf borderId="10" fillId="0" fontId="28" numFmtId="166" xfId="0" applyBorder="1" applyFont="1" applyNumberFormat="1"/>
    <xf borderId="1" fillId="0" fontId="9" numFmtId="0" xfId="0" applyAlignment="1" applyBorder="1" applyFont="1">
      <alignment horizontal="center" readingOrder="0" vertical="center"/>
    </xf>
    <xf borderId="1" fillId="0" fontId="7" numFmtId="168" xfId="0" applyAlignment="1" applyBorder="1" applyFont="1" applyNumberFormat="1">
      <alignment shrinkToFit="0" wrapText="1"/>
    </xf>
    <xf borderId="1" fillId="0" fontId="7" numFmtId="164" xfId="0" applyAlignment="1" applyBorder="1" applyFont="1" applyNumberFormat="1">
      <alignment vertical="center"/>
    </xf>
    <xf borderId="1" fillId="0" fontId="7" numFmtId="0" xfId="0" applyAlignment="1" applyBorder="1" applyFont="1">
      <alignment readingOrder="0" shrinkToFit="0" wrapText="1"/>
    </xf>
    <xf borderId="1" fillId="0" fontId="27" numFmtId="0" xfId="0" applyAlignment="1" applyBorder="1" applyFont="1">
      <alignment horizontal="center" readingOrder="0" vertical="center"/>
    </xf>
    <xf borderId="1" fillId="0" fontId="12" numFmtId="164" xfId="0" applyAlignment="1" applyBorder="1" applyFont="1" applyNumberFormat="1">
      <alignment horizontal="center" vertical="center"/>
    </xf>
    <xf borderId="1" fillId="0" fontId="13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readingOrder="0" shrinkToFit="0" wrapText="1"/>
    </xf>
    <xf borderId="1" fillId="0" fontId="5" numFmtId="166" xfId="0" applyAlignment="1" applyBorder="1" applyFont="1" applyNumberFormat="1">
      <alignment readingOrder="0"/>
    </xf>
    <xf borderId="1" fillId="0" fontId="4" numFmtId="164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readingOrder="0" shrinkToFit="0" vertical="center" wrapText="1"/>
    </xf>
    <xf borderId="1" fillId="0" fontId="9" numFmtId="164" xfId="0" applyAlignment="1" applyBorder="1" applyFont="1" applyNumberFormat="1">
      <alignment readingOrder="0" vertical="center"/>
    </xf>
    <xf borderId="1" fillId="0" fontId="28" numFmtId="164" xfId="0" applyBorder="1" applyFont="1" applyNumberFormat="1"/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36.88"/>
    <col customWidth="1" min="4" max="4" width="32.38"/>
    <col customWidth="1" min="5" max="5" width="19.75"/>
    <col customWidth="1" min="6" max="6" width="21.5"/>
    <col customWidth="1" min="7" max="7" width="13.63"/>
    <col customWidth="1" min="8" max="8" width="17.0"/>
    <col customWidth="1" min="9" max="9" width="14.63"/>
    <col customWidth="1" min="10" max="10" width="14.25"/>
    <col customWidth="1" min="11" max="11" width="10.63"/>
    <col customWidth="1" min="12" max="12" width="14.75"/>
    <col customWidth="1" min="13" max="13" width="14.5"/>
    <col customWidth="1" min="14" max="14" width="14.38"/>
    <col customWidth="1" min="15" max="15" width="14.5"/>
    <col customWidth="1" min="16" max="16" width="14.25"/>
    <col customWidth="1" min="17" max="17" width="15.63"/>
    <col customWidth="1" min="18" max="18" width="14.88"/>
    <col customWidth="1" min="19" max="19" width="16.25"/>
    <col customWidth="1" min="20" max="20" width="18.88"/>
    <col customWidth="1" min="21" max="21" width="17.5"/>
    <col customWidth="1" min="22" max="22" width="16.75"/>
    <col customWidth="1" min="23" max="23" width="14.25"/>
    <col customWidth="1" min="24" max="24" width="10.63"/>
    <col customWidth="1" min="25" max="25" width="21.25"/>
    <col customWidth="1" min="26" max="26" width="21.0"/>
    <col customWidth="1" min="27" max="27" width="18.38"/>
    <col customWidth="1" min="28" max="28" width="10.63"/>
    <col customWidth="1" min="29" max="29" width="21.38"/>
    <col customWidth="1" min="30" max="30" width="10.63"/>
    <col customWidth="1" min="31" max="31" width="21.0"/>
    <col customWidth="1" min="32" max="32" width="18.25"/>
    <col customWidth="1" min="33" max="34" width="10.63"/>
    <col customWidth="1" min="35" max="35" width="22.25"/>
    <col customWidth="1" min="36" max="36" width="13.63"/>
    <col customWidth="1" min="37" max="37" width="17.75"/>
    <col customWidth="1" min="38" max="38" width="27.25"/>
    <col customWidth="1" min="39" max="53" width="10.6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8">
        <v>46195.0</v>
      </c>
      <c r="H2" s="2"/>
      <c r="I2" s="3"/>
      <c r="J2" s="8">
        <v>46196.0</v>
      </c>
      <c r="K2" s="2"/>
      <c r="L2" s="3"/>
      <c r="M2" s="8">
        <v>46197.0</v>
      </c>
      <c r="N2" s="2"/>
      <c r="O2" s="3"/>
      <c r="P2" s="8">
        <v>46198.0</v>
      </c>
      <c r="Q2" s="2"/>
      <c r="R2" s="3"/>
      <c r="S2" s="8">
        <v>46199.0</v>
      </c>
      <c r="T2" s="2"/>
      <c r="U2" s="3"/>
      <c r="V2" s="8">
        <v>46200.0</v>
      </c>
      <c r="W2" s="2"/>
      <c r="X2" s="3"/>
      <c r="Y2" s="9" t="s">
        <v>7</v>
      </c>
      <c r="Z2" s="7" t="s">
        <v>8</v>
      </c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13" t="s">
        <v>10</v>
      </c>
      <c r="I3" s="13" t="s">
        <v>11</v>
      </c>
      <c r="J3" s="13" t="s">
        <v>9</v>
      </c>
      <c r="K3" s="13" t="s">
        <v>10</v>
      </c>
      <c r="L3" s="13" t="s">
        <v>12</v>
      </c>
      <c r="M3" s="13" t="s">
        <v>9</v>
      </c>
      <c r="N3" s="13" t="s">
        <v>10</v>
      </c>
      <c r="O3" s="13" t="s">
        <v>12</v>
      </c>
      <c r="P3" s="13" t="s">
        <v>9</v>
      </c>
      <c r="Q3" s="13" t="s">
        <v>10</v>
      </c>
      <c r="R3" s="13" t="s">
        <v>12</v>
      </c>
      <c r="S3" s="13" t="s">
        <v>9</v>
      </c>
      <c r="T3" s="13" t="s">
        <v>10</v>
      </c>
      <c r="U3" s="13" t="s">
        <v>11</v>
      </c>
      <c r="V3" s="13" t="s">
        <v>9</v>
      </c>
      <c r="W3" s="13" t="s">
        <v>10</v>
      </c>
      <c r="X3" s="13" t="s">
        <v>11</v>
      </c>
      <c r="Y3" s="12"/>
      <c r="Z3" s="12"/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>
        <f t="shared" ref="Y4:Y8" si="1">F4-(G4+H4+J4+K4+M4+N4+P4+Q4+S4+T4+V4+W4+U4+O4+I4+L4+R4+X4)</f>
        <v>1200</v>
      </c>
      <c r="Z4" s="18">
        <f t="shared" ref="Z4:Z27" si="2">SUM(G4:X4)</f>
        <v>0</v>
      </c>
      <c r="AV4" s="19"/>
      <c r="AW4" s="19"/>
      <c r="AX4" s="19"/>
      <c r="AY4" s="19"/>
      <c r="AZ4" s="19"/>
      <c r="BA4" s="19"/>
    </row>
    <row r="5" ht="14.25" customHeight="1">
      <c r="A5" s="14">
        <v>2.0</v>
      </c>
      <c r="B5" s="12"/>
      <c r="C5" s="12"/>
      <c r="D5" s="21" t="s">
        <v>17</v>
      </c>
      <c r="E5" s="21"/>
      <c r="F5" s="22">
        <v>500.0</v>
      </c>
      <c r="G5" s="23">
        <v>500.0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>
        <f t="shared" si="1"/>
        <v>0</v>
      </c>
      <c r="Z5" s="18">
        <f t="shared" si="2"/>
        <v>500</v>
      </c>
      <c r="AV5" s="19"/>
      <c r="AW5" s="19"/>
      <c r="AX5" s="19"/>
      <c r="AY5" s="19"/>
      <c r="AZ5" s="19"/>
      <c r="BA5" s="19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4"/>
      <c r="H6" s="24"/>
      <c r="I6" s="24"/>
      <c r="J6" s="23">
        <v>1850.22</v>
      </c>
      <c r="K6" s="24"/>
      <c r="L6" s="24"/>
      <c r="M6" s="24"/>
      <c r="N6" s="24"/>
      <c r="O6" s="24"/>
      <c r="P6" s="24"/>
      <c r="Q6" s="24"/>
      <c r="R6" s="24">
        <v>2000.0</v>
      </c>
      <c r="S6" s="24"/>
      <c r="T6" s="24"/>
      <c r="U6" s="24"/>
      <c r="V6" s="24"/>
      <c r="W6" s="24"/>
      <c r="X6" s="24"/>
      <c r="Y6" s="18">
        <f t="shared" si="1"/>
        <v>-1350.22</v>
      </c>
      <c r="Z6" s="18">
        <f t="shared" si="2"/>
        <v>3850.22</v>
      </c>
      <c r="AC6" s="31" t="s">
        <v>22</v>
      </c>
      <c r="AD6" s="2"/>
      <c r="AE6" s="2"/>
      <c r="AF6" s="3"/>
      <c r="AH6" s="32"/>
      <c r="AI6" s="31" t="s">
        <v>24</v>
      </c>
      <c r="AJ6" s="2"/>
      <c r="AK6" s="3"/>
      <c r="AL6" s="33"/>
    </row>
    <row r="7" ht="14.25" customHeight="1">
      <c r="A7" s="25">
        <v>4.0</v>
      </c>
      <c r="B7" s="12"/>
      <c r="C7" s="12"/>
      <c r="D7" s="27" t="s">
        <v>17</v>
      </c>
      <c r="E7" s="27"/>
      <c r="F7" s="28">
        <v>500.0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3">
        <v>300.0</v>
      </c>
      <c r="T7" s="24"/>
      <c r="U7" s="24"/>
      <c r="V7" s="24"/>
      <c r="W7" s="24"/>
      <c r="X7" s="24"/>
      <c r="Y7" s="18">
        <f t="shared" si="1"/>
        <v>200</v>
      </c>
      <c r="Z7" s="18">
        <f t="shared" si="2"/>
        <v>300</v>
      </c>
      <c r="AC7" s="35" t="s">
        <v>25</v>
      </c>
      <c r="AD7" s="35" t="s">
        <v>26</v>
      </c>
      <c r="AE7" s="35" t="s">
        <v>27</v>
      </c>
      <c r="AF7" s="35" t="s">
        <v>28</v>
      </c>
      <c r="AH7" s="32"/>
      <c r="AI7" s="35" t="s">
        <v>25</v>
      </c>
      <c r="AJ7" s="35" t="s">
        <v>29</v>
      </c>
      <c r="AK7" s="35" t="s">
        <v>28</v>
      </c>
    </row>
    <row r="8" ht="14.25" customHeight="1">
      <c r="A8" s="25">
        <v>5.0</v>
      </c>
      <c r="B8" s="27" t="s">
        <v>30</v>
      </c>
      <c r="C8" s="27" t="s">
        <v>19</v>
      </c>
      <c r="D8" s="27" t="s">
        <v>31</v>
      </c>
      <c r="E8" s="27" t="s">
        <v>33</v>
      </c>
      <c r="F8" s="28">
        <v>2500.0</v>
      </c>
      <c r="G8" s="24"/>
      <c r="H8" s="36">
        <v>1000.0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3">
        <v>800.0</v>
      </c>
      <c r="T8" s="24"/>
      <c r="U8" s="24"/>
      <c r="V8" s="24">
        <v>500.0</v>
      </c>
      <c r="W8" s="24"/>
      <c r="X8" s="24"/>
      <c r="Y8" s="18">
        <f t="shared" si="1"/>
        <v>200</v>
      </c>
      <c r="Z8" s="18">
        <f t="shared" si="2"/>
        <v>2300</v>
      </c>
      <c r="AC8" s="37" t="s">
        <v>9</v>
      </c>
      <c r="AD8" s="38">
        <f t="shared" ref="AD8:AD9" si="3">AF8/AE8</f>
        <v>1231.917868</v>
      </c>
      <c r="AE8" s="39">
        <v>22.89</v>
      </c>
      <c r="AF8" s="40">
        <f>G36+J36+M36+P36+S36+V36</f>
        <v>28198.6</v>
      </c>
      <c r="AI8" s="37" t="s">
        <v>34</v>
      </c>
      <c r="AJ8" s="24">
        <f>AF8</f>
        <v>28198.6</v>
      </c>
      <c r="AK8" s="42">
        <f>AJ8+AJ9+AJ10</f>
        <v>87754.61</v>
      </c>
    </row>
    <row r="9" ht="14.25" customHeight="1">
      <c r="A9" s="25">
        <v>6.0</v>
      </c>
      <c r="B9" s="27" t="s">
        <v>37</v>
      </c>
      <c r="C9" s="27" t="s">
        <v>19</v>
      </c>
      <c r="D9" s="27" t="s">
        <v>31</v>
      </c>
      <c r="E9" s="27" t="s">
        <v>38</v>
      </c>
      <c r="F9" s="28">
        <v>1500.0</v>
      </c>
      <c r="G9" s="23">
        <v>500.0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T9" s="24"/>
      <c r="U9" s="24"/>
      <c r="V9" s="24"/>
      <c r="W9" s="24"/>
      <c r="X9" s="24"/>
      <c r="Y9" s="18">
        <f>F9-(G9+H9+J9+K9+M9+N9+P9+Q9+S10+T9+V9+W9+U9+O9+I9+L9+R9+X9)</f>
        <v>-242.4</v>
      </c>
      <c r="Z9" s="18">
        <f t="shared" si="2"/>
        <v>500</v>
      </c>
      <c r="AC9" s="37" t="s">
        <v>10</v>
      </c>
      <c r="AD9" s="38">
        <f t="shared" si="3"/>
        <v>589.7771953</v>
      </c>
      <c r="AE9" s="39">
        <v>22.89</v>
      </c>
      <c r="AF9" s="40">
        <f>H36+K36+N36+Q36+T36+W36</f>
        <v>13500</v>
      </c>
      <c r="AI9" s="37" t="s">
        <v>40</v>
      </c>
      <c r="AJ9" s="24">
        <f>AF59</f>
        <v>55459.08</v>
      </c>
      <c r="AK9" s="44"/>
    </row>
    <row r="10" ht="14.25" customHeight="1">
      <c r="A10" s="25">
        <v>7.0</v>
      </c>
      <c r="B10" s="27" t="s">
        <v>39</v>
      </c>
      <c r="C10" s="27" t="s">
        <v>19</v>
      </c>
      <c r="D10" s="27"/>
      <c r="E10" s="27" t="s">
        <v>36</v>
      </c>
      <c r="F10" s="28">
        <v>1500.0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3">
        <v>1242.4</v>
      </c>
      <c r="T10" s="24"/>
      <c r="U10" s="24"/>
      <c r="V10" s="24"/>
      <c r="W10" s="24"/>
      <c r="X10" s="24"/>
      <c r="Y10" s="18">
        <f>F10-(G10+H10+I10+J10+K10+L10+M10+N10+O10+P10+Q10+R10+S10+T10+U10+V10+W10+X10)</f>
        <v>257.6</v>
      </c>
      <c r="Z10" s="18">
        <f t="shared" si="2"/>
        <v>1242.4</v>
      </c>
      <c r="AC10" s="37" t="s">
        <v>11</v>
      </c>
      <c r="AD10" s="39"/>
      <c r="AE10" s="39"/>
      <c r="AF10" s="40">
        <f>R36+U36+O36</f>
        <v>5690.82</v>
      </c>
      <c r="AI10" s="37" t="s">
        <v>49</v>
      </c>
      <c r="AJ10" s="24">
        <f>AF46</f>
        <v>4096.93</v>
      </c>
      <c r="AK10" s="12"/>
    </row>
    <row r="11" ht="14.25" customHeight="1">
      <c r="A11" s="14">
        <v>8.0</v>
      </c>
      <c r="B11" s="21" t="s">
        <v>41</v>
      </c>
      <c r="C11" s="21" t="s">
        <v>42</v>
      </c>
      <c r="D11" s="21" t="s">
        <v>43</v>
      </c>
      <c r="E11" s="21" t="s">
        <v>44</v>
      </c>
      <c r="F11" s="22">
        <v>700.0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>
        <f t="shared" ref="Y11:Y22" si="4">F11-(G11+H11+J11+K11+M11+N11+P11+Q11+S11+T11+V11+W11+U11+O11+I11+L11+R11+X11)</f>
        <v>700</v>
      </c>
      <c r="Z11" s="18">
        <f t="shared" si="2"/>
        <v>0</v>
      </c>
      <c r="AH11" s="20"/>
      <c r="AU11" s="19"/>
      <c r="AV11" s="19"/>
      <c r="AW11" s="19"/>
      <c r="AX11" s="19"/>
      <c r="AY11" s="19"/>
      <c r="AZ11" s="19"/>
      <c r="BA11" s="19"/>
    </row>
    <row r="12" ht="14.25" customHeight="1">
      <c r="A12" s="14">
        <v>9.0</v>
      </c>
      <c r="B12" s="21" t="s">
        <v>45</v>
      </c>
      <c r="C12" s="21" t="s">
        <v>46</v>
      </c>
      <c r="D12" s="21" t="s">
        <v>47</v>
      </c>
      <c r="E12" s="21" t="s">
        <v>48</v>
      </c>
      <c r="F12" s="22">
        <v>1500.0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>
        <f t="shared" si="4"/>
        <v>1500</v>
      </c>
      <c r="Z12" s="18">
        <f t="shared" si="2"/>
        <v>0</v>
      </c>
      <c r="AU12" s="19"/>
      <c r="AV12" s="19"/>
      <c r="AW12" s="19"/>
      <c r="AX12" s="19"/>
      <c r="AY12" s="19"/>
      <c r="AZ12" s="19"/>
      <c r="BA12" s="19"/>
    </row>
    <row r="13" ht="14.25" customHeight="1">
      <c r="A13" s="25">
        <v>10.0</v>
      </c>
      <c r="B13" s="26" t="s">
        <v>50</v>
      </c>
      <c r="C13" s="27" t="s">
        <v>51</v>
      </c>
      <c r="D13" s="27" t="s">
        <v>52</v>
      </c>
      <c r="E13" s="27" t="s">
        <v>53</v>
      </c>
      <c r="F13" s="28">
        <v>1500.0</v>
      </c>
      <c r="G13" s="24"/>
      <c r="H13" s="24"/>
      <c r="I13" s="24"/>
      <c r="J13" s="24"/>
      <c r="K13" s="24"/>
      <c r="L13" s="24"/>
      <c r="M13" s="23">
        <v>1532.1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18">
        <f t="shared" si="4"/>
        <v>-32.1</v>
      </c>
      <c r="Z13" s="18">
        <f t="shared" si="2"/>
        <v>1532.1</v>
      </c>
      <c r="AC13" s="49" t="s">
        <v>56</v>
      </c>
    </row>
    <row r="14" ht="14.25" customHeight="1">
      <c r="A14" s="25">
        <v>11.0</v>
      </c>
      <c r="B14" s="12"/>
      <c r="C14" s="27" t="s">
        <v>54</v>
      </c>
      <c r="D14" s="27" t="s">
        <v>17</v>
      </c>
      <c r="E14" s="27"/>
      <c r="F14" s="28">
        <v>500.0</v>
      </c>
      <c r="G14" s="23">
        <v>500.0</v>
      </c>
      <c r="H14" s="24"/>
      <c r="I14" s="24"/>
      <c r="J14" s="24"/>
      <c r="K14" s="24"/>
      <c r="L14" s="24"/>
      <c r="M14" s="24"/>
      <c r="N14" s="24"/>
      <c r="O14" s="24"/>
      <c r="P14" s="23">
        <v>400.0</v>
      </c>
      <c r="Q14" s="24"/>
      <c r="R14" s="24"/>
      <c r="S14" s="24"/>
      <c r="T14" s="24"/>
      <c r="U14" s="24"/>
      <c r="V14" s="24"/>
      <c r="W14" s="24"/>
      <c r="X14" s="24"/>
      <c r="Y14" s="18">
        <f t="shared" si="4"/>
        <v>-400</v>
      </c>
      <c r="Z14" s="18">
        <f t="shared" si="2"/>
        <v>900</v>
      </c>
    </row>
    <row r="15" ht="14.25" customHeight="1">
      <c r="A15" s="25">
        <v>12.0</v>
      </c>
      <c r="B15" s="27" t="s">
        <v>57</v>
      </c>
      <c r="C15" s="27" t="s">
        <v>51</v>
      </c>
      <c r="D15" s="27" t="s">
        <v>58</v>
      </c>
      <c r="E15" s="27" t="s">
        <v>59</v>
      </c>
      <c r="F15" s="28">
        <v>1500.0</v>
      </c>
      <c r="G15" s="23">
        <v>1500.0</v>
      </c>
      <c r="H15" s="24"/>
      <c r="I15" s="24"/>
      <c r="J15" s="24"/>
      <c r="K15" s="24"/>
      <c r="L15" s="24"/>
      <c r="M15" s="23">
        <v>1500.0</v>
      </c>
      <c r="N15" s="24"/>
      <c r="O15" s="24"/>
      <c r="P15" s="24"/>
      <c r="Q15" s="24"/>
      <c r="R15" s="24"/>
      <c r="S15" s="23">
        <v>1500.0</v>
      </c>
      <c r="T15" s="24"/>
      <c r="U15" s="24"/>
      <c r="V15" s="24"/>
      <c r="W15" s="24"/>
      <c r="X15" s="24"/>
      <c r="Y15" s="18">
        <f t="shared" si="4"/>
        <v>-3000</v>
      </c>
      <c r="Z15" s="18">
        <f t="shared" si="2"/>
        <v>4500</v>
      </c>
    </row>
    <row r="16" ht="14.25" customHeight="1">
      <c r="A16" s="14">
        <v>13.0</v>
      </c>
      <c r="B16" s="21" t="s">
        <v>61</v>
      </c>
      <c r="C16" s="21" t="s">
        <v>63</v>
      </c>
      <c r="D16" s="21" t="s">
        <v>65</v>
      </c>
      <c r="E16" s="21" t="s">
        <v>66</v>
      </c>
      <c r="F16" s="22">
        <v>2500.0</v>
      </c>
      <c r="G16" s="18"/>
      <c r="H16" s="36">
        <v>1500.0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36">
        <v>1000.0</v>
      </c>
      <c r="X16" s="18"/>
      <c r="Y16" s="18">
        <f t="shared" si="4"/>
        <v>0</v>
      </c>
      <c r="Z16" s="18">
        <f t="shared" si="2"/>
        <v>2500</v>
      </c>
      <c r="AJ16" s="20"/>
      <c r="AT16" s="19"/>
      <c r="AU16" s="19"/>
      <c r="AV16" s="19"/>
      <c r="AW16" s="19"/>
      <c r="AX16" s="19"/>
      <c r="AY16" s="19"/>
      <c r="AZ16" s="19"/>
      <c r="BA16" s="19"/>
    </row>
    <row r="17" ht="14.25" customHeight="1">
      <c r="A17" s="14">
        <v>14.0</v>
      </c>
      <c r="B17" s="21" t="s">
        <v>68</v>
      </c>
      <c r="C17" s="21" t="s">
        <v>63</v>
      </c>
      <c r="D17" s="21" t="s">
        <v>69</v>
      </c>
      <c r="E17" s="21" t="s">
        <v>70</v>
      </c>
      <c r="F17" s="22">
        <v>2500.0</v>
      </c>
      <c r="G17" s="18"/>
      <c r="H17" s="18"/>
      <c r="I17" s="18"/>
      <c r="J17" s="18"/>
      <c r="K17" s="18"/>
      <c r="L17" s="18"/>
      <c r="M17" s="18"/>
      <c r="N17" s="36">
        <v>1500.0</v>
      </c>
      <c r="O17" s="18"/>
      <c r="P17" s="18"/>
      <c r="Q17" s="18"/>
      <c r="R17" s="18"/>
      <c r="S17" s="18"/>
      <c r="T17" s="18"/>
      <c r="U17" s="18"/>
      <c r="V17" s="18"/>
      <c r="W17" s="36">
        <v>1000.0</v>
      </c>
      <c r="X17" s="18"/>
      <c r="Y17" s="18">
        <f t="shared" si="4"/>
        <v>0</v>
      </c>
      <c r="Z17" s="18">
        <f t="shared" si="2"/>
        <v>2500</v>
      </c>
      <c r="AT17" s="19"/>
      <c r="AU17" s="19"/>
      <c r="AV17" s="19"/>
      <c r="AW17" s="19"/>
      <c r="AX17" s="19"/>
      <c r="AY17" s="19"/>
      <c r="AZ17" s="19"/>
      <c r="BA17" s="19"/>
    </row>
    <row r="18" ht="14.25" customHeight="1">
      <c r="A18" s="14">
        <v>15.0</v>
      </c>
      <c r="B18" s="21" t="s">
        <v>71</v>
      </c>
      <c r="C18" s="21" t="s">
        <v>63</v>
      </c>
      <c r="D18" s="21" t="s">
        <v>58</v>
      </c>
      <c r="E18" s="21" t="s">
        <v>72</v>
      </c>
      <c r="F18" s="22">
        <v>4000.0</v>
      </c>
      <c r="G18" s="18"/>
      <c r="H18" s="36">
        <v>1500.0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>
        <f t="shared" si="4"/>
        <v>2500</v>
      </c>
      <c r="Z18" s="18">
        <f t="shared" si="2"/>
        <v>1500</v>
      </c>
      <c r="AT18" s="19"/>
      <c r="AU18" s="19"/>
      <c r="AV18" s="19"/>
      <c r="AW18" s="19"/>
      <c r="AX18" s="19"/>
      <c r="AY18" s="19"/>
      <c r="AZ18" s="19"/>
      <c r="BA18" s="19"/>
    </row>
    <row r="19" ht="14.25" customHeight="1">
      <c r="A19" s="25">
        <v>16.0</v>
      </c>
      <c r="B19" s="26" t="s">
        <v>74</v>
      </c>
      <c r="C19" s="26" t="s">
        <v>75</v>
      </c>
      <c r="D19" s="27" t="s">
        <v>65</v>
      </c>
      <c r="E19" s="27" t="s">
        <v>76</v>
      </c>
      <c r="F19" s="28">
        <v>2500.0</v>
      </c>
      <c r="G19" s="23">
        <v>1473.84</v>
      </c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18">
        <f t="shared" si="4"/>
        <v>1026.16</v>
      </c>
      <c r="Z19" s="18">
        <f t="shared" si="2"/>
        <v>1473.84</v>
      </c>
    </row>
    <row r="20" ht="14.25" customHeight="1">
      <c r="A20" s="25">
        <v>17.0</v>
      </c>
      <c r="B20" s="44"/>
      <c r="C20" s="44"/>
      <c r="D20" s="27" t="s">
        <v>77</v>
      </c>
      <c r="E20" s="27"/>
      <c r="F20" s="57">
        <v>1000.0</v>
      </c>
      <c r="G20" s="24"/>
      <c r="H20" s="24"/>
      <c r="I20" s="24"/>
      <c r="J20" s="23">
        <v>1000.0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18">
        <f t="shared" si="4"/>
        <v>0</v>
      </c>
      <c r="Z20" s="18">
        <f t="shared" si="2"/>
        <v>1000</v>
      </c>
    </row>
    <row r="21" ht="14.25" customHeight="1">
      <c r="A21" s="25">
        <v>18.0</v>
      </c>
      <c r="B21" s="44"/>
      <c r="C21" s="44"/>
      <c r="D21" s="27" t="s">
        <v>78</v>
      </c>
      <c r="E21" s="27"/>
      <c r="F21" s="57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18">
        <f t="shared" si="4"/>
        <v>0</v>
      </c>
      <c r="Z21" s="18">
        <f t="shared" si="2"/>
        <v>0</v>
      </c>
    </row>
    <row r="22" ht="14.25" customHeight="1">
      <c r="A22" s="25">
        <v>19.0</v>
      </c>
      <c r="B22" s="12"/>
      <c r="C22" s="12"/>
      <c r="D22" s="27" t="s">
        <v>81</v>
      </c>
      <c r="E22" s="27"/>
      <c r="F22" s="57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18">
        <f t="shared" si="4"/>
        <v>0</v>
      </c>
      <c r="Z22" s="18">
        <f t="shared" si="2"/>
        <v>0</v>
      </c>
    </row>
    <row r="23" ht="14.25" customHeight="1">
      <c r="A23" s="25">
        <v>20.0</v>
      </c>
      <c r="B23" s="27" t="s">
        <v>82</v>
      </c>
      <c r="C23" s="27" t="s">
        <v>75</v>
      </c>
      <c r="D23" s="27" t="s">
        <v>65</v>
      </c>
      <c r="E23" s="27" t="s">
        <v>83</v>
      </c>
      <c r="F23" s="28">
        <v>1500.0</v>
      </c>
      <c r="G23" s="24"/>
      <c r="H23" s="24"/>
      <c r="I23" s="24"/>
      <c r="J23" s="24"/>
      <c r="K23" s="24"/>
      <c r="L23" s="24"/>
      <c r="M23" s="24"/>
      <c r="N23" s="24"/>
      <c r="O23" s="24"/>
      <c r="P23" s="23">
        <v>1500.0</v>
      </c>
      <c r="Q23" s="24"/>
      <c r="R23" s="24"/>
      <c r="S23" s="24"/>
      <c r="T23" s="24"/>
      <c r="U23" s="24"/>
      <c r="V23" s="24"/>
      <c r="W23" s="24"/>
      <c r="X23" s="24"/>
      <c r="Y23" s="18">
        <f t="shared" ref="Y23:Y27" si="5">F23-(G23+H23+J23+K23+M23+N23+P23+Q23+S23+T23+V23+W23+O23+R23+U23+I23+L23+X23)</f>
        <v>0</v>
      </c>
      <c r="Z23" s="18">
        <f t="shared" si="2"/>
        <v>1500</v>
      </c>
    </row>
    <row r="24" ht="14.25" customHeight="1">
      <c r="A24" s="25">
        <v>21.0</v>
      </c>
      <c r="B24" s="27" t="s">
        <v>89</v>
      </c>
      <c r="C24" s="27" t="s">
        <v>75</v>
      </c>
      <c r="D24" s="27" t="s">
        <v>58</v>
      </c>
      <c r="E24" s="27" t="s">
        <v>90</v>
      </c>
      <c r="F24" s="28">
        <v>3000.0</v>
      </c>
      <c r="G24" s="24"/>
      <c r="H24" s="24"/>
      <c r="I24" s="24"/>
      <c r="J24" s="23">
        <v>3000.0</v>
      </c>
      <c r="K24" s="24"/>
      <c r="L24" s="24"/>
      <c r="M24" s="24"/>
      <c r="N24" s="24"/>
      <c r="O24" s="24"/>
      <c r="P24" s="24"/>
      <c r="Q24" s="24"/>
      <c r="R24" s="24"/>
      <c r="S24" s="23">
        <v>1000.0</v>
      </c>
      <c r="T24" s="24"/>
      <c r="U24" s="24"/>
      <c r="V24" s="24"/>
      <c r="W24" s="24"/>
      <c r="X24" s="24"/>
      <c r="Y24" s="18">
        <f t="shared" si="5"/>
        <v>-1000</v>
      </c>
      <c r="Z24" s="18">
        <f t="shared" si="2"/>
        <v>4000</v>
      </c>
    </row>
    <row r="25" ht="14.25" customHeight="1">
      <c r="A25" s="25">
        <v>22.0</v>
      </c>
      <c r="B25" s="27" t="s">
        <v>93</v>
      </c>
      <c r="C25" s="27" t="s">
        <v>75</v>
      </c>
      <c r="D25" s="27" t="s">
        <v>69</v>
      </c>
      <c r="E25" s="27" t="s">
        <v>94</v>
      </c>
      <c r="F25" s="28">
        <v>2500.0</v>
      </c>
      <c r="G25" s="24"/>
      <c r="H25" s="24"/>
      <c r="I25" s="24"/>
      <c r="J25" s="23">
        <v>1290.54</v>
      </c>
      <c r="K25" s="24"/>
      <c r="L25" s="24"/>
      <c r="M25" s="24"/>
      <c r="N25" s="24"/>
      <c r="O25" s="24"/>
      <c r="P25" s="24"/>
      <c r="Q25" s="24"/>
      <c r="R25" s="24"/>
      <c r="S25" s="23">
        <v>1209.46</v>
      </c>
      <c r="T25" s="24"/>
      <c r="U25" s="24"/>
      <c r="V25" s="24"/>
      <c r="W25" s="24"/>
      <c r="X25" s="24"/>
      <c r="Y25" s="18">
        <f t="shared" si="5"/>
        <v>0</v>
      </c>
      <c r="Z25" s="18">
        <f t="shared" si="2"/>
        <v>2500</v>
      </c>
    </row>
    <row r="26" ht="14.25" customHeight="1">
      <c r="A26" s="14">
        <v>23.0</v>
      </c>
      <c r="B26" s="21" t="s">
        <v>96</v>
      </c>
      <c r="C26" s="55" t="s">
        <v>98</v>
      </c>
      <c r="D26" s="21" t="s">
        <v>99</v>
      </c>
      <c r="E26" s="21" t="s">
        <v>100</v>
      </c>
      <c r="F26" s="22">
        <v>2500.0</v>
      </c>
      <c r="G26" s="23">
        <v>1000.0</v>
      </c>
      <c r="H26" s="18"/>
      <c r="I26" s="18"/>
      <c r="J26" s="18"/>
      <c r="K26" s="18"/>
      <c r="L26" s="18"/>
      <c r="M26" s="18"/>
      <c r="N26" s="18"/>
      <c r="O26" s="18"/>
      <c r="P26" s="18"/>
      <c r="Q26" s="36">
        <v>1500.0</v>
      </c>
      <c r="R26" s="18"/>
      <c r="S26" s="18"/>
      <c r="T26" s="18"/>
      <c r="U26" s="18"/>
      <c r="V26" s="18"/>
      <c r="W26" s="36">
        <v>500.0</v>
      </c>
      <c r="X26" s="18"/>
      <c r="Y26" s="18">
        <f t="shared" si="5"/>
        <v>-500</v>
      </c>
      <c r="Z26" s="18">
        <f t="shared" si="2"/>
        <v>3000</v>
      </c>
    </row>
    <row r="27" ht="14.25" customHeight="1">
      <c r="A27" s="14">
        <v>24.0</v>
      </c>
      <c r="B27" s="21" t="s">
        <v>102</v>
      </c>
      <c r="C27" s="12"/>
      <c r="D27" s="21" t="s">
        <v>17</v>
      </c>
      <c r="E27" s="21"/>
      <c r="F27" s="22">
        <v>500.0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>
        <f t="shared" si="5"/>
        <v>500</v>
      </c>
      <c r="Z27" s="18">
        <f t="shared" si="2"/>
        <v>0</v>
      </c>
    </row>
    <row r="28" ht="14.25" customHeight="1">
      <c r="A28" s="25">
        <v>25.0</v>
      </c>
      <c r="B28" s="27" t="s">
        <v>104</v>
      </c>
      <c r="C28" s="27" t="s">
        <v>105</v>
      </c>
      <c r="D28" s="27" t="s">
        <v>20</v>
      </c>
      <c r="E28" s="27" t="s">
        <v>106</v>
      </c>
      <c r="F28" s="28">
        <v>2500.0</v>
      </c>
      <c r="H28" s="24"/>
      <c r="I28" s="65">
        <v>1000.0</v>
      </c>
      <c r="K28" s="24"/>
      <c r="L28" s="65">
        <v>1400.0</v>
      </c>
      <c r="M28" s="24"/>
      <c r="N28" s="24"/>
      <c r="O28" s="24">
        <v>1500.0</v>
      </c>
      <c r="Q28" s="24"/>
      <c r="R28" s="65">
        <v>1300.0</v>
      </c>
      <c r="S28" s="24"/>
      <c r="T28" s="36">
        <v>1000.0</v>
      </c>
      <c r="U28" s="24"/>
      <c r="V28" s="24"/>
      <c r="W28" s="24"/>
      <c r="X28" s="24"/>
      <c r="Y28" s="18" t="str">
        <f>F28-(I28+H28+#REF!+J28+K28+L28+M28+N28+O28+P28+Q28+R28+S28+T28+U28+V28+W28+X28)</f>
        <v>#REF!</v>
      </c>
      <c r="Z28" s="18">
        <f>SUM(H28:X28)</f>
        <v>6200</v>
      </c>
    </row>
    <row r="29" ht="14.25" customHeight="1">
      <c r="A29" s="25">
        <v>26.0</v>
      </c>
      <c r="B29" s="26" t="s">
        <v>107</v>
      </c>
      <c r="C29" s="26" t="s">
        <v>105</v>
      </c>
      <c r="D29" s="27" t="s">
        <v>109</v>
      </c>
      <c r="E29" s="27" t="s">
        <v>110</v>
      </c>
      <c r="F29" s="28">
        <v>1000.0</v>
      </c>
      <c r="G29" s="23">
        <v>800.0</v>
      </c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3">
        <v>700.04</v>
      </c>
      <c r="T29" s="24"/>
      <c r="U29" s="24"/>
      <c r="V29" s="24"/>
      <c r="W29" s="24"/>
      <c r="X29" s="24"/>
      <c r="Y29" s="18">
        <f t="shared" ref="Y29:Y33" si="6">F29-(G29+H29+J29+K29+M29+N29+P29+Q29+S29+T29+V29+W29+O29+R29+U29+I29+L29+X29)</f>
        <v>-500.04</v>
      </c>
      <c r="Z29" s="18">
        <f t="shared" ref="Z29:Z33" si="7">SUM(G29:X29)</f>
        <v>1500.04</v>
      </c>
    </row>
    <row r="30" ht="14.25" customHeight="1">
      <c r="A30" s="25">
        <v>27.0</v>
      </c>
      <c r="B30" s="44"/>
      <c r="C30" s="44"/>
      <c r="D30" s="27" t="s">
        <v>111</v>
      </c>
      <c r="E30" s="27"/>
      <c r="F30" s="28">
        <v>500.0</v>
      </c>
      <c r="G30" s="23">
        <v>500.0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18">
        <f t="shared" si="6"/>
        <v>0</v>
      </c>
      <c r="Z30" s="18">
        <f t="shared" si="7"/>
        <v>500</v>
      </c>
    </row>
    <row r="31" ht="14.25" customHeight="1">
      <c r="A31" s="25">
        <v>28.0</v>
      </c>
      <c r="B31" s="12"/>
      <c r="C31" s="12"/>
      <c r="D31" s="27" t="s">
        <v>111</v>
      </c>
      <c r="E31" s="27"/>
      <c r="F31" s="28">
        <v>500.0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18">
        <f t="shared" si="6"/>
        <v>500</v>
      </c>
      <c r="Z31" s="18">
        <f t="shared" si="7"/>
        <v>0</v>
      </c>
      <c r="AC31" s="20"/>
    </row>
    <row r="32" ht="14.25" customHeight="1">
      <c r="A32" s="25">
        <v>29.0</v>
      </c>
      <c r="B32" s="26" t="s">
        <v>114</v>
      </c>
      <c r="C32" s="27"/>
      <c r="D32" s="27"/>
      <c r="E32" s="27" t="s">
        <v>115</v>
      </c>
      <c r="F32" s="28">
        <v>800.0</v>
      </c>
      <c r="G32" s="23">
        <v>800.0</v>
      </c>
      <c r="H32" s="24"/>
      <c r="I32" s="24"/>
      <c r="J32" s="24"/>
      <c r="K32" s="24"/>
      <c r="L32" s="24"/>
      <c r="M32" s="24"/>
      <c r="N32" s="24"/>
      <c r="O32" s="24"/>
      <c r="P32" s="23">
        <v>1000.0</v>
      </c>
      <c r="Q32" s="24"/>
      <c r="R32" s="24"/>
      <c r="S32" s="24"/>
      <c r="T32" s="24"/>
      <c r="U32" s="24"/>
      <c r="V32" s="24"/>
      <c r="W32" s="24"/>
      <c r="X32" s="24"/>
      <c r="Y32" s="18">
        <f t="shared" si="6"/>
        <v>-1000</v>
      </c>
      <c r="Z32" s="18">
        <f t="shared" si="7"/>
        <v>1800</v>
      </c>
    </row>
    <row r="33" ht="14.25" customHeight="1">
      <c r="A33" s="25">
        <v>30.0</v>
      </c>
      <c r="B33" s="12"/>
      <c r="C33" s="27"/>
      <c r="D33" s="27" t="s">
        <v>17</v>
      </c>
      <c r="E33" s="27"/>
      <c r="F33" s="28"/>
      <c r="G33" s="24"/>
      <c r="H33" s="24"/>
      <c r="I33" s="24"/>
      <c r="J33" s="24"/>
      <c r="K33" s="24"/>
      <c r="L33" s="24"/>
      <c r="M33" s="24"/>
      <c r="N33" s="24"/>
      <c r="O33" s="24"/>
      <c r="P33" s="23">
        <v>300.0</v>
      </c>
      <c r="Q33" s="24"/>
      <c r="R33" s="24"/>
      <c r="S33" s="24"/>
      <c r="T33" s="24"/>
      <c r="U33" s="24"/>
      <c r="V33" s="24"/>
      <c r="W33" s="24"/>
      <c r="X33" s="24"/>
      <c r="Y33" s="18">
        <f t="shared" si="6"/>
        <v>-300</v>
      </c>
      <c r="Z33" s="18">
        <f t="shared" si="7"/>
        <v>300</v>
      </c>
    </row>
    <row r="34" ht="14.25" customHeight="1">
      <c r="A34" s="25"/>
      <c r="B34" s="27" t="s">
        <v>116</v>
      </c>
      <c r="C34" s="27"/>
      <c r="D34" s="27"/>
      <c r="E34" s="27"/>
      <c r="F34" s="28"/>
      <c r="G34" s="24"/>
      <c r="H34" s="24"/>
      <c r="I34" s="24"/>
      <c r="J34" s="24"/>
      <c r="K34" s="24"/>
      <c r="L34" s="24"/>
      <c r="M34" s="24"/>
      <c r="N34" s="24"/>
      <c r="O34" s="24"/>
      <c r="P34" s="62"/>
      <c r="Q34" s="24"/>
      <c r="R34" s="24"/>
      <c r="S34" s="24"/>
      <c r="T34" s="24"/>
      <c r="U34" s="24">
        <v>890.82</v>
      </c>
      <c r="V34" s="24"/>
      <c r="W34" s="24"/>
      <c r="Y34" s="18"/>
      <c r="Z34" s="18"/>
    </row>
    <row r="35" ht="14.25" customHeight="1">
      <c r="A35" s="25">
        <v>31.0</v>
      </c>
      <c r="B35" s="27" t="s">
        <v>118</v>
      </c>
      <c r="C35" s="27"/>
      <c r="D35" s="27" t="s">
        <v>119</v>
      </c>
      <c r="E35" s="27" t="s">
        <v>120</v>
      </c>
      <c r="F35" s="28">
        <v>3000.0</v>
      </c>
      <c r="G35" s="24"/>
      <c r="H35" s="36">
        <v>1000.0</v>
      </c>
      <c r="I35" s="24"/>
      <c r="J35" s="24"/>
      <c r="K35" s="24"/>
      <c r="L35" s="24"/>
      <c r="M35" s="24"/>
      <c r="N35" s="36">
        <v>1000.0</v>
      </c>
      <c r="O35" s="24"/>
      <c r="P35" s="24"/>
      <c r="Q35" s="24"/>
      <c r="R35" s="24"/>
      <c r="S35" s="24"/>
      <c r="T35" s="36">
        <v>1000.0</v>
      </c>
      <c r="U35" s="24"/>
      <c r="V35" s="24"/>
      <c r="W35" s="24"/>
      <c r="X35" s="24"/>
      <c r="Y35" s="18">
        <f>F35-(G35+H35+J35+K35+M35+N35+P35+Q35+S35+T35+V35+W35+O35+R35+U35+I35+L35+X35)</f>
        <v>0</v>
      </c>
      <c r="Z35" s="18">
        <f>SUM(G35:X35)</f>
        <v>3000</v>
      </c>
    </row>
    <row r="36" ht="14.25" customHeight="1">
      <c r="A36" s="68" t="s">
        <v>122</v>
      </c>
      <c r="B36" s="2"/>
      <c r="C36" s="2"/>
      <c r="D36" s="2"/>
      <c r="E36" s="3"/>
      <c r="F36" s="69">
        <f t="shared" ref="F36:Z36" si="8">SUM(F4:F35)</f>
        <v>46700</v>
      </c>
      <c r="G36" s="70">
        <f t="shared" si="8"/>
        <v>7573.84</v>
      </c>
      <c r="H36" s="70">
        <f t="shared" si="8"/>
        <v>5000</v>
      </c>
      <c r="I36" s="70">
        <f t="shared" si="8"/>
        <v>1000</v>
      </c>
      <c r="J36" s="70">
        <f t="shared" si="8"/>
        <v>7140.76</v>
      </c>
      <c r="K36" s="70">
        <f t="shared" si="8"/>
        <v>0</v>
      </c>
      <c r="L36" s="70">
        <f t="shared" si="8"/>
        <v>1400</v>
      </c>
      <c r="M36" s="70">
        <f t="shared" si="8"/>
        <v>3032.1</v>
      </c>
      <c r="N36" s="70">
        <f t="shared" si="8"/>
        <v>2500</v>
      </c>
      <c r="O36" s="70">
        <f t="shared" si="8"/>
        <v>1500</v>
      </c>
      <c r="P36" s="70">
        <f t="shared" si="8"/>
        <v>3200</v>
      </c>
      <c r="Q36" s="70">
        <f t="shared" si="8"/>
        <v>1500</v>
      </c>
      <c r="R36" s="70">
        <f t="shared" si="8"/>
        <v>3300</v>
      </c>
      <c r="S36" s="70">
        <f t="shared" si="8"/>
        <v>6751.9</v>
      </c>
      <c r="T36" s="70">
        <f t="shared" si="8"/>
        <v>2000</v>
      </c>
      <c r="U36" s="70">
        <f t="shared" si="8"/>
        <v>890.82</v>
      </c>
      <c r="V36" s="70">
        <f t="shared" si="8"/>
        <v>500</v>
      </c>
      <c r="W36" s="70">
        <f t="shared" si="8"/>
        <v>2500</v>
      </c>
      <c r="X36" s="70">
        <f t="shared" si="8"/>
        <v>0</v>
      </c>
      <c r="Y36" s="70" t="str">
        <f t="shared" si="8"/>
        <v>#REF!</v>
      </c>
      <c r="Z36" s="70">
        <f t="shared" si="8"/>
        <v>48898.6</v>
      </c>
      <c r="AA36" s="72">
        <f>Z36-(X36+U36+R36+O36+L36+I36)</f>
        <v>40807.78</v>
      </c>
    </row>
    <row r="37" ht="14.25" customHeight="1">
      <c r="A37" s="73"/>
      <c r="B37" s="73"/>
      <c r="C37" s="73"/>
      <c r="D37" s="73"/>
      <c r="E37" s="73"/>
      <c r="F37" s="72"/>
      <c r="X37" s="74" t="s">
        <v>129</v>
      </c>
      <c r="Y37" s="75">
        <f>F36-AA36</f>
        <v>5892.22</v>
      </c>
      <c r="Z37" s="20">
        <f>G36+H36+J36+K36+M36+N36+O36+P36+Q36+R36+S36+T36+U36+V36+W36</f>
        <v>47389.42</v>
      </c>
      <c r="AA37" s="76" t="s">
        <v>129</v>
      </c>
    </row>
    <row r="38" ht="14.25" customHeight="1">
      <c r="A38" s="73"/>
      <c r="B38" s="73"/>
      <c r="C38" s="73"/>
      <c r="D38" s="73"/>
      <c r="E38" s="73"/>
      <c r="F38" s="72"/>
      <c r="Y38" s="20"/>
      <c r="Z38" s="20"/>
      <c r="AA38" s="76"/>
    </row>
    <row r="39" ht="14.25" customHeight="1">
      <c r="A39" s="73"/>
      <c r="B39" s="73"/>
      <c r="C39" s="73"/>
      <c r="D39" s="73"/>
      <c r="E39" s="73"/>
      <c r="F39" s="72"/>
    </row>
    <row r="40" ht="14.25" customHeight="1">
      <c r="A40" s="77" t="s">
        <v>131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9"/>
    </row>
    <row r="41" ht="28.5" customHeight="1">
      <c r="A41" s="4" t="s">
        <v>2</v>
      </c>
      <c r="B41" s="5"/>
      <c r="C41" s="6" t="s">
        <v>3</v>
      </c>
      <c r="D41" s="6" t="s">
        <v>4</v>
      </c>
      <c r="E41" s="6" t="s">
        <v>5</v>
      </c>
      <c r="F41" s="7" t="s">
        <v>134</v>
      </c>
      <c r="G41" s="8">
        <v>46195.0</v>
      </c>
      <c r="H41" s="2"/>
      <c r="I41" s="3"/>
      <c r="J41" s="8">
        <v>46196.0</v>
      </c>
      <c r="K41" s="2"/>
      <c r="L41" s="3"/>
      <c r="M41" s="8">
        <v>46197.0</v>
      </c>
      <c r="N41" s="2"/>
      <c r="O41" s="3"/>
      <c r="P41" s="8">
        <v>46198.0</v>
      </c>
      <c r="Q41" s="2"/>
      <c r="R41" s="3"/>
      <c r="S41" s="8">
        <v>46199.0</v>
      </c>
      <c r="T41" s="2"/>
      <c r="U41" s="3"/>
      <c r="V41" s="8">
        <v>46200.0</v>
      </c>
      <c r="W41" s="2"/>
      <c r="X41" s="3"/>
      <c r="Y41" s="9" t="s">
        <v>7</v>
      </c>
      <c r="Z41" s="7" t="s">
        <v>8</v>
      </c>
    </row>
    <row r="42" ht="14.25" customHeight="1">
      <c r="A42" s="10"/>
      <c r="B42" s="11"/>
      <c r="C42" s="12"/>
      <c r="D42" s="12"/>
      <c r="E42" s="12"/>
      <c r="F42" s="12"/>
      <c r="G42" s="13" t="s">
        <v>9</v>
      </c>
      <c r="H42" s="13" t="s">
        <v>10</v>
      </c>
      <c r="I42" s="13" t="s">
        <v>12</v>
      </c>
      <c r="J42" s="13" t="s">
        <v>9</v>
      </c>
      <c r="K42" s="13" t="s">
        <v>10</v>
      </c>
      <c r="L42" s="13" t="s">
        <v>12</v>
      </c>
      <c r="M42" s="13" t="s">
        <v>9</v>
      </c>
      <c r="N42" s="13" t="s">
        <v>10</v>
      </c>
      <c r="O42" s="13" t="s">
        <v>12</v>
      </c>
      <c r="P42" s="13" t="s">
        <v>9</v>
      </c>
      <c r="Q42" s="13" t="s">
        <v>10</v>
      </c>
      <c r="R42" s="13" t="s">
        <v>12</v>
      </c>
      <c r="S42" s="13" t="s">
        <v>9</v>
      </c>
      <c r="T42" s="13" t="s">
        <v>10</v>
      </c>
      <c r="U42" s="13" t="s">
        <v>12</v>
      </c>
      <c r="V42" s="13" t="s">
        <v>9</v>
      </c>
      <c r="W42" s="13" t="s">
        <v>10</v>
      </c>
      <c r="X42" s="13" t="s">
        <v>12</v>
      </c>
      <c r="Y42" s="12"/>
      <c r="Z42" s="12"/>
    </row>
    <row r="43" ht="14.25" customHeight="1">
      <c r="A43" s="25">
        <v>1.0</v>
      </c>
      <c r="B43" s="27" t="s">
        <v>138</v>
      </c>
      <c r="C43" s="27" t="s">
        <v>139</v>
      </c>
      <c r="D43" s="27" t="s">
        <v>140</v>
      </c>
      <c r="E43" s="27" t="s">
        <v>141</v>
      </c>
      <c r="F43" s="28">
        <v>2500.0</v>
      </c>
      <c r="G43" s="24"/>
      <c r="H43" s="24"/>
      <c r="I43" s="24"/>
      <c r="J43" s="24"/>
      <c r="K43" s="24"/>
      <c r="L43" s="24"/>
      <c r="M43" s="23">
        <v>2010.26</v>
      </c>
      <c r="N43" s="24"/>
      <c r="O43" s="24"/>
      <c r="P43" s="23">
        <v>386.67</v>
      </c>
      <c r="Q43" s="24"/>
      <c r="R43" s="24"/>
      <c r="T43" s="24"/>
      <c r="U43" s="24"/>
      <c r="V43" s="24"/>
      <c r="W43" s="24"/>
      <c r="X43" s="24"/>
      <c r="Y43" s="24">
        <f>F43-(G43+H43+I43+J43+K43+L43+M43+N43+O43+P43+Q43+R43+S43+T43+U43+V43+W43+X43)</f>
        <v>103.07</v>
      </c>
      <c r="Z43" s="24">
        <f>SUM(G43:X43)</f>
        <v>2396.93</v>
      </c>
    </row>
    <row r="44" ht="14.25" customHeight="1">
      <c r="A44" s="25">
        <v>2.0</v>
      </c>
      <c r="B44" s="27" t="s">
        <v>147</v>
      </c>
      <c r="C44" s="27" t="s">
        <v>139</v>
      </c>
      <c r="D44" s="27" t="s">
        <v>119</v>
      </c>
      <c r="E44" s="27" t="s">
        <v>148</v>
      </c>
      <c r="F44" s="28">
        <v>1500.0</v>
      </c>
      <c r="G44" s="24"/>
      <c r="H44" s="24"/>
      <c r="I44" s="24"/>
      <c r="J44" s="23">
        <v>1700.0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47">
        <f t="shared" ref="Y44:Y49" si="9">F44-(G44+H44+J44+K44+M44+N44+P44+Q44+R44+S44+T44+V44+W44)</f>
        <v>-200</v>
      </c>
      <c r="Z44" s="24">
        <f t="shared" ref="Z44:Z49" si="10">(G44+H44+J44+K44+M44+N44+P44+Q44+R44+S44+T44+V44+W44)</f>
        <v>1700</v>
      </c>
      <c r="AC44" s="31" t="s">
        <v>154</v>
      </c>
      <c r="AD44" s="2"/>
      <c r="AE44" s="2"/>
      <c r="AF44" s="3"/>
    </row>
    <row r="45" ht="14.25" customHeight="1">
      <c r="A45" s="84">
        <v>3.0</v>
      </c>
      <c r="B45" s="26" t="s">
        <v>157</v>
      </c>
      <c r="C45" s="26" t="s">
        <v>139</v>
      </c>
      <c r="D45" s="27" t="s">
        <v>158</v>
      </c>
      <c r="E45" s="27" t="s">
        <v>16</v>
      </c>
      <c r="F45" s="28">
        <v>2000.0</v>
      </c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>
        <f t="shared" si="9"/>
        <v>2000</v>
      </c>
      <c r="Z45" s="24">
        <f t="shared" si="10"/>
        <v>0</v>
      </c>
      <c r="AC45" s="35" t="s">
        <v>25</v>
      </c>
      <c r="AD45" s="35" t="s">
        <v>26</v>
      </c>
      <c r="AE45" s="35" t="s">
        <v>27</v>
      </c>
      <c r="AF45" s="35" t="s">
        <v>28</v>
      </c>
    </row>
    <row r="46" ht="14.25" customHeight="1">
      <c r="A46" s="12"/>
      <c r="B46" s="12"/>
      <c r="C46" s="12"/>
      <c r="D46" s="27" t="s">
        <v>17</v>
      </c>
      <c r="E46" s="27"/>
      <c r="F46" s="28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47">
        <f t="shared" si="9"/>
        <v>0</v>
      </c>
      <c r="Z46" s="24">
        <f t="shared" si="10"/>
        <v>0</v>
      </c>
      <c r="AC46" s="37" t="s">
        <v>9</v>
      </c>
      <c r="AD46" s="85"/>
      <c r="AE46" s="85"/>
      <c r="AF46" s="24">
        <f>(G50+J50+M50+P50+S50+V50)</f>
        <v>4096.93</v>
      </c>
    </row>
    <row r="47" ht="14.25" customHeight="1">
      <c r="A47" s="25">
        <v>4.0</v>
      </c>
      <c r="B47" s="27" t="s">
        <v>165</v>
      </c>
      <c r="C47" s="27" t="s">
        <v>166</v>
      </c>
      <c r="D47" s="27" t="s">
        <v>119</v>
      </c>
      <c r="E47" s="27" t="s">
        <v>167</v>
      </c>
      <c r="F47" s="28">
        <v>1500.0</v>
      </c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>
        <f t="shared" si="9"/>
        <v>1500</v>
      </c>
      <c r="Z47" s="24">
        <f t="shared" si="10"/>
        <v>0</v>
      </c>
      <c r="AC47" s="37" t="s">
        <v>10</v>
      </c>
      <c r="AD47" s="85"/>
      <c r="AE47" s="85"/>
      <c r="AF47" s="24">
        <f>H50+K50+N50+Q50+T50+W50</f>
        <v>0</v>
      </c>
    </row>
    <row r="48" ht="14.25" customHeight="1">
      <c r="A48" s="25">
        <v>5.0</v>
      </c>
      <c r="B48" s="27" t="s">
        <v>168</v>
      </c>
      <c r="C48" s="27" t="s">
        <v>166</v>
      </c>
      <c r="D48" s="27" t="s">
        <v>119</v>
      </c>
      <c r="E48" s="27" t="s">
        <v>169</v>
      </c>
      <c r="F48" s="28">
        <v>1500.0</v>
      </c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>
        <f t="shared" si="9"/>
        <v>1500</v>
      </c>
      <c r="Z48" s="24">
        <f t="shared" si="10"/>
        <v>0</v>
      </c>
      <c r="AC48" s="37" t="s">
        <v>12</v>
      </c>
      <c r="AD48" s="85"/>
      <c r="AE48" s="85"/>
      <c r="AF48" s="85"/>
    </row>
    <row r="49" ht="14.25" customHeight="1">
      <c r="A49" s="25">
        <v>6.0</v>
      </c>
      <c r="B49" s="27" t="s">
        <v>170</v>
      </c>
      <c r="C49" s="27" t="s">
        <v>171</v>
      </c>
      <c r="D49" s="27" t="s">
        <v>158</v>
      </c>
      <c r="E49" s="27" t="s">
        <v>172</v>
      </c>
      <c r="F49" s="28">
        <v>2000.0</v>
      </c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>
        <f t="shared" si="9"/>
        <v>2000</v>
      </c>
      <c r="Z49" s="24">
        <f t="shared" si="10"/>
        <v>0</v>
      </c>
    </row>
    <row r="50" ht="14.25" customHeight="1">
      <c r="A50" s="68" t="s">
        <v>122</v>
      </c>
      <c r="B50" s="2"/>
      <c r="C50" s="2"/>
      <c r="D50" s="2"/>
      <c r="E50" s="3"/>
      <c r="F50" s="69">
        <f t="shared" ref="F50:H50" si="11">SUM(F43:F49)</f>
        <v>11000</v>
      </c>
      <c r="G50" s="86">
        <f t="shared" si="11"/>
        <v>0</v>
      </c>
      <c r="H50" s="86">
        <f t="shared" si="11"/>
        <v>0</v>
      </c>
      <c r="I50" s="86"/>
      <c r="J50" s="86">
        <f t="shared" ref="J50:K50" si="12">SUM(J43:J49)</f>
        <v>1700</v>
      </c>
      <c r="K50" s="86">
        <f t="shared" si="12"/>
        <v>0</v>
      </c>
      <c r="L50" s="86"/>
      <c r="M50" s="86">
        <f t="shared" ref="M50:N50" si="13">SUM(M43:M49)</f>
        <v>2010.26</v>
      </c>
      <c r="N50" s="86">
        <f t="shared" si="13"/>
        <v>0</v>
      </c>
      <c r="O50" s="86"/>
      <c r="P50" s="86">
        <f t="shared" ref="P50:T50" si="14">SUM(P43:P49)</f>
        <v>386.67</v>
      </c>
      <c r="Q50" s="86">
        <f t="shared" si="14"/>
        <v>0</v>
      </c>
      <c r="R50" s="86">
        <f t="shared" si="14"/>
        <v>0</v>
      </c>
      <c r="S50" s="86">
        <f t="shared" si="14"/>
        <v>0</v>
      </c>
      <c r="T50" s="86">
        <f t="shared" si="14"/>
        <v>0</v>
      </c>
      <c r="U50" s="86"/>
      <c r="V50" s="86">
        <f t="shared" ref="V50:W50" si="15">SUM(V43:V49)</f>
        <v>0</v>
      </c>
      <c r="W50" s="86">
        <f t="shared" si="15"/>
        <v>0</v>
      </c>
      <c r="X50" s="86"/>
      <c r="Y50" s="70">
        <f t="shared" ref="Y50:Z50" si="16">SUM(Y43:Y49)</f>
        <v>6903.07</v>
      </c>
      <c r="Z50" s="70">
        <f t="shared" si="16"/>
        <v>4096.93</v>
      </c>
    </row>
    <row r="51" ht="14.25" customHeight="1">
      <c r="A51" s="73"/>
      <c r="B51" s="73"/>
      <c r="C51" s="73"/>
      <c r="D51" s="73"/>
      <c r="E51" s="73"/>
      <c r="F51" s="72"/>
    </row>
    <row r="52" ht="14.25" customHeight="1">
      <c r="A52" s="73"/>
      <c r="B52" s="73"/>
      <c r="C52" s="73"/>
      <c r="D52" s="73"/>
      <c r="E52" s="73"/>
      <c r="F52" s="72"/>
    </row>
    <row r="53" ht="14.25" customHeight="1">
      <c r="A53" s="73"/>
      <c r="B53" s="73"/>
      <c r="C53" s="73"/>
      <c r="D53" s="73"/>
      <c r="E53" s="73"/>
      <c r="F53" s="72"/>
    </row>
    <row r="54" ht="14.25" customHeight="1">
      <c r="A54" s="77" t="s">
        <v>173</v>
      </c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9"/>
    </row>
    <row r="55" ht="28.5" customHeight="1">
      <c r="A55" s="4" t="s">
        <v>2</v>
      </c>
      <c r="B55" s="5"/>
      <c r="C55" s="6" t="s">
        <v>3</v>
      </c>
      <c r="D55" s="6" t="s">
        <v>4</v>
      </c>
      <c r="E55" s="87" t="s">
        <v>5</v>
      </c>
      <c r="F55" s="7" t="s">
        <v>134</v>
      </c>
      <c r="G55" s="8">
        <v>46195.0</v>
      </c>
      <c r="H55" s="2"/>
      <c r="I55" s="3"/>
      <c r="J55" s="8">
        <v>46196.0</v>
      </c>
      <c r="K55" s="2"/>
      <c r="L55" s="3"/>
      <c r="M55" s="8">
        <v>46197.0</v>
      </c>
      <c r="N55" s="2"/>
      <c r="O55" s="3"/>
      <c r="P55" s="8">
        <v>46198.0</v>
      </c>
      <c r="Q55" s="2"/>
      <c r="R55" s="3"/>
      <c r="S55" s="8">
        <v>46199.0</v>
      </c>
      <c r="T55" s="2"/>
      <c r="U55" s="3"/>
      <c r="V55" s="8">
        <v>46200.0</v>
      </c>
      <c r="W55" s="2"/>
      <c r="X55" s="3"/>
      <c r="Y55" s="9" t="s">
        <v>7</v>
      </c>
      <c r="Z55" s="7" t="s">
        <v>8</v>
      </c>
    </row>
    <row r="56" ht="14.25" customHeight="1">
      <c r="A56" s="10"/>
      <c r="B56" s="11"/>
      <c r="C56" s="12"/>
      <c r="D56" s="12"/>
      <c r="E56" s="88"/>
      <c r="F56" s="12"/>
      <c r="G56" s="13" t="s">
        <v>9</v>
      </c>
      <c r="H56" s="13" t="s">
        <v>10</v>
      </c>
      <c r="I56" s="13" t="s">
        <v>12</v>
      </c>
      <c r="J56" s="13" t="s">
        <v>9</v>
      </c>
      <c r="K56" s="13" t="s">
        <v>10</v>
      </c>
      <c r="L56" s="13" t="s">
        <v>12</v>
      </c>
      <c r="M56" s="13" t="s">
        <v>9</v>
      </c>
      <c r="N56" s="13" t="s">
        <v>10</v>
      </c>
      <c r="O56" s="13" t="s">
        <v>12</v>
      </c>
      <c r="P56" s="13" t="s">
        <v>9</v>
      </c>
      <c r="Q56" s="13" t="s">
        <v>10</v>
      </c>
      <c r="R56" s="13" t="s">
        <v>12</v>
      </c>
      <c r="S56" s="13" t="s">
        <v>9</v>
      </c>
      <c r="T56" s="13" t="s">
        <v>10</v>
      </c>
      <c r="U56" s="13" t="s">
        <v>12</v>
      </c>
      <c r="V56" s="13" t="s">
        <v>9</v>
      </c>
      <c r="W56" s="13" t="s">
        <v>10</v>
      </c>
      <c r="X56" s="13" t="s">
        <v>12</v>
      </c>
      <c r="Y56" s="12"/>
      <c r="Z56" s="12"/>
    </row>
    <row r="57" ht="14.25" customHeight="1">
      <c r="A57" s="25">
        <v>1.0</v>
      </c>
      <c r="B57" s="89" t="s">
        <v>178</v>
      </c>
      <c r="C57" s="84" t="s">
        <v>179</v>
      </c>
      <c r="D57" s="27"/>
      <c r="E57" s="90" t="s">
        <v>180</v>
      </c>
      <c r="F57" s="28"/>
      <c r="G57" s="85"/>
      <c r="H57" s="85"/>
      <c r="I57" s="85"/>
      <c r="J57" s="85"/>
      <c r="K57" s="85"/>
      <c r="L57" s="85"/>
      <c r="M57" s="91">
        <v>8910.97</v>
      </c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24">
        <f t="shared" ref="Z57:Z63" si="17">SUM(G57:Y57)</f>
        <v>8910.97</v>
      </c>
      <c r="AC57" s="92" t="s">
        <v>182</v>
      </c>
      <c r="AD57" s="2"/>
      <c r="AE57" s="2"/>
      <c r="AF57" s="3"/>
    </row>
    <row r="58" ht="14.25" customHeight="1">
      <c r="A58" s="25">
        <v>2.0</v>
      </c>
      <c r="B58" s="89" t="s">
        <v>183</v>
      </c>
      <c r="C58" s="44"/>
      <c r="D58" s="27"/>
      <c r="E58" s="90" t="s">
        <v>184</v>
      </c>
      <c r="F58" s="28"/>
      <c r="G58" s="85"/>
      <c r="H58" s="85"/>
      <c r="I58" s="85"/>
      <c r="J58" s="85"/>
      <c r="K58" s="85"/>
      <c r="L58" s="85"/>
      <c r="M58" s="91">
        <v>9990.0</v>
      </c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24">
        <f t="shared" si="17"/>
        <v>9990</v>
      </c>
      <c r="AC58" s="35" t="s">
        <v>25</v>
      </c>
      <c r="AD58" s="35" t="s">
        <v>26</v>
      </c>
      <c r="AE58" s="35" t="s">
        <v>27</v>
      </c>
      <c r="AF58" s="35" t="s">
        <v>28</v>
      </c>
    </row>
    <row r="59" ht="14.25" customHeight="1">
      <c r="A59" s="25">
        <v>3.0</v>
      </c>
      <c r="B59" s="89" t="s">
        <v>185</v>
      </c>
      <c r="C59" s="44"/>
      <c r="D59" s="27"/>
      <c r="E59" s="90" t="s">
        <v>186</v>
      </c>
      <c r="F59" s="28"/>
      <c r="G59" s="85"/>
      <c r="H59" s="85"/>
      <c r="I59" s="85"/>
      <c r="J59" s="85"/>
      <c r="K59" s="85"/>
      <c r="L59" s="85"/>
      <c r="M59" s="91">
        <v>3510.0</v>
      </c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24">
        <f t="shared" si="17"/>
        <v>3510</v>
      </c>
      <c r="AC59" s="27" t="s">
        <v>9</v>
      </c>
      <c r="AD59" s="27"/>
      <c r="AE59" s="27"/>
      <c r="AF59" s="28">
        <f>(G64+J64+M64+P64+S64+V64)</f>
        <v>55459.08</v>
      </c>
    </row>
    <row r="60" ht="14.25" customHeight="1">
      <c r="A60" s="25">
        <v>4.0</v>
      </c>
      <c r="B60" s="89" t="s">
        <v>185</v>
      </c>
      <c r="C60" s="44"/>
      <c r="D60" s="27"/>
      <c r="E60" s="90" t="s">
        <v>186</v>
      </c>
      <c r="F60" s="28"/>
      <c r="G60" s="85"/>
      <c r="H60" s="85"/>
      <c r="I60" s="85"/>
      <c r="J60" s="85"/>
      <c r="K60" s="85"/>
      <c r="L60" s="85"/>
      <c r="M60" s="91">
        <v>9990.0</v>
      </c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24">
        <f t="shared" si="17"/>
        <v>9990</v>
      </c>
      <c r="AC60" s="27" t="s">
        <v>10</v>
      </c>
      <c r="AD60" s="27"/>
      <c r="AE60" s="27"/>
      <c r="AF60" s="27">
        <f>(H64+K64+N64+Q64+T64+W64)</f>
        <v>0</v>
      </c>
    </row>
    <row r="61" ht="14.25" customHeight="1">
      <c r="A61" s="25">
        <v>5.0</v>
      </c>
      <c r="B61" s="89" t="s">
        <v>187</v>
      </c>
      <c r="C61" s="44"/>
      <c r="D61" s="27"/>
      <c r="E61" s="90" t="s">
        <v>188</v>
      </c>
      <c r="F61" s="28"/>
      <c r="G61" s="85"/>
      <c r="H61" s="85"/>
      <c r="I61" s="85"/>
      <c r="J61" s="85"/>
      <c r="K61" s="85"/>
      <c r="L61" s="85"/>
      <c r="M61" s="91">
        <v>8100.11</v>
      </c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24">
        <f t="shared" si="17"/>
        <v>8100.11</v>
      </c>
      <c r="AC61" s="27" t="s">
        <v>11</v>
      </c>
      <c r="AD61" s="27"/>
      <c r="AE61" s="27"/>
      <c r="AF61" s="27">
        <f>(I64+L64+O64+R64+U64+X64)</f>
        <v>0</v>
      </c>
    </row>
    <row r="62" ht="14.25" customHeight="1">
      <c r="A62" s="25">
        <v>6.0</v>
      </c>
      <c r="B62" s="89" t="s">
        <v>189</v>
      </c>
      <c r="C62" s="44"/>
      <c r="D62" s="27"/>
      <c r="E62" s="90" t="s">
        <v>190</v>
      </c>
      <c r="F62" s="28"/>
      <c r="G62" s="85"/>
      <c r="H62" s="85"/>
      <c r="I62" s="85"/>
      <c r="J62" s="85"/>
      <c r="K62" s="85"/>
      <c r="L62" s="85"/>
      <c r="M62" s="91">
        <v>6858.0</v>
      </c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24">
        <f t="shared" si="17"/>
        <v>6858</v>
      </c>
    </row>
    <row r="63" ht="14.25" customHeight="1">
      <c r="A63" s="25">
        <v>7.0</v>
      </c>
      <c r="B63" s="89" t="s">
        <v>191</v>
      </c>
      <c r="C63" s="12"/>
      <c r="D63" s="27"/>
      <c r="E63" s="90" t="s">
        <v>192</v>
      </c>
      <c r="F63" s="28"/>
      <c r="G63" s="85"/>
      <c r="H63" s="85"/>
      <c r="I63" s="85"/>
      <c r="J63" s="85"/>
      <c r="K63" s="85"/>
      <c r="L63" s="85"/>
      <c r="M63" s="91">
        <v>8100.0</v>
      </c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24">
        <f t="shared" si="17"/>
        <v>8100</v>
      </c>
    </row>
    <row r="64" ht="14.25" customHeight="1">
      <c r="A64" s="68" t="s">
        <v>122</v>
      </c>
      <c r="B64" s="2"/>
      <c r="C64" s="2"/>
      <c r="D64" s="2"/>
      <c r="E64" s="3"/>
      <c r="F64" s="93"/>
      <c r="G64" s="85">
        <f t="shared" ref="G64:Z64" si="18">SUM(G57:G63)</f>
        <v>0</v>
      </c>
      <c r="H64" s="85">
        <f t="shared" si="18"/>
        <v>0</v>
      </c>
      <c r="I64" s="85">
        <f t="shared" si="18"/>
        <v>0</v>
      </c>
      <c r="J64" s="85">
        <f t="shared" si="18"/>
        <v>0</v>
      </c>
      <c r="K64" s="85">
        <f t="shared" si="18"/>
        <v>0</v>
      </c>
      <c r="L64" s="85">
        <f t="shared" si="18"/>
        <v>0</v>
      </c>
      <c r="M64" s="24">
        <f t="shared" si="18"/>
        <v>55459.08</v>
      </c>
      <c r="N64" s="85">
        <f t="shared" si="18"/>
        <v>0</v>
      </c>
      <c r="O64" s="85">
        <f t="shared" si="18"/>
        <v>0</v>
      </c>
      <c r="P64" s="85">
        <f t="shared" si="18"/>
        <v>0</v>
      </c>
      <c r="Q64" s="85">
        <f t="shared" si="18"/>
        <v>0</v>
      </c>
      <c r="R64" s="85">
        <f t="shared" si="18"/>
        <v>0</v>
      </c>
      <c r="S64" s="85">
        <f t="shared" si="18"/>
        <v>0</v>
      </c>
      <c r="T64" s="85">
        <f t="shared" si="18"/>
        <v>0</v>
      </c>
      <c r="U64" s="85">
        <f t="shared" si="18"/>
        <v>0</v>
      </c>
      <c r="V64" s="85">
        <f t="shared" si="18"/>
        <v>0</v>
      </c>
      <c r="W64" s="85">
        <f t="shared" si="18"/>
        <v>0</v>
      </c>
      <c r="X64" s="85">
        <f t="shared" si="18"/>
        <v>0</v>
      </c>
      <c r="Y64" s="85">
        <f t="shared" si="18"/>
        <v>0</v>
      </c>
      <c r="Z64" s="24">
        <f t="shared" si="18"/>
        <v>55459.08</v>
      </c>
    </row>
    <row r="65" ht="14.25" customHeight="1">
      <c r="A65" s="73"/>
      <c r="B65" s="73"/>
      <c r="C65" s="73"/>
      <c r="D65" s="73"/>
      <c r="E65" s="73"/>
      <c r="F65" s="72"/>
    </row>
    <row r="66" ht="14.25" customHeight="1">
      <c r="A66" s="73"/>
      <c r="B66" s="73"/>
      <c r="C66" s="73"/>
      <c r="D66" s="73"/>
      <c r="E66" s="73"/>
      <c r="F66" s="72"/>
    </row>
    <row r="67" ht="14.25" customHeight="1">
      <c r="A67" s="95" t="s">
        <v>193</v>
      </c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8"/>
    </row>
    <row r="68" ht="14.25" customHeight="1">
      <c r="A68" s="4" t="s">
        <v>2</v>
      </c>
      <c r="B68" s="5"/>
      <c r="C68" s="6" t="s">
        <v>194</v>
      </c>
      <c r="D68" s="6" t="s">
        <v>4</v>
      </c>
      <c r="E68" s="6" t="s">
        <v>5</v>
      </c>
      <c r="F68" s="7" t="s">
        <v>134</v>
      </c>
      <c r="G68" s="8">
        <v>46195.0</v>
      </c>
      <c r="H68" s="3"/>
      <c r="I68" s="8">
        <v>46196.0</v>
      </c>
      <c r="J68" s="3"/>
      <c r="K68" s="8">
        <v>46197.0</v>
      </c>
      <c r="L68" s="3"/>
      <c r="M68" s="8">
        <v>46198.0</v>
      </c>
      <c r="N68" s="3"/>
      <c r="O68" s="8">
        <v>46199.0</v>
      </c>
      <c r="P68" s="3"/>
      <c r="Q68" s="8">
        <v>46200.0</v>
      </c>
      <c r="R68" s="3"/>
      <c r="S68" s="8">
        <v>46201.0</v>
      </c>
      <c r="T68" s="3"/>
      <c r="U68" s="13" t="s">
        <v>195</v>
      </c>
      <c r="V68" s="99" t="s">
        <v>196</v>
      </c>
      <c r="W68" s="99"/>
    </row>
    <row r="69" ht="14.25" customHeight="1">
      <c r="A69" s="10"/>
      <c r="B69" s="11"/>
      <c r="C69" s="12"/>
      <c r="D69" s="12"/>
      <c r="E69" s="12"/>
      <c r="F69" s="12"/>
      <c r="G69" s="13" t="s">
        <v>26</v>
      </c>
      <c r="H69" s="13" t="s">
        <v>197</v>
      </c>
      <c r="I69" s="13" t="s">
        <v>26</v>
      </c>
      <c r="J69" s="13" t="s">
        <v>197</v>
      </c>
      <c r="K69" s="13" t="s">
        <v>26</v>
      </c>
      <c r="L69" s="13" t="s">
        <v>197</v>
      </c>
      <c r="M69" s="13" t="s">
        <v>26</v>
      </c>
      <c r="N69" s="13" t="s">
        <v>197</v>
      </c>
      <c r="O69" s="13" t="s">
        <v>26</v>
      </c>
      <c r="P69" s="13" t="s">
        <v>197</v>
      </c>
      <c r="Q69" s="13" t="s">
        <v>26</v>
      </c>
      <c r="R69" s="13" t="s">
        <v>197</v>
      </c>
      <c r="S69" s="13" t="s">
        <v>26</v>
      </c>
      <c r="T69" s="13" t="s">
        <v>197</v>
      </c>
      <c r="U69" s="100">
        <v>27.0</v>
      </c>
      <c r="V69" s="12"/>
      <c r="W69" s="12"/>
    </row>
    <row r="70" ht="14.25" customHeight="1">
      <c r="A70" s="25">
        <v>1.0</v>
      </c>
      <c r="B70" s="89" t="s">
        <v>198</v>
      </c>
      <c r="C70" s="101" t="s">
        <v>199</v>
      </c>
      <c r="D70" s="27"/>
      <c r="E70" s="89"/>
      <c r="F70" s="28"/>
      <c r="G70" s="102">
        <v>660.0</v>
      </c>
      <c r="H70" s="39" t="s">
        <v>200</v>
      </c>
      <c r="I70" s="85"/>
      <c r="J70" s="85"/>
      <c r="K70" s="102">
        <v>550.0</v>
      </c>
      <c r="L70" s="85" t="s">
        <v>201</v>
      </c>
      <c r="M70" s="102">
        <v>550.0</v>
      </c>
      <c r="N70" s="85" t="s">
        <v>202</v>
      </c>
      <c r="O70" s="102">
        <v>480.0</v>
      </c>
      <c r="P70" s="85" t="s">
        <v>203</v>
      </c>
      <c r="Q70" s="102">
        <v>290.0</v>
      </c>
      <c r="R70" s="85" t="s">
        <v>204</v>
      </c>
      <c r="S70" s="103">
        <v>200.0</v>
      </c>
      <c r="T70" s="85"/>
      <c r="U70" s="104">
        <f t="shared" ref="U70:U74" si="19">V70*U69</f>
        <v>73710</v>
      </c>
      <c r="V70" s="85">
        <f t="shared" ref="V70:V74" si="20">G70+I70+K70+M70+O70+Q70+S70</f>
        <v>2730</v>
      </c>
      <c r="X70" s="34" t="s">
        <v>26</v>
      </c>
      <c r="Y70" s="34">
        <f>G70+K70+M70+M71+O70+Q70+Q71+S71</f>
        <v>3730</v>
      </c>
    </row>
    <row r="71" ht="14.25" customHeight="1">
      <c r="A71" s="25">
        <v>2.0</v>
      </c>
      <c r="B71" s="89" t="s">
        <v>205</v>
      </c>
      <c r="C71" s="101" t="s">
        <v>206</v>
      </c>
      <c r="D71" s="27"/>
      <c r="E71" s="89"/>
      <c r="F71" s="28"/>
      <c r="G71" s="85"/>
      <c r="H71" s="85"/>
      <c r="I71" s="85"/>
      <c r="J71" s="85"/>
      <c r="K71" s="85"/>
      <c r="L71" s="85"/>
      <c r="M71" s="102">
        <v>400.0</v>
      </c>
      <c r="N71" s="85" t="s">
        <v>207</v>
      </c>
      <c r="O71" s="85"/>
      <c r="P71" s="85"/>
      <c r="Q71" s="102">
        <v>600.0</v>
      </c>
      <c r="R71" s="85" t="s">
        <v>208</v>
      </c>
      <c r="S71" s="102">
        <v>200.0</v>
      </c>
      <c r="T71" s="85" t="s">
        <v>209</v>
      </c>
      <c r="U71" s="104">
        <f t="shared" si="19"/>
        <v>88452000</v>
      </c>
      <c r="V71" s="85">
        <f t="shared" si="20"/>
        <v>1200</v>
      </c>
      <c r="X71" s="34" t="s">
        <v>210</v>
      </c>
      <c r="Y71" s="107">
        <f>Y70*U69</f>
        <v>100710</v>
      </c>
    </row>
    <row r="72" ht="14.25" customHeight="1">
      <c r="A72" s="25">
        <v>3.0</v>
      </c>
      <c r="B72" s="89" t="s">
        <v>212</v>
      </c>
      <c r="C72" s="101" t="s">
        <v>213</v>
      </c>
      <c r="D72" s="27"/>
      <c r="E72" s="89"/>
      <c r="F72" s="28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104">
        <f t="shared" si="19"/>
        <v>0</v>
      </c>
      <c r="V72" s="85">
        <f t="shared" si="20"/>
        <v>0</v>
      </c>
    </row>
    <row r="73" ht="14.25" customHeight="1">
      <c r="A73" s="25">
        <v>4.0</v>
      </c>
      <c r="B73" s="89"/>
      <c r="C73" s="101"/>
      <c r="D73" s="27"/>
      <c r="E73" s="89"/>
      <c r="F73" s="28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104">
        <f t="shared" si="19"/>
        <v>0</v>
      </c>
      <c r="V73" s="85">
        <f t="shared" si="20"/>
        <v>0</v>
      </c>
    </row>
    <row r="74" ht="14.25" customHeight="1">
      <c r="A74" s="68" t="s">
        <v>122</v>
      </c>
      <c r="B74" s="2"/>
      <c r="C74" s="2"/>
      <c r="D74" s="2"/>
      <c r="E74" s="3"/>
      <c r="F74" s="93"/>
      <c r="G74" s="110">
        <f>SUM(G70:G73)</f>
        <v>660</v>
      </c>
      <c r="H74" s="110"/>
      <c r="I74" s="110">
        <f>SUM(I70:I73)</f>
        <v>0</v>
      </c>
      <c r="J74" s="110"/>
      <c r="K74" s="110">
        <f>SUM(K70:K73)</f>
        <v>550</v>
      </c>
      <c r="L74" s="110"/>
      <c r="M74" s="110">
        <f>SUM(M70:M73)</f>
        <v>950</v>
      </c>
      <c r="N74" s="110"/>
      <c r="O74" s="110">
        <f>SUM(O70:O73)</f>
        <v>480</v>
      </c>
      <c r="P74" s="110"/>
      <c r="Q74" s="110">
        <f>SUM(Q70:Q73)</f>
        <v>890</v>
      </c>
      <c r="R74" s="110"/>
      <c r="S74" s="110">
        <f>SUM(S70:S73)</f>
        <v>400</v>
      </c>
      <c r="T74" s="110"/>
      <c r="U74" s="104">
        <f t="shared" si="19"/>
        <v>0</v>
      </c>
      <c r="V74" s="85">
        <f t="shared" si="20"/>
        <v>3930</v>
      </c>
    </row>
    <row r="75" ht="14.25" customHeight="1">
      <c r="A75" s="27"/>
      <c r="B75" s="27"/>
      <c r="C75" s="27"/>
      <c r="D75" s="27"/>
      <c r="E75" s="27"/>
      <c r="F75" s="28"/>
      <c r="G75" s="114">
        <f>G74*U69</f>
        <v>17820</v>
      </c>
      <c r="H75" s="3"/>
      <c r="I75" s="115">
        <f>I74*U69</f>
        <v>0</v>
      </c>
      <c r="J75" s="3"/>
      <c r="K75" s="114">
        <f>K74*U69</f>
        <v>14850</v>
      </c>
      <c r="L75" s="3"/>
      <c r="M75" s="115">
        <f>M74*U69</f>
        <v>25650</v>
      </c>
      <c r="N75" s="3"/>
      <c r="O75" s="115">
        <f>O74*U69</f>
        <v>12960</v>
      </c>
      <c r="P75" s="3"/>
      <c r="Q75" s="115">
        <f>Q74*U69</f>
        <v>24030</v>
      </c>
      <c r="R75" s="3"/>
      <c r="S75" s="115">
        <f>S74*U69</f>
        <v>10800</v>
      </c>
      <c r="T75" s="3"/>
      <c r="U75" s="107">
        <f t="shared" ref="U75:V75" si="21">SUM(U70:U74)</f>
        <v>88525710</v>
      </c>
      <c r="V75" s="116">
        <f t="shared" si="21"/>
        <v>7860</v>
      </c>
    </row>
    <row r="76" ht="14.25" customHeight="1">
      <c r="A76" s="73"/>
      <c r="B76" s="73"/>
      <c r="C76" s="73"/>
      <c r="D76" s="73"/>
      <c r="E76" s="73"/>
      <c r="F76" s="72"/>
    </row>
    <row r="77" ht="14.25" customHeight="1">
      <c r="A77" s="73"/>
      <c r="B77" s="73"/>
      <c r="C77" s="73"/>
      <c r="D77" s="73"/>
      <c r="E77" s="73"/>
      <c r="F77" s="72"/>
    </row>
    <row r="78" ht="14.25" customHeight="1">
      <c r="A78" s="73"/>
      <c r="B78" s="73"/>
      <c r="C78" s="73"/>
      <c r="D78" s="73"/>
      <c r="E78" s="73"/>
      <c r="F78" s="72"/>
    </row>
    <row r="79" ht="14.25" customHeight="1">
      <c r="A79" s="73"/>
      <c r="B79" s="73"/>
      <c r="C79" s="73"/>
      <c r="D79" s="73"/>
      <c r="E79" s="73"/>
      <c r="F79" s="72"/>
    </row>
    <row r="80" ht="14.25" customHeight="1">
      <c r="A80" s="73"/>
      <c r="B80" s="73"/>
      <c r="C80" s="73"/>
      <c r="D80" s="73"/>
      <c r="E80" s="73"/>
      <c r="F80" s="72"/>
    </row>
    <row r="81" ht="14.25" customHeight="1">
      <c r="A81" s="73"/>
      <c r="B81" s="73"/>
      <c r="C81" s="73"/>
      <c r="D81" s="73"/>
      <c r="E81" s="73"/>
      <c r="F81" s="72"/>
    </row>
    <row r="82" ht="14.25" customHeight="1">
      <c r="A82" s="73"/>
      <c r="B82" s="73"/>
      <c r="C82" s="73"/>
      <c r="D82" s="73"/>
      <c r="E82" s="73"/>
      <c r="F82" s="72"/>
    </row>
    <row r="83" ht="14.25" customHeight="1">
      <c r="A83" s="1" t="s">
        <v>216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3"/>
    </row>
    <row r="84" ht="14.25" customHeight="1">
      <c r="A84" s="4" t="s">
        <v>2</v>
      </c>
      <c r="B84" s="117"/>
      <c r="C84" s="6" t="s">
        <v>3</v>
      </c>
      <c r="D84" s="6" t="s">
        <v>4</v>
      </c>
      <c r="E84" s="6" t="s">
        <v>217</v>
      </c>
      <c r="F84" s="7" t="s">
        <v>6</v>
      </c>
      <c r="G84" s="8">
        <v>46195.0</v>
      </c>
      <c r="H84" s="3"/>
      <c r="I84" s="8">
        <v>46196.0</v>
      </c>
      <c r="J84" s="3"/>
      <c r="K84" s="8">
        <v>46197.0</v>
      </c>
      <c r="L84" s="3"/>
      <c r="M84" s="8">
        <v>46198.0</v>
      </c>
      <c r="N84" s="3"/>
      <c r="O84" s="8">
        <v>46199.0</v>
      </c>
      <c r="P84" s="3"/>
      <c r="Q84" s="8">
        <v>46200.0</v>
      </c>
      <c r="R84" s="3"/>
      <c r="S84" s="8">
        <v>46201.0</v>
      </c>
      <c r="T84" s="3"/>
      <c r="U84" s="99" t="s">
        <v>221</v>
      </c>
      <c r="V84" s="118" t="s">
        <v>222</v>
      </c>
      <c r="W84" s="118" t="s">
        <v>28</v>
      </c>
    </row>
    <row r="85" ht="14.25" customHeight="1">
      <c r="A85" s="10"/>
      <c r="B85" s="119"/>
      <c r="C85" s="12"/>
      <c r="D85" s="12"/>
      <c r="E85" s="12"/>
      <c r="F85" s="12"/>
      <c r="G85" s="13" t="s">
        <v>9</v>
      </c>
      <c r="H85" s="13" t="s">
        <v>10</v>
      </c>
      <c r="I85" s="13" t="s">
        <v>9</v>
      </c>
      <c r="J85" s="13" t="s">
        <v>223</v>
      </c>
      <c r="K85" s="13" t="s">
        <v>9</v>
      </c>
      <c r="L85" s="13" t="s">
        <v>10</v>
      </c>
      <c r="M85" s="13" t="s">
        <v>9</v>
      </c>
      <c r="N85" s="13" t="s">
        <v>10</v>
      </c>
      <c r="O85" s="13" t="s">
        <v>9</v>
      </c>
      <c r="P85" s="13" t="s">
        <v>10</v>
      </c>
      <c r="Q85" s="13" t="s">
        <v>9</v>
      </c>
      <c r="R85" s="13" t="s">
        <v>10</v>
      </c>
      <c r="S85" s="13" t="s">
        <v>9</v>
      </c>
      <c r="T85" s="13" t="s">
        <v>10</v>
      </c>
      <c r="U85" s="12"/>
      <c r="V85" s="121"/>
      <c r="W85" s="121"/>
    </row>
    <row r="86" ht="14.25" customHeight="1">
      <c r="A86" s="26">
        <v>1.0</v>
      </c>
      <c r="B86" s="126" t="s">
        <v>230</v>
      </c>
      <c r="C86" s="26" t="s">
        <v>231</v>
      </c>
      <c r="D86" s="129" t="s">
        <v>233</v>
      </c>
      <c r="E86" s="27"/>
      <c r="F86" s="28"/>
      <c r="G86" s="27"/>
      <c r="H86" s="130">
        <v>106.0</v>
      </c>
      <c r="I86" s="27"/>
      <c r="J86" s="27">
        <v>21.0</v>
      </c>
      <c r="K86" s="27"/>
      <c r="L86" s="27">
        <v>76.0</v>
      </c>
      <c r="M86" s="27"/>
      <c r="N86" s="27"/>
      <c r="O86" s="27"/>
      <c r="P86" s="27">
        <v>120.0</v>
      </c>
      <c r="Q86" s="27"/>
      <c r="R86" s="27"/>
      <c r="S86" s="27"/>
      <c r="T86" s="27"/>
      <c r="U86" s="27">
        <f t="shared" ref="U86:U96" si="22">SUM(G86:T86)</f>
        <v>323</v>
      </c>
      <c r="V86" s="20">
        <v>27.0</v>
      </c>
      <c r="W86" s="20">
        <f t="shared" ref="W86:W96" si="23">U86*V86</f>
        <v>8721</v>
      </c>
    </row>
    <row r="87" ht="14.25" customHeight="1">
      <c r="A87" s="44"/>
      <c r="B87" s="133"/>
      <c r="C87" s="44"/>
      <c r="D87" s="129" t="s">
        <v>240</v>
      </c>
      <c r="E87" s="27"/>
      <c r="F87" s="28"/>
      <c r="G87" s="27"/>
      <c r="H87" s="130">
        <v>50.0</v>
      </c>
      <c r="I87" s="27"/>
      <c r="J87" s="27"/>
      <c r="K87" s="27"/>
      <c r="L87" s="27">
        <v>50.0</v>
      </c>
      <c r="M87" s="27"/>
      <c r="N87" s="27">
        <v>30.0</v>
      </c>
      <c r="O87" s="27"/>
      <c r="P87" s="27">
        <v>30.0</v>
      </c>
      <c r="Q87" s="27"/>
      <c r="R87" s="27"/>
      <c r="S87" s="27"/>
      <c r="T87" s="27"/>
      <c r="U87" s="27">
        <f t="shared" si="22"/>
        <v>160</v>
      </c>
      <c r="V87" s="20">
        <v>27.0</v>
      </c>
      <c r="W87" s="20">
        <f t="shared" si="23"/>
        <v>4320</v>
      </c>
    </row>
    <row r="88" ht="56.25" customHeight="1">
      <c r="A88" s="44"/>
      <c r="B88" s="133"/>
      <c r="C88" s="44"/>
      <c r="D88" s="129" t="s">
        <v>243</v>
      </c>
      <c r="E88" s="27"/>
      <c r="F88" s="28"/>
      <c r="G88" s="27"/>
      <c r="H88" s="130">
        <v>50.0</v>
      </c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>
        <f t="shared" si="22"/>
        <v>50</v>
      </c>
      <c r="V88" s="20">
        <v>27.0</v>
      </c>
      <c r="W88" s="20">
        <f t="shared" si="23"/>
        <v>1350</v>
      </c>
    </row>
    <row r="89" ht="14.25" customHeight="1">
      <c r="A89" s="44"/>
      <c r="B89" s="133"/>
      <c r="C89" s="44"/>
      <c r="D89" s="129" t="s">
        <v>252</v>
      </c>
      <c r="E89" s="27"/>
      <c r="F89" s="28"/>
      <c r="G89" s="27"/>
      <c r="H89" s="130">
        <v>60.0</v>
      </c>
      <c r="I89" s="27"/>
      <c r="J89" s="27">
        <v>50.0</v>
      </c>
      <c r="K89" s="27"/>
      <c r="L89" s="27">
        <v>40.0</v>
      </c>
      <c r="M89" s="27"/>
      <c r="N89" s="27"/>
      <c r="O89" s="27"/>
      <c r="P89" s="27">
        <v>40.0</v>
      </c>
      <c r="Q89" s="27"/>
      <c r="R89" s="27"/>
      <c r="S89" s="27"/>
      <c r="T89" s="27"/>
      <c r="U89" s="27">
        <f t="shared" si="22"/>
        <v>190</v>
      </c>
      <c r="V89" s="20">
        <v>27.0</v>
      </c>
      <c r="W89" s="20">
        <f t="shared" si="23"/>
        <v>5130</v>
      </c>
    </row>
    <row r="90" ht="51.0" customHeight="1">
      <c r="A90" s="44"/>
      <c r="B90" s="133"/>
      <c r="C90" s="44"/>
      <c r="D90" s="129" t="s">
        <v>256</v>
      </c>
      <c r="E90" s="27"/>
      <c r="F90" s="28"/>
      <c r="G90" s="27"/>
      <c r="H90" s="130">
        <v>250.0</v>
      </c>
      <c r="I90" s="27"/>
      <c r="J90" s="27"/>
      <c r="K90" s="27"/>
      <c r="L90" s="27">
        <v>200.0</v>
      </c>
      <c r="M90" s="27"/>
      <c r="N90" s="27"/>
      <c r="O90" s="27"/>
      <c r="P90" s="27">
        <v>200.0</v>
      </c>
      <c r="Q90" s="27"/>
      <c r="R90" s="27"/>
      <c r="S90" s="27"/>
      <c r="T90" s="27"/>
      <c r="U90" s="27">
        <f t="shared" si="22"/>
        <v>650</v>
      </c>
      <c r="V90" s="20">
        <v>27.0</v>
      </c>
      <c r="W90" s="20">
        <f t="shared" si="23"/>
        <v>17550</v>
      </c>
    </row>
    <row r="91" ht="50.25" customHeight="1">
      <c r="A91" s="44"/>
      <c r="B91" s="133"/>
      <c r="C91" s="44"/>
      <c r="D91" s="129" t="s">
        <v>260</v>
      </c>
      <c r="E91" s="27"/>
      <c r="F91" s="28"/>
      <c r="G91" s="27"/>
      <c r="H91" s="130">
        <v>250.0</v>
      </c>
      <c r="I91" s="27"/>
      <c r="J91" s="27"/>
      <c r="K91" s="27"/>
      <c r="L91" s="27"/>
      <c r="M91" s="27"/>
      <c r="N91" s="27"/>
      <c r="O91" s="27"/>
      <c r="P91" s="27">
        <v>329.0</v>
      </c>
      <c r="Q91" s="27"/>
      <c r="R91" s="27"/>
      <c r="S91" s="27"/>
      <c r="T91" s="27"/>
      <c r="U91" s="27">
        <f t="shared" si="22"/>
        <v>579</v>
      </c>
      <c r="V91" s="20">
        <v>27.0</v>
      </c>
      <c r="W91" s="20">
        <f t="shared" si="23"/>
        <v>15633</v>
      </c>
    </row>
    <row r="92" ht="14.25" customHeight="1">
      <c r="A92" s="44"/>
      <c r="B92" s="133"/>
      <c r="C92" s="44"/>
      <c r="D92" s="129" t="s">
        <v>268</v>
      </c>
      <c r="E92" s="27"/>
      <c r="F92" s="28"/>
      <c r="G92" s="27"/>
      <c r="H92" s="27"/>
      <c r="I92" s="27"/>
      <c r="J92" s="27">
        <v>31.0</v>
      </c>
      <c r="K92" s="27"/>
      <c r="L92" s="27"/>
      <c r="M92" s="27"/>
      <c r="N92" s="27">
        <v>26.0</v>
      </c>
      <c r="O92" s="27"/>
      <c r="P92" s="27"/>
      <c r="Q92" s="27"/>
      <c r="R92" s="27"/>
      <c r="S92" s="27"/>
      <c r="T92" s="27"/>
      <c r="U92" s="27">
        <f t="shared" si="22"/>
        <v>57</v>
      </c>
      <c r="V92" s="20">
        <v>27.0</v>
      </c>
      <c r="W92" s="20">
        <f t="shared" si="23"/>
        <v>1539</v>
      </c>
    </row>
    <row r="93" ht="14.25" customHeight="1">
      <c r="A93" s="44"/>
      <c r="B93" s="133"/>
      <c r="C93" s="44"/>
      <c r="D93" s="140" t="s">
        <v>274</v>
      </c>
      <c r="E93" s="27"/>
      <c r="F93" s="28"/>
      <c r="G93" s="27"/>
      <c r="H93" s="27"/>
      <c r="I93" s="27"/>
      <c r="J93" s="27"/>
      <c r="K93" s="27"/>
      <c r="L93" s="27">
        <v>35.0</v>
      </c>
      <c r="M93" s="27"/>
      <c r="N93" s="27">
        <v>30.0</v>
      </c>
      <c r="O93" s="27"/>
      <c r="P93" s="27">
        <v>40.0</v>
      </c>
      <c r="Q93" s="27"/>
      <c r="R93" s="27"/>
      <c r="S93" s="27"/>
      <c r="T93" s="27"/>
      <c r="U93" s="27">
        <f t="shared" si="22"/>
        <v>105</v>
      </c>
      <c r="V93" s="20">
        <v>27.0</v>
      </c>
      <c r="W93" s="20">
        <f t="shared" si="23"/>
        <v>2835</v>
      </c>
    </row>
    <row r="94" ht="14.25" customHeight="1">
      <c r="A94" s="44"/>
      <c r="B94" s="133"/>
      <c r="C94" s="44"/>
      <c r="D94" s="140" t="s">
        <v>274</v>
      </c>
      <c r="E94" s="27"/>
      <c r="F94" s="28"/>
      <c r="G94" s="27"/>
      <c r="H94" s="27"/>
      <c r="I94" s="27"/>
      <c r="J94" s="27"/>
      <c r="K94" s="27"/>
      <c r="L94" s="27">
        <v>40.0</v>
      </c>
      <c r="M94" s="27"/>
      <c r="N94" s="27"/>
      <c r="O94" s="27"/>
      <c r="P94" s="27">
        <v>32.0</v>
      </c>
      <c r="Q94" s="27"/>
      <c r="R94" s="27"/>
      <c r="S94" s="27"/>
      <c r="T94" s="27"/>
      <c r="U94" s="27">
        <f t="shared" si="22"/>
        <v>72</v>
      </c>
      <c r="V94" s="20">
        <v>27.0</v>
      </c>
      <c r="W94" s="20">
        <f t="shared" si="23"/>
        <v>1944</v>
      </c>
    </row>
    <row r="95" ht="14.25" customHeight="1">
      <c r="A95" s="44"/>
      <c r="B95" s="133"/>
      <c r="C95" s="44"/>
      <c r="D95" s="140" t="s">
        <v>286</v>
      </c>
      <c r="E95" s="27"/>
      <c r="F95" s="28"/>
      <c r="G95" s="27"/>
      <c r="H95" s="27"/>
      <c r="I95" s="27"/>
      <c r="J95" s="27"/>
      <c r="K95" s="27"/>
      <c r="L95" s="27"/>
      <c r="M95" s="27"/>
      <c r="N95" s="27">
        <v>50.0</v>
      </c>
      <c r="O95" s="27"/>
      <c r="P95" s="27"/>
      <c r="Q95" s="27"/>
      <c r="R95" s="27"/>
      <c r="S95" s="27"/>
      <c r="T95" s="27"/>
      <c r="U95" s="27">
        <f t="shared" si="22"/>
        <v>50</v>
      </c>
      <c r="V95" s="20">
        <v>27.0</v>
      </c>
      <c r="W95" s="20">
        <f t="shared" si="23"/>
        <v>1350</v>
      </c>
    </row>
    <row r="96" ht="14.25" customHeight="1">
      <c r="A96" s="12"/>
      <c r="B96" s="10"/>
      <c r="C96" s="12"/>
      <c r="D96" s="140" t="s">
        <v>293</v>
      </c>
      <c r="E96" s="27"/>
      <c r="F96" s="28"/>
      <c r="G96" s="27"/>
      <c r="H96" s="27"/>
      <c r="I96" s="27"/>
      <c r="J96" s="27"/>
      <c r="K96" s="27"/>
      <c r="L96" s="27"/>
      <c r="M96" s="27"/>
      <c r="N96" s="27">
        <v>14.0</v>
      </c>
      <c r="O96" s="27"/>
      <c r="P96" s="27">
        <v>16.0</v>
      </c>
      <c r="Q96" s="27"/>
      <c r="R96" s="27"/>
      <c r="S96" s="27"/>
      <c r="T96" s="27"/>
      <c r="U96" s="27">
        <f t="shared" si="22"/>
        <v>30</v>
      </c>
      <c r="V96" s="20">
        <v>27.0</v>
      </c>
      <c r="W96" s="20">
        <f t="shared" si="23"/>
        <v>810</v>
      </c>
    </row>
    <row r="97" ht="14.25" customHeight="1">
      <c r="A97" s="73"/>
      <c r="B97" s="73"/>
      <c r="C97" s="147" t="s">
        <v>210</v>
      </c>
      <c r="D97" s="148"/>
      <c r="E97" s="148"/>
      <c r="F97" s="5"/>
      <c r="G97" s="27">
        <f t="shared" ref="G97:U97" si="24">SUM(G86:G96)</f>
        <v>0</v>
      </c>
      <c r="H97" s="149">
        <f t="shared" si="24"/>
        <v>766</v>
      </c>
      <c r="I97" s="27">
        <f t="shared" si="24"/>
        <v>0</v>
      </c>
      <c r="J97" s="149">
        <f t="shared" si="24"/>
        <v>102</v>
      </c>
      <c r="K97" s="27">
        <f t="shared" si="24"/>
        <v>0</v>
      </c>
      <c r="L97" s="149">
        <f t="shared" si="24"/>
        <v>441</v>
      </c>
      <c r="M97" s="27">
        <f t="shared" si="24"/>
        <v>0</v>
      </c>
      <c r="N97" s="149">
        <f t="shared" si="24"/>
        <v>150</v>
      </c>
      <c r="O97" s="27">
        <f t="shared" si="24"/>
        <v>0</v>
      </c>
      <c r="P97" s="149">
        <f t="shared" si="24"/>
        <v>807</v>
      </c>
      <c r="Q97" s="27">
        <f t="shared" si="24"/>
        <v>0</v>
      </c>
      <c r="R97" s="149">
        <f t="shared" si="24"/>
        <v>0</v>
      </c>
      <c r="S97" s="27">
        <f t="shared" si="24"/>
        <v>0</v>
      </c>
      <c r="T97" s="149">
        <f t="shared" si="24"/>
        <v>0</v>
      </c>
      <c r="U97" s="152">
        <f t="shared" si="24"/>
        <v>2266</v>
      </c>
      <c r="W97" s="154">
        <f>SUM(W86:W96)</f>
        <v>61182</v>
      </c>
    </row>
    <row r="98" ht="14.25" customHeight="1">
      <c r="A98" s="73"/>
      <c r="B98" s="73"/>
      <c r="C98" s="10"/>
      <c r="D98" s="156"/>
      <c r="E98" s="156"/>
      <c r="F98" s="11"/>
      <c r="G98" s="157">
        <f>G97+H97</f>
        <v>766</v>
      </c>
      <c r="H98" s="3"/>
      <c r="I98" s="157">
        <f>I97+J97</f>
        <v>102</v>
      </c>
      <c r="J98" s="3"/>
      <c r="K98" s="157">
        <f>K97+L97</f>
        <v>441</v>
      </c>
      <c r="L98" s="3"/>
      <c r="M98" s="157">
        <f>M97+N97</f>
        <v>150</v>
      </c>
      <c r="N98" s="3"/>
      <c r="O98" s="157">
        <f>O97+P97</f>
        <v>807</v>
      </c>
      <c r="P98" s="3"/>
      <c r="Q98" s="157">
        <f>Q97+R97</f>
        <v>0</v>
      </c>
      <c r="R98" s="3"/>
      <c r="S98" s="157">
        <f>S97+T97</f>
        <v>0</v>
      </c>
      <c r="T98" s="3"/>
      <c r="U98" s="160">
        <f>SUM(G98:S98)</f>
        <v>2266</v>
      </c>
      <c r="W98" s="154">
        <f>U98*V96</f>
        <v>61182</v>
      </c>
    </row>
    <row r="99" ht="14.25" customHeight="1">
      <c r="A99" s="73"/>
      <c r="B99" s="73"/>
      <c r="C99" s="73"/>
      <c r="D99" s="73"/>
      <c r="E99" s="73"/>
      <c r="F99" s="72"/>
    </row>
    <row r="100" ht="14.25" customHeight="1">
      <c r="A100" s="73"/>
      <c r="B100" s="73"/>
      <c r="C100" s="73"/>
      <c r="D100" s="73"/>
      <c r="E100" s="73"/>
      <c r="F100" s="72"/>
    </row>
    <row r="101" ht="14.25" customHeight="1">
      <c r="A101" s="73"/>
      <c r="B101" s="73"/>
      <c r="C101" s="73"/>
      <c r="D101" s="73"/>
      <c r="E101" s="73"/>
      <c r="F101" s="72"/>
    </row>
    <row r="102" ht="14.25" customHeight="1">
      <c r="A102" s="73"/>
      <c r="B102" s="73"/>
      <c r="C102" s="73"/>
      <c r="D102" s="73"/>
      <c r="E102" s="73"/>
      <c r="F102" s="72"/>
    </row>
    <row r="103" ht="14.25" customHeight="1">
      <c r="A103" s="4" t="s">
        <v>2</v>
      </c>
      <c r="B103" s="117"/>
      <c r="C103" s="6" t="s">
        <v>3</v>
      </c>
      <c r="D103" s="6" t="s">
        <v>4</v>
      </c>
      <c r="E103" s="162">
        <v>46195.0</v>
      </c>
      <c r="F103" s="163">
        <v>46196.0</v>
      </c>
      <c r="G103" s="163">
        <v>46197.0</v>
      </c>
      <c r="H103" s="163">
        <v>46198.0</v>
      </c>
      <c r="I103" s="163">
        <v>46199.0</v>
      </c>
      <c r="J103" s="163">
        <v>46200.0</v>
      </c>
      <c r="K103" s="163">
        <v>46201.0</v>
      </c>
      <c r="L103" s="73" t="s">
        <v>26</v>
      </c>
    </row>
    <row r="104" ht="14.25" customHeight="1">
      <c r="A104" s="10"/>
      <c r="B104" s="119"/>
      <c r="C104" s="12"/>
      <c r="D104" s="12"/>
      <c r="E104" s="133"/>
    </row>
    <row r="105" ht="14.25" customHeight="1">
      <c r="A105" s="73"/>
      <c r="B105" s="73" t="s">
        <v>102</v>
      </c>
      <c r="C105" s="73" t="s">
        <v>315</v>
      </c>
      <c r="D105" s="73"/>
      <c r="E105" s="73"/>
      <c r="F105" s="72"/>
    </row>
    <row r="106" ht="14.25" customHeight="1">
      <c r="A106" s="73"/>
      <c r="B106" s="73"/>
      <c r="C106" s="73"/>
      <c r="D106" s="73"/>
      <c r="E106" s="73"/>
      <c r="F106" s="72"/>
    </row>
    <row r="107" ht="14.25" customHeight="1">
      <c r="A107" s="73"/>
      <c r="B107" s="73"/>
      <c r="C107" s="73"/>
      <c r="D107" s="73"/>
      <c r="E107" s="73"/>
      <c r="F107" s="72"/>
    </row>
    <row r="108" ht="14.25" customHeight="1">
      <c r="A108" s="73"/>
      <c r="B108" s="73"/>
      <c r="C108" s="73"/>
      <c r="D108" s="73"/>
      <c r="E108" s="73"/>
      <c r="F108" s="72"/>
    </row>
    <row r="109" ht="14.25" customHeight="1">
      <c r="A109" s="73"/>
      <c r="B109" s="73"/>
      <c r="C109" s="73"/>
      <c r="D109" s="73"/>
      <c r="E109" s="73"/>
      <c r="F109" s="72"/>
    </row>
    <row r="110" ht="14.25" customHeight="1">
      <c r="A110" s="73"/>
      <c r="B110" s="73"/>
      <c r="C110" s="73"/>
      <c r="D110" s="73"/>
      <c r="E110" s="73"/>
      <c r="F110" s="72"/>
    </row>
    <row r="111" ht="14.25" customHeight="1">
      <c r="A111" s="73"/>
      <c r="B111" s="73"/>
      <c r="C111" s="73"/>
      <c r="D111" s="73"/>
      <c r="E111" s="73"/>
      <c r="F111" s="72"/>
    </row>
    <row r="112" ht="14.25" customHeight="1">
      <c r="A112" s="73"/>
      <c r="B112" s="73"/>
      <c r="C112" s="73"/>
      <c r="D112" s="73"/>
      <c r="E112" s="73"/>
      <c r="F112" s="72"/>
    </row>
    <row r="113" ht="14.25" customHeight="1">
      <c r="A113" s="73"/>
      <c r="B113" s="73"/>
      <c r="C113" s="73"/>
      <c r="D113" s="73"/>
      <c r="E113" s="73"/>
      <c r="F113" s="72"/>
    </row>
    <row r="114" ht="14.25" customHeight="1">
      <c r="A114" s="73"/>
      <c r="B114" s="73"/>
      <c r="C114" s="73"/>
      <c r="D114" s="73"/>
      <c r="E114" s="73"/>
      <c r="F114" s="72"/>
    </row>
    <row r="115" ht="14.25" customHeight="1">
      <c r="A115" s="73"/>
      <c r="B115" s="73"/>
      <c r="C115" s="73"/>
      <c r="D115" s="73"/>
      <c r="E115" s="73"/>
      <c r="F115" s="72"/>
    </row>
    <row r="116" ht="14.25" customHeight="1">
      <c r="A116" s="73"/>
      <c r="B116" s="73"/>
      <c r="C116" s="73"/>
      <c r="D116" s="73"/>
      <c r="E116" s="73"/>
      <c r="F116" s="72"/>
    </row>
    <row r="117" ht="14.25" customHeight="1">
      <c r="A117" s="73"/>
      <c r="B117" s="73"/>
      <c r="C117" s="73"/>
      <c r="D117" s="73"/>
      <c r="E117" s="73"/>
      <c r="F117" s="72"/>
    </row>
    <row r="118" ht="14.25" customHeight="1">
      <c r="A118" s="73"/>
      <c r="B118" s="73"/>
      <c r="C118" s="73"/>
      <c r="D118" s="73"/>
      <c r="E118" s="73"/>
      <c r="F118" s="72"/>
    </row>
    <row r="119" ht="14.25" customHeight="1">
      <c r="A119" s="73"/>
      <c r="B119" s="73"/>
      <c r="C119" s="73"/>
      <c r="D119" s="73"/>
      <c r="E119" s="73"/>
      <c r="F119" s="72"/>
    </row>
    <row r="120" ht="14.25" customHeight="1">
      <c r="A120" s="73"/>
      <c r="B120" s="73"/>
      <c r="C120" s="73"/>
      <c r="D120" s="73"/>
      <c r="E120" s="73"/>
      <c r="F120" s="72"/>
    </row>
    <row r="121" ht="14.25" customHeight="1">
      <c r="A121" s="73"/>
      <c r="B121" s="165" t="s">
        <v>320</v>
      </c>
      <c r="C121" s="2"/>
      <c r="D121" s="2"/>
      <c r="E121" s="3"/>
      <c r="F121" s="72"/>
    </row>
    <row r="122" ht="14.25" customHeight="1">
      <c r="A122" s="73"/>
      <c r="B122" s="167" t="s">
        <v>317</v>
      </c>
      <c r="C122" s="167" t="s">
        <v>322</v>
      </c>
      <c r="D122" s="165" t="s">
        <v>323</v>
      </c>
      <c r="E122" s="3"/>
      <c r="F122" s="72"/>
    </row>
    <row r="123" ht="14.25" customHeight="1">
      <c r="A123" s="73"/>
      <c r="B123" s="174" t="s">
        <v>328</v>
      </c>
      <c r="C123" s="175">
        <v>87754.61</v>
      </c>
      <c r="D123" s="26" t="s">
        <v>329</v>
      </c>
      <c r="E123" s="26" t="s">
        <v>330</v>
      </c>
      <c r="F123" s="72"/>
      <c r="H123" s="20"/>
    </row>
    <row r="124" ht="14.25" customHeight="1">
      <c r="A124" s="73"/>
      <c r="B124" s="174" t="s">
        <v>333</v>
      </c>
      <c r="C124" s="179">
        <v>55459.08</v>
      </c>
      <c r="D124" s="44"/>
      <c r="E124" s="44"/>
      <c r="F124" s="72"/>
    </row>
    <row r="125" ht="14.25" customHeight="1">
      <c r="A125" s="73"/>
      <c r="B125" s="174" t="s">
        <v>335</v>
      </c>
      <c r="C125" s="179">
        <f>C123-C124</f>
        <v>32295.53</v>
      </c>
      <c r="D125" s="44"/>
      <c r="E125" s="44"/>
      <c r="F125" s="72"/>
    </row>
    <row r="126" ht="14.25" customHeight="1">
      <c r="A126" s="73"/>
      <c r="B126" s="174" t="s">
        <v>338</v>
      </c>
      <c r="C126" s="175">
        <v>21393.52</v>
      </c>
      <c r="D126" s="12"/>
      <c r="E126" s="12"/>
      <c r="F126" s="72"/>
    </row>
    <row r="127" ht="14.25" customHeight="1">
      <c r="A127" s="73"/>
      <c r="B127" s="186" t="s">
        <v>340</v>
      </c>
      <c r="C127" s="190">
        <f>C124+C125+C126</f>
        <v>109148.13</v>
      </c>
      <c r="D127" s="27"/>
      <c r="E127" s="27"/>
      <c r="F127" s="72"/>
    </row>
    <row r="128" ht="14.25" customHeight="1">
      <c r="A128" s="73"/>
      <c r="B128" s="73"/>
      <c r="C128" s="73"/>
      <c r="D128" s="73"/>
      <c r="E128" s="73"/>
      <c r="F128" s="72"/>
    </row>
    <row r="129" ht="14.25" customHeight="1">
      <c r="A129" s="73"/>
      <c r="B129" s="195" t="s">
        <v>346</v>
      </c>
      <c r="C129" s="2"/>
      <c r="D129" s="2"/>
      <c r="E129" s="2"/>
      <c r="F129" s="3"/>
    </row>
    <row r="130" ht="14.25" customHeight="1">
      <c r="A130" s="73"/>
      <c r="B130" s="199" t="s">
        <v>347</v>
      </c>
      <c r="C130" s="199" t="s">
        <v>322</v>
      </c>
      <c r="D130" s="195" t="s">
        <v>349</v>
      </c>
      <c r="E130" s="2"/>
      <c r="F130" s="3"/>
    </row>
    <row r="131" ht="14.25" customHeight="1">
      <c r="A131" s="73"/>
      <c r="B131" s="203" t="s">
        <v>351</v>
      </c>
      <c r="C131" s="175">
        <v>13500.0</v>
      </c>
      <c r="D131" s="204" t="s">
        <v>353</v>
      </c>
      <c r="E131" s="3"/>
      <c r="F131" s="28" t="s">
        <v>355</v>
      </c>
    </row>
    <row r="132" ht="42.75" customHeight="1">
      <c r="A132" s="73"/>
      <c r="B132" s="203" t="s">
        <v>358</v>
      </c>
      <c r="C132" s="28">
        <f>Y71</f>
        <v>100710</v>
      </c>
      <c r="D132" s="204" t="s">
        <v>360</v>
      </c>
      <c r="E132" s="3"/>
      <c r="F132" s="28" t="s">
        <v>361</v>
      </c>
    </row>
    <row r="133" ht="14.25" customHeight="1">
      <c r="A133" s="73"/>
      <c r="B133" s="207" t="s">
        <v>326</v>
      </c>
      <c r="C133" s="190">
        <f>C131+C132</f>
        <v>114210</v>
      </c>
      <c r="D133" s="209"/>
      <c r="E133" s="3"/>
      <c r="F133" s="28"/>
    </row>
    <row r="134" ht="14.25" customHeight="1">
      <c r="A134" s="73"/>
      <c r="B134" s="210"/>
      <c r="C134" s="211"/>
      <c r="F134" s="72"/>
    </row>
    <row r="135" ht="14.25" customHeight="1">
      <c r="A135" s="73"/>
      <c r="B135" s="73"/>
      <c r="C135" s="213"/>
      <c r="F135" s="72"/>
    </row>
    <row r="136" ht="14.25" customHeight="1">
      <c r="A136" s="73"/>
      <c r="B136" s="73"/>
      <c r="C136" s="73"/>
      <c r="D136" s="73"/>
      <c r="E136" s="73"/>
      <c r="F136" s="72"/>
    </row>
    <row r="137" ht="14.25" customHeight="1">
      <c r="A137" s="73"/>
      <c r="B137" s="73"/>
      <c r="C137" s="73"/>
      <c r="D137" s="73"/>
      <c r="E137" s="73"/>
      <c r="F137" s="72"/>
    </row>
    <row r="138" ht="14.25" customHeight="1">
      <c r="A138" s="73"/>
      <c r="B138" s="73"/>
      <c r="C138" s="73"/>
      <c r="D138" s="73"/>
      <c r="E138" s="73"/>
      <c r="F138" s="72"/>
    </row>
    <row r="139" ht="14.25" customHeight="1">
      <c r="A139" s="73"/>
      <c r="B139" s="73"/>
      <c r="C139" s="73"/>
      <c r="D139" s="73"/>
      <c r="E139" s="73"/>
      <c r="F139" s="72"/>
    </row>
    <row r="140" ht="14.25" customHeight="1">
      <c r="A140" s="73"/>
      <c r="B140" s="73"/>
      <c r="C140" s="73"/>
      <c r="D140" s="73"/>
      <c r="E140" s="73"/>
      <c r="F140" s="72"/>
    </row>
    <row r="141" ht="14.25" customHeight="1">
      <c r="A141" s="73"/>
      <c r="B141" s="73"/>
      <c r="C141" s="73"/>
      <c r="D141" s="73"/>
      <c r="E141" s="73"/>
      <c r="F141" s="72"/>
    </row>
    <row r="142" ht="14.25" customHeight="1">
      <c r="A142" s="73"/>
      <c r="B142" s="73"/>
      <c r="C142" s="73"/>
      <c r="D142" s="73"/>
      <c r="E142" s="73"/>
      <c r="F142" s="72"/>
    </row>
    <row r="143" ht="14.25" customHeight="1">
      <c r="A143" s="73"/>
      <c r="B143" s="73"/>
      <c r="C143" s="73"/>
      <c r="D143" s="73"/>
      <c r="E143" s="73"/>
      <c r="F143" s="72"/>
    </row>
    <row r="144" ht="14.25" customHeight="1">
      <c r="A144" s="73"/>
      <c r="B144" s="73"/>
      <c r="C144" s="73"/>
      <c r="D144" s="73"/>
      <c r="E144" s="73"/>
      <c r="F144" s="72"/>
    </row>
    <row r="145" ht="14.25" customHeight="1">
      <c r="A145" s="73"/>
      <c r="B145" s="73"/>
      <c r="C145" s="73"/>
      <c r="D145" s="73"/>
      <c r="E145" s="73"/>
      <c r="F145" s="72"/>
    </row>
    <row r="146" ht="14.25" customHeight="1">
      <c r="A146" s="73"/>
      <c r="B146" s="73"/>
      <c r="C146" s="73"/>
      <c r="D146" s="73"/>
      <c r="E146" s="73"/>
      <c r="F146" s="72"/>
    </row>
    <row r="147" ht="14.25" customHeight="1">
      <c r="A147" s="73"/>
      <c r="B147" s="73"/>
      <c r="C147" s="73"/>
      <c r="D147" s="73"/>
      <c r="E147" s="73"/>
      <c r="F147" s="72"/>
    </row>
    <row r="148" ht="14.25" customHeight="1">
      <c r="A148" s="73"/>
      <c r="B148" s="73"/>
      <c r="C148" s="73"/>
      <c r="D148" s="73"/>
      <c r="E148" s="73"/>
      <c r="F148" s="72"/>
    </row>
    <row r="149" ht="14.25" customHeight="1">
      <c r="A149" s="73"/>
      <c r="B149" s="73"/>
      <c r="C149" s="73"/>
      <c r="D149" s="73"/>
      <c r="E149" s="73"/>
      <c r="F149" s="72"/>
    </row>
    <row r="150" ht="14.25" customHeight="1">
      <c r="A150" s="73"/>
      <c r="B150" s="73"/>
      <c r="C150" s="73"/>
      <c r="D150" s="73"/>
      <c r="E150" s="73"/>
      <c r="F150" s="72"/>
    </row>
    <row r="151" ht="14.25" customHeight="1">
      <c r="A151" s="73"/>
      <c r="B151" s="73"/>
      <c r="C151" s="73"/>
      <c r="D151" s="73"/>
      <c r="E151" s="73"/>
      <c r="F151" s="72"/>
    </row>
    <row r="152" ht="14.25" customHeight="1">
      <c r="A152" s="73"/>
      <c r="B152" s="73"/>
      <c r="C152" s="73"/>
      <c r="D152" s="73"/>
      <c r="E152" s="73"/>
      <c r="F152" s="72"/>
    </row>
    <row r="153" ht="14.25" customHeight="1">
      <c r="A153" s="73"/>
      <c r="B153" s="73"/>
      <c r="C153" s="73"/>
      <c r="D153" s="73"/>
      <c r="E153" s="73"/>
      <c r="F153" s="72"/>
    </row>
    <row r="154" ht="14.25" customHeight="1">
      <c r="A154" s="73"/>
      <c r="B154" s="73"/>
      <c r="C154" s="73"/>
      <c r="D154" s="73"/>
      <c r="E154" s="73"/>
      <c r="F154" s="72"/>
    </row>
    <row r="155" ht="14.25" customHeight="1">
      <c r="A155" s="73"/>
      <c r="B155" s="73"/>
      <c r="C155" s="73"/>
      <c r="D155" s="73"/>
      <c r="E155" s="73"/>
      <c r="F155" s="72"/>
    </row>
    <row r="156" ht="14.25" customHeight="1">
      <c r="A156" s="73"/>
      <c r="B156" s="73"/>
      <c r="C156" s="73"/>
      <c r="D156" s="73"/>
      <c r="E156" s="73"/>
      <c r="F156" s="72"/>
    </row>
    <row r="157" ht="14.25" customHeight="1">
      <c r="A157" s="73"/>
      <c r="B157" s="73"/>
      <c r="C157" s="73"/>
      <c r="D157" s="73"/>
      <c r="E157" s="73"/>
      <c r="F157" s="72"/>
    </row>
    <row r="158" ht="14.25" customHeight="1">
      <c r="A158" s="73"/>
      <c r="B158" s="73"/>
      <c r="C158" s="73"/>
      <c r="D158" s="73"/>
      <c r="E158" s="73"/>
      <c r="F158" s="72"/>
    </row>
    <row r="159" ht="14.25" customHeight="1">
      <c r="A159" s="73"/>
      <c r="B159" s="73"/>
      <c r="C159" s="73"/>
      <c r="D159" s="73"/>
      <c r="E159" s="73"/>
      <c r="F159" s="72"/>
    </row>
    <row r="160" ht="14.25" customHeight="1">
      <c r="A160" s="73"/>
      <c r="B160" s="73"/>
      <c r="C160" s="73"/>
      <c r="D160" s="73"/>
      <c r="E160" s="73"/>
      <c r="F160" s="72"/>
    </row>
    <row r="161" ht="14.25" customHeight="1">
      <c r="A161" s="73"/>
      <c r="B161" s="73"/>
      <c r="C161" s="73"/>
      <c r="D161" s="73"/>
      <c r="E161" s="73"/>
      <c r="F161" s="72"/>
    </row>
    <row r="162" ht="14.25" customHeight="1">
      <c r="A162" s="73"/>
      <c r="B162" s="73"/>
      <c r="C162" s="73"/>
      <c r="D162" s="73"/>
      <c r="E162" s="73"/>
      <c r="F162" s="72"/>
    </row>
    <row r="163" ht="14.25" customHeight="1">
      <c r="A163" s="73"/>
      <c r="B163" s="73"/>
      <c r="C163" s="73"/>
      <c r="D163" s="73"/>
      <c r="E163" s="73"/>
      <c r="F163" s="72"/>
    </row>
    <row r="164" ht="14.25" customHeight="1">
      <c r="A164" s="73"/>
      <c r="B164" s="73"/>
      <c r="C164" s="73"/>
      <c r="D164" s="73"/>
      <c r="E164" s="73"/>
      <c r="F164" s="72"/>
    </row>
    <row r="165" ht="14.25" customHeight="1">
      <c r="A165" s="73"/>
      <c r="B165" s="73"/>
      <c r="C165" s="73"/>
      <c r="D165" s="73"/>
      <c r="E165" s="73"/>
      <c r="F165" s="72"/>
    </row>
    <row r="166" ht="14.25" customHeight="1">
      <c r="A166" s="73"/>
      <c r="B166" s="73"/>
      <c r="C166" s="73"/>
      <c r="D166" s="73"/>
      <c r="E166" s="73"/>
      <c r="F166" s="72"/>
    </row>
    <row r="167" ht="14.25" customHeight="1">
      <c r="A167" s="73"/>
      <c r="B167" s="73"/>
      <c r="C167" s="73"/>
      <c r="D167" s="73"/>
      <c r="E167" s="73"/>
      <c r="F167" s="72"/>
    </row>
    <row r="168" ht="14.25" customHeight="1">
      <c r="A168" s="73"/>
      <c r="B168" s="73"/>
      <c r="C168" s="73"/>
      <c r="D168" s="73"/>
      <c r="E168" s="73"/>
      <c r="F168" s="72"/>
    </row>
    <row r="169" ht="14.25" customHeight="1">
      <c r="A169" s="73"/>
      <c r="B169" s="73"/>
      <c r="C169" s="73"/>
      <c r="D169" s="73"/>
      <c r="E169" s="73"/>
      <c r="F169" s="72"/>
    </row>
    <row r="170" ht="14.25" customHeight="1">
      <c r="A170" s="73"/>
      <c r="B170" s="73"/>
      <c r="C170" s="73"/>
      <c r="D170" s="73"/>
      <c r="E170" s="73"/>
      <c r="F170" s="72"/>
    </row>
    <row r="171" ht="14.25" customHeight="1">
      <c r="A171" s="73"/>
      <c r="B171" s="73"/>
      <c r="C171" s="73"/>
      <c r="D171" s="73"/>
      <c r="E171" s="73"/>
      <c r="F171" s="72"/>
    </row>
    <row r="172" ht="14.25" customHeight="1">
      <c r="A172" s="73"/>
      <c r="B172" s="73"/>
      <c r="C172" s="73"/>
      <c r="D172" s="73"/>
      <c r="E172" s="73"/>
      <c r="F172" s="72"/>
    </row>
    <row r="173" ht="14.25" customHeight="1">
      <c r="A173" s="73"/>
      <c r="B173" s="73"/>
      <c r="C173" s="73"/>
      <c r="D173" s="73"/>
      <c r="E173" s="73"/>
      <c r="F173" s="72"/>
    </row>
    <row r="174" ht="14.25" customHeight="1">
      <c r="A174" s="73"/>
      <c r="B174" s="73"/>
      <c r="C174" s="73"/>
      <c r="D174" s="73"/>
      <c r="E174" s="73"/>
      <c r="F174" s="72"/>
    </row>
    <row r="175" ht="14.25" customHeight="1">
      <c r="A175" s="73"/>
      <c r="B175" s="73"/>
      <c r="C175" s="73"/>
      <c r="D175" s="73"/>
      <c r="E175" s="73"/>
      <c r="F175" s="72"/>
    </row>
    <row r="176" ht="14.25" customHeight="1">
      <c r="A176" s="73"/>
      <c r="B176" s="73"/>
      <c r="C176" s="73"/>
      <c r="D176" s="73"/>
      <c r="E176" s="73"/>
      <c r="F176" s="72"/>
    </row>
    <row r="177" ht="14.25" customHeight="1">
      <c r="A177" s="73"/>
      <c r="B177" s="73"/>
      <c r="C177" s="73"/>
      <c r="D177" s="73"/>
      <c r="E177" s="73"/>
      <c r="F177" s="72"/>
    </row>
    <row r="178" ht="14.25" customHeight="1">
      <c r="A178" s="73"/>
      <c r="B178" s="73"/>
      <c r="C178" s="73"/>
      <c r="D178" s="73"/>
      <c r="E178" s="73"/>
      <c r="F178" s="72"/>
    </row>
    <row r="179" ht="14.25" customHeight="1">
      <c r="A179" s="73"/>
      <c r="B179" s="73"/>
      <c r="C179" s="73"/>
      <c r="D179" s="73"/>
      <c r="E179" s="73"/>
      <c r="F179" s="72"/>
    </row>
    <row r="180" ht="14.25" customHeight="1">
      <c r="A180" s="73"/>
      <c r="B180" s="73"/>
      <c r="C180" s="73"/>
      <c r="D180" s="73"/>
      <c r="E180" s="73"/>
      <c r="F180" s="72"/>
    </row>
    <row r="181" ht="14.25" customHeight="1">
      <c r="A181" s="73"/>
      <c r="B181" s="73"/>
      <c r="C181" s="73"/>
      <c r="D181" s="73"/>
      <c r="E181" s="73"/>
      <c r="F181" s="72"/>
    </row>
    <row r="182" ht="14.25" customHeight="1">
      <c r="A182" s="73"/>
      <c r="B182" s="73"/>
      <c r="C182" s="73"/>
      <c r="D182" s="73"/>
      <c r="E182" s="73"/>
      <c r="F182" s="72"/>
    </row>
    <row r="183" ht="14.25" customHeight="1">
      <c r="A183" s="73"/>
      <c r="B183" s="73"/>
      <c r="C183" s="73"/>
      <c r="D183" s="73"/>
      <c r="E183" s="73"/>
      <c r="F183" s="72"/>
    </row>
    <row r="184" ht="14.25" customHeight="1">
      <c r="A184" s="73"/>
      <c r="B184" s="73"/>
      <c r="C184" s="73"/>
      <c r="D184" s="73"/>
      <c r="E184" s="73"/>
      <c r="F184" s="72"/>
    </row>
    <row r="185" ht="14.25" customHeight="1">
      <c r="A185" s="73"/>
      <c r="B185" s="73"/>
      <c r="C185" s="73"/>
      <c r="D185" s="73"/>
      <c r="E185" s="73"/>
      <c r="F185" s="72"/>
    </row>
    <row r="186" ht="14.25" customHeight="1">
      <c r="A186" s="73"/>
      <c r="B186" s="73"/>
      <c r="C186" s="73"/>
      <c r="D186" s="73"/>
      <c r="E186" s="73"/>
      <c r="F186" s="72"/>
    </row>
    <row r="187" ht="14.25" customHeight="1">
      <c r="A187" s="73"/>
      <c r="B187" s="73"/>
      <c r="C187" s="73"/>
      <c r="D187" s="73"/>
      <c r="E187" s="73"/>
      <c r="F187" s="72"/>
    </row>
    <row r="188" ht="14.25" customHeight="1">
      <c r="A188" s="73"/>
      <c r="B188" s="73"/>
      <c r="C188" s="73"/>
      <c r="D188" s="73"/>
      <c r="E188" s="73"/>
      <c r="F188" s="72"/>
    </row>
    <row r="189" ht="14.25" customHeight="1">
      <c r="A189" s="73"/>
      <c r="B189" s="73"/>
      <c r="C189" s="73"/>
      <c r="D189" s="73"/>
      <c r="E189" s="73"/>
      <c r="F189" s="72"/>
    </row>
    <row r="190" ht="14.25" customHeight="1">
      <c r="A190" s="73"/>
      <c r="B190" s="73"/>
      <c r="C190" s="73"/>
      <c r="D190" s="73"/>
      <c r="E190" s="73"/>
      <c r="F190" s="72"/>
    </row>
    <row r="191" ht="14.25" customHeight="1">
      <c r="A191" s="73"/>
      <c r="B191" s="73"/>
      <c r="C191" s="73"/>
      <c r="D191" s="73"/>
      <c r="E191" s="73"/>
      <c r="F191" s="72"/>
    </row>
    <row r="192" ht="14.25" customHeight="1">
      <c r="A192" s="73"/>
      <c r="B192" s="73"/>
      <c r="C192" s="73"/>
      <c r="D192" s="73"/>
      <c r="E192" s="73"/>
      <c r="F192" s="72"/>
    </row>
    <row r="193" ht="14.25" customHeight="1">
      <c r="A193" s="73"/>
      <c r="B193" s="73"/>
      <c r="C193" s="73"/>
      <c r="D193" s="73"/>
      <c r="E193" s="73"/>
      <c r="F193" s="72"/>
    </row>
    <row r="194" ht="14.25" customHeight="1">
      <c r="A194" s="73"/>
      <c r="B194" s="73"/>
      <c r="C194" s="73"/>
      <c r="D194" s="73"/>
      <c r="E194" s="73"/>
      <c r="F194" s="72"/>
    </row>
    <row r="195" ht="14.25" customHeight="1">
      <c r="A195" s="73"/>
      <c r="B195" s="73"/>
      <c r="C195" s="73"/>
      <c r="D195" s="73"/>
      <c r="E195" s="73"/>
      <c r="F195" s="72"/>
    </row>
    <row r="196" ht="14.25" customHeight="1">
      <c r="A196" s="73"/>
      <c r="B196" s="73"/>
      <c r="C196" s="73"/>
      <c r="D196" s="73"/>
      <c r="E196" s="73"/>
      <c r="F196" s="72"/>
    </row>
    <row r="197" ht="14.25" customHeight="1">
      <c r="A197" s="73"/>
      <c r="B197" s="73"/>
      <c r="C197" s="73"/>
      <c r="D197" s="73"/>
      <c r="E197" s="73"/>
      <c r="F197" s="72"/>
    </row>
    <row r="198" ht="14.25" customHeight="1">
      <c r="A198" s="73"/>
      <c r="B198" s="73"/>
      <c r="C198" s="73"/>
      <c r="D198" s="73"/>
      <c r="E198" s="73"/>
      <c r="F198" s="72"/>
    </row>
    <row r="199" ht="14.25" customHeight="1">
      <c r="A199" s="73"/>
      <c r="B199" s="73"/>
      <c r="C199" s="73"/>
      <c r="D199" s="73"/>
      <c r="E199" s="73"/>
      <c r="F199" s="72"/>
    </row>
    <row r="200" ht="14.25" customHeight="1">
      <c r="A200" s="73"/>
      <c r="B200" s="73"/>
      <c r="C200" s="73"/>
      <c r="D200" s="73"/>
      <c r="E200" s="73"/>
      <c r="F200" s="72"/>
    </row>
    <row r="201" ht="14.25" customHeight="1">
      <c r="A201" s="73"/>
      <c r="B201" s="73"/>
      <c r="C201" s="73"/>
      <c r="D201" s="73"/>
      <c r="E201" s="73"/>
      <c r="F201" s="72"/>
    </row>
    <row r="202" ht="14.25" customHeight="1">
      <c r="A202" s="73"/>
      <c r="B202" s="73"/>
      <c r="C202" s="73"/>
      <c r="D202" s="73"/>
      <c r="E202" s="73"/>
      <c r="F202" s="72"/>
    </row>
    <row r="203" ht="14.25" customHeight="1">
      <c r="A203" s="73"/>
      <c r="B203" s="73"/>
      <c r="C203" s="73"/>
      <c r="D203" s="73"/>
      <c r="E203" s="73"/>
      <c r="F203" s="72"/>
    </row>
    <row r="204" ht="14.25" customHeight="1">
      <c r="A204" s="73"/>
      <c r="B204" s="73"/>
      <c r="C204" s="73"/>
      <c r="D204" s="73"/>
      <c r="E204" s="73"/>
      <c r="F204" s="72"/>
    </row>
    <row r="205" ht="14.25" customHeight="1">
      <c r="A205" s="73"/>
      <c r="B205" s="73"/>
      <c r="C205" s="73"/>
      <c r="D205" s="73"/>
      <c r="E205" s="73"/>
      <c r="F205" s="72"/>
    </row>
    <row r="206" ht="14.25" customHeight="1">
      <c r="A206" s="73"/>
      <c r="B206" s="73"/>
      <c r="C206" s="73"/>
      <c r="D206" s="73"/>
      <c r="E206" s="73"/>
      <c r="F206" s="72"/>
    </row>
    <row r="207" ht="14.25" customHeight="1">
      <c r="A207" s="73"/>
      <c r="B207" s="73"/>
      <c r="C207" s="73"/>
      <c r="D207" s="73"/>
      <c r="E207" s="73"/>
      <c r="F207" s="72"/>
    </row>
    <row r="208" ht="14.25" customHeight="1">
      <c r="A208" s="73"/>
      <c r="B208" s="73"/>
      <c r="C208" s="73"/>
      <c r="D208" s="73"/>
      <c r="E208" s="73"/>
      <c r="F208" s="72"/>
    </row>
    <row r="209" ht="14.25" customHeight="1">
      <c r="A209" s="73"/>
      <c r="B209" s="73"/>
      <c r="C209" s="73"/>
      <c r="D209" s="73"/>
      <c r="E209" s="73"/>
      <c r="F209" s="72"/>
    </row>
    <row r="210" ht="14.25" customHeight="1">
      <c r="A210" s="73"/>
      <c r="B210" s="73"/>
      <c r="C210" s="73"/>
      <c r="D210" s="73"/>
      <c r="E210" s="73"/>
      <c r="F210" s="72"/>
    </row>
    <row r="211" ht="14.25" customHeight="1">
      <c r="A211" s="73"/>
      <c r="B211" s="73"/>
      <c r="C211" s="73"/>
      <c r="D211" s="73"/>
      <c r="E211" s="73"/>
      <c r="F211" s="72"/>
    </row>
    <row r="212" ht="14.25" customHeight="1">
      <c r="A212" s="73"/>
      <c r="B212" s="73"/>
      <c r="C212" s="73"/>
      <c r="D212" s="73"/>
      <c r="E212" s="73"/>
      <c r="F212" s="72"/>
    </row>
    <row r="213" ht="14.25" customHeight="1">
      <c r="A213" s="73"/>
      <c r="B213" s="73"/>
      <c r="C213" s="73"/>
      <c r="D213" s="73"/>
      <c r="E213" s="73"/>
      <c r="F213" s="72"/>
    </row>
    <row r="214" ht="14.25" customHeight="1">
      <c r="A214" s="73"/>
      <c r="B214" s="73"/>
      <c r="C214" s="73"/>
      <c r="D214" s="73"/>
      <c r="E214" s="73"/>
      <c r="F214" s="72"/>
    </row>
    <row r="215" ht="14.25" customHeight="1">
      <c r="A215" s="73"/>
      <c r="B215" s="73"/>
      <c r="C215" s="73"/>
      <c r="D215" s="73"/>
      <c r="E215" s="73"/>
      <c r="F215" s="72"/>
    </row>
    <row r="216" ht="14.25" customHeight="1">
      <c r="A216" s="73"/>
      <c r="B216" s="73"/>
      <c r="C216" s="73"/>
      <c r="D216" s="73"/>
      <c r="E216" s="73"/>
      <c r="F216" s="72"/>
    </row>
    <row r="217" ht="14.25" customHeight="1">
      <c r="A217" s="73"/>
      <c r="B217" s="73"/>
      <c r="C217" s="73"/>
      <c r="D217" s="73"/>
      <c r="E217" s="73"/>
      <c r="F217" s="72"/>
    </row>
    <row r="218" ht="14.25" customHeight="1">
      <c r="A218" s="73"/>
      <c r="B218" s="73"/>
      <c r="C218" s="73"/>
      <c r="D218" s="73"/>
      <c r="E218" s="73"/>
      <c r="F218" s="72"/>
    </row>
    <row r="219" ht="14.25" customHeight="1">
      <c r="A219" s="73"/>
      <c r="B219" s="73"/>
      <c r="C219" s="73"/>
      <c r="D219" s="73"/>
      <c r="E219" s="73"/>
      <c r="F219" s="72"/>
    </row>
    <row r="220" ht="14.25" customHeight="1">
      <c r="A220" s="73"/>
      <c r="B220" s="73"/>
      <c r="C220" s="73"/>
      <c r="D220" s="73"/>
      <c r="E220" s="73"/>
      <c r="F220" s="72"/>
    </row>
    <row r="221" ht="14.25" customHeight="1">
      <c r="A221" s="73"/>
      <c r="B221" s="73"/>
      <c r="C221" s="73"/>
      <c r="D221" s="73"/>
      <c r="E221" s="73"/>
      <c r="F221" s="72"/>
    </row>
    <row r="222" ht="14.25" customHeight="1">
      <c r="A222" s="73"/>
      <c r="B222" s="73"/>
      <c r="C222" s="73"/>
      <c r="D222" s="73"/>
      <c r="E222" s="73"/>
      <c r="F222" s="72"/>
    </row>
    <row r="223" ht="14.25" customHeight="1">
      <c r="A223" s="73"/>
      <c r="B223" s="73"/>
      <c r="C223" s="73"/>
      <c r="D223" s="73"/>
      <c r="E223" s="73"/>
      <c r="F223" s="72"/>
    </row>
    <row r="224" ht="14.25" customHeight="1">
      <c r="A224" s="73"/>
      <c r="B224" s="73"/>
      <c r="C224" s="73"/>
      <c r="D224" s="73"/>
      <c r="E224" s="73"/>
      <c r="F224" s="72"/>
    </row>
    <row r="225" ht="14.25" customHeight="1">
      <c r="A225" s="73"/>
      <c r="B225" s="73"/>
      <c r="C225" s="73"/>
      <c r="D225" s="73"/>
      <c r="E225" s="73"/>
      <c r="F225" s="72"/>
    </row>
    <row r="226" ht="14.25" customHeight="1">
      <c r="A226" s="73"/>
      <c r="B226" s="73"/>
      <c r="C226" s="73"/>
      <c r="D226" s="73"/>
      <c r="E226" s="73"/>
      <c r="F226" s="72"/>
    </row>
    <row r="227" ht="14.25" customHeight="1">
      <c r="A227" s="73"/>
      <c r="B227" s="73"/>
      <c r="C227" s="73"/>
      <c r="D227" s="73"/>
      <c r="E227" s="73"/>
      <c r="F227" s="72"/>
    </row>
    <row r="228" ht="14.25" customHeight="1">
      <c r="A228" s="73"/>
      <c r="B228" s="73"/>
      <c r="C228" s="73"/>
      <c r="D228" s="73"/>
      <c r="E228" s="73"/>
      <c r="F228" s="72"/>
    </row>
    <row r="229" ht="14.25" customHeight="1">
      <c r="A229" s="73"/>
      <c r="B229" s="73"/>
      <c r="C229" s="73"/>
      <c r="D229" s="73"/>
      <c r="E229" s="73"/>
      <c r="F229" s="72"/>
    </row>
    <row r="230" ht="14.25" customHeight="1">
      <c r="A230" s="73"/>
      <c r="B230" s="73"/>
      <c r="C230" s="73"/>
      <c r="D230" s="73"/>
      <c r="E230" s="73"/>
      <c r="F230" s="72"/>
    </row>
    <row r="231" ht="14.25" customHeight="1">
      <c r="A231" s="73"/>
      <c r="B231" s="73"/>
      <c r="C231" s="73"/>
      <c r="D231" s="73"/>
      <c r="E231" s="73"/>
      <c r="F231" s="72"/>
    </row>
    <row r="232" ht="14.25" customHeight="1">
      <c r="A232" s="73"/>
      <c r="B232" s="73"/>
      <c r="C232" s="73"/>
      <c r="D232" s="73"/>
      <c r="E232" s="73"/>
      <c r="F232" s="72"/>
    </row>
    <row r="233" ht="14.25" customHeight="1">
      <c r="A233" s="73"/>
      <c r="B233" s="73"/>
      <c r="C233" s="73"/>
      <c r="D233" s="73"/>
      <c r="E233" s="73"/>
      <c r="F233" s="72"/>
    </row>
    <row r="234" ht="14.25" customHeight="1">
      <c r="A234" s="73"/>
      <c r="B234" s="73"/>
      <c r="C234" s="73"/>
      <c r="D234" s="73"/>
      <c r="E234" s="73"/>
      <c r="F234" s="72"/>
    </row>
    <row r="235" ht="14.25" customHeight="1">
      <c r="A235" s="73"/>
      <c r="B235" s="73"/>
      <c r="C235" s="73"/>
      <c r="D235" s="73"/>
      <c r="E235" s="73"/>
      <c r="F235" s="72"/>
    </row>
    <row r="236" ht="14.25" customHeight="1">
      <c r="A236" s="73"/>
      <c r="B236" s="73"/>
      <c r="C236" s="73"/>
      <c r="D236" s="73"/>
      <c r="E236" s="73"/>
      <c r="F236" s="72"/>
    </row>
    <row r="237" ht="14.25" customHeight="1">
      <c r="A237" s="73"/>
      <c r="B237" s="73"/>
      <c r="C237" s="73"/>
      <c r="D237" s="73"/>
      <c r="E237" s="73"/>
      <c r="F237" s="72"/>
    </row>
    <row r="238" ht="14.25" customHeight="1">
      <c r="A238" s="73"/>
      <c r="B238" s="73"/>
      <c r="C238" s="73"/>
      <c r="D238" s="73"/>
      <c r="E238" s="73"/>
      <c r="F238" s="72"/>
    </row>
    <row r="239" ht="14.25" customHeight="1">
      <c r="A239" s="73"/>
      <c r="B239" s="73"/>
      <c r="C239" s="73"/>
      <c r="D239" s="73"/>
      <c r="E239" s="73"/>
      <c r="F239" s="72"/>
    </row>
    <row r="240" ht="14.25" customHeight="1">
      <c r="A240" s="73"/>
      <c r="B240" s="73"/>
      <c r="C240" s="73"/>
      <c r="D240" s="73"/>
      <c r="E240" s="73"/>
      <c r="F240" s="72"/>
    </row>
    <row r="241" ht="14.25" customHeight="1">
      <c r="A241" s="73"/>
      <c r="B241" s="73"/>
      <c r="C241" s="73"/>
      <c r="D241" s="73"/>
      <c r="E241" s="73"/>
      <c r="F241" s="72"/>
    </row>
    <row r="242" ht="14.25" customHeight="1">
      <c r="A242" s="73"/>
      <c r="B242" s="73"/>
      <c r="C242" s="73"/>
      <c r="D242" s="73"/>
      <c r="E242" s="73"/>
      <c r="F242" s="72"/>
    </row>
    <row r="243" ht="14.25" customHeight="1">
      <c r="A243" s="73"/>
      <c r="B243" s="73"/>
      <c r="C243" s="73"/>
      <c r="D243" s="73"/>
      <c r="E243" s="73"/>
      <c r="F243" s="72"/>
    </row>
    <row r="244" ht="14.25" customHeight="1">
      <c r="A244" s="73"/>
      <c r="B244" s="73"/>
      <c r="C244" s="73"/>
      <c r="D244" s="73"/>
      <c r="E244" s="73"/>
      <c r="F244" s="72"/>
    </row>
    <row r="245" ht="14.25" customHeight="1">
      <c r="A245" s="73"/>
      <c r="B245" s="73"/>
      <c r="C245" s="73"/>
      <c r="D245" s="73"/>
      <c r="E245" s="73"/>
      <c r="F245" s="72"/>
    </row>
    <row r="246" ht="14.25" customHeight="1">
      <c r="A246" s="73"/>
      <c r="B246" s="73"/>
      <c r="C246" s="73"/>
      <c r="D246" s="73"/>
      <c r="E246" s="73"/>
      <c r="F246" s="72"/>
    </row>
    <row r="247" ht="14.25" customHeight="1">
      <c r="A247" s="73"/>
      <c r="B247" s="73"/>
      <c r="C247" s="73"/>
      <c r="D247" s="73"/>
      <c r="E247" s="73"/>
      <c r="F247" s="72"/>
    </row>
    <row r="248" ht="14.25" customHeight="1">
      <c r="A248" s="73"/>
      <c r="B248" s="73"/>
      <c r="C248" s="73"/>
      <c r="D248" s="73"/>
      <c r="E248" s="73"/>
      <c r="F248" s="72"/>
    </row>
    <row r="249" ht="14.25" customHeight="1">
      <c r="A249" s="73"/>
      <c r="B249" s="73"/>
      <c r="C249" s="73"/>
      <c r="D249" s="73"/>
      <c r="E249" s="73"/>
      <c r="F249" s="72"/>
    </row>
    <row r="250" ht="14.25" customHeight="1">
      <c r="A250" s="73"/>
      <c r="B250" s="73"/>
      <c r="C250" s="73"/>
      <c r="D250" s="73"/>
      <c r="E250" s="73"/>
      <c r="F250" s="72"/>
    </row>
    <row r="251" ht="14.25" customHeight="1">
      <c r="A251" s="73"/>
      <c r="B251" s="73"/>
      <c r="C251" s="73"/>
      <c r="D251" s="73"/>
      <c r="E251" s="73"/>
      <c r="F251" s="72"/>
    </row>
    <row r="252" ht="14.25" customHeight="1">
      <c r="A252" s="73"/>
      <c r="B252" s="73"/>
      <c r="C252" s="73"/>
      <c r="D252" s="73"/>
      <c r="E252" s="73"/>
      <c r="F252" s="72"/>
    </row>
    <row r="253" ht="14.25" customHeight="1">
      <c r="A253" s="73"/>
      <c r="B253" s="73"/>
      <c r="C253" s="73"/>
      <c r="D253" s="73"/>
      <c r="E253" s="73"/>
      <c r="F253" s="72"/>
    </row>
    <row r="254" ht="14.25" customHeight="1">
      <c r="A254" s="73"/>
      <c r="B254" s="73"/>
      <c r="C254" s="73"/>
      <c r="D254" s="73"/>
      <c r="E254" s="73"/>
      <c r="F254" s="72"/>
    </row>
    <row r="255" ht="14.25" customHeight="1">
      <c r="A255" s="73"/>
      <c r="B255" s="73"/>
      <c r="C255" s="73"/>
      <c r="D255" s="73"/>
      <c r="E255" s="73"/>
      <c r="F255" s="72"/>
    </row>
    <row r="256" ht="14.25" customHeight="1">
      <c r="A256" s="73"/>
      <c r="B256" s="73"/>
      <c r="C256" s="73"/>
      <c r="D256" s="73"/>
      <c r="E256" s="73"/>
      <c r="F256" s="72"/>
    </row>
    <row r="257" ht="14.25" customHeight="1">
      <c r="A257" s="73"/>
      <c r="B257" s="73"/>
      <c r="C257" s="73"/>
      <c r="D257" s="73"/>
      <c r="E257" s="73"/>
      <c r="F257" s="72"/>
    </row>
    <row r="258" ht="14.25" customHeight="1">
      <c r="A258" s="73"/>
      <c r="B258" s="73"/>
      <c r="C258" s="73"/>
      <c r="D258" s="73"/>
      <c r="E258" s="73"/>
      <c r="F258" s="72"/>
    </row>
    <row r="259" ht="14.25" customHeight="1">
      <c r="A259" s="73"/>
      <c r="B259" s="73"/>
      <c r="C259" s="73"/>
      <c r="D259" s="73"/>
      <c r="E259" s="73"/>
      <c r="F259" s="72"/>
    </row>
    <row r="260" ht="14.25" customHeight="1">
      <c r="A260" s="73"/>
      <c r="B260" s="73"/>
      <c r="C260" s="73"/>
      <c r="D260" s="73"/>
      <c r="E260" s="73"/>
      <c r="F260" s="72"/>
    </row>
    <row r="261" ht="14.25" customHeight="1">
      <c r="A261" s="73"/>
      <c r="B261" s="73"/>
      <c r="C261" s="73"/>
      <c r="D261" s="73"/>
      <c r="E261" s="73"/>
      <c r="F261" s="72"/>
    </row>
    <row r="262" ht="14.25" customHeight="1">
      <c r="A262" s="73"/>
      <c r="B262" s="73"/>
      <c r="C262" s="73"/>
      <c r="D262" s="73"/>
      <c r="E262" s="73"/>
      <c r="F262" s="72"/>
    </row>
    <row r="263" ht="14.25" customHeight="1">
      <c r="A263" s="73"/>
      <c r="B263" s="73"/>
      <c r="C263" s="73"/>
      <c r="D263" s="73"/>
      <c r="E263" s="73"/>
      <c r="F263" s="72"/>
    </row>
    <row r="264" ht="14.25" customHeight="1">
      <c r="A264" s="73"/>
      <c r="B264" s="73"/>
      <c r="C264" s="73"/>
      <c r="D264" s="73"/>
      <c r="E264" s="73"/>
      <c r="F264" s="72"/>
    </row>
    <row r="265" ht="14.25" customHeight="1">
      <c r="A265" s="73"/>
      <c r="B265" s="73"/>
      <c r="C265" s="73"/>
      <c r="D265" s="73"/>
      <c r="E265" s="73"/>
      <c r="F265" s="72"/>
    </row>
    <row r="266" ht="14.25" customHeight="1">
      <c r="A266" s="73"/>
      <c r="B266" s="73"/>
      <c r="C266" s="73"/>
      <c r="D266" s="73"/>
      <c r="E266" s="73"/>
      <c r="F266" s="72"/>
    </row>
    <row r="267" ht="14.25" customHeight="1">
      <c r="A267" s="73"/>
      <c r="B267" s="73"/>
      <c r="C267" s="73"/>
      <c r="D267" s="73"/>
      <c r="E267" s="73"/>
      <c r="F267" s="72"/>
    </row>
    <row r="268" ht="14.25" customHeight="1">
      <c r="A268" s="73"/>
      <c r="B268" s="73"/>
      <c r="C268" s="73"/>
      <c r="D268" s="73"/>
      <c r="E268" s="73"/>
      <c r="F268" s="72"/>
    </row>
    <row r="269" ht="14.25" customHeight="1">
      <c r="A269" s="73"/>
      <c r="B269" s="73"/>
      <c r="C269" s="73"/>
      <c r="D269" s="73"/>
      <c r="E269" s="73"/>
      <c r="F269" s="72"/>
    </row>
    <row r="270" ht="14.25" customHeight="1">
      <c r="A270" s="73"/>
      <c r="B270" s="73"/>
      <c r="C270" s="73"/>
      <c r="D270" s="73"/>
      <c r="E270" s="73"/>
      <c r="F270" s="72"/>
    </row>
    <row r="271" ht="14.25" customHeight="1">
      <c r="A271" s="73"/>
      <c r="B271" s="73"/>
      <c r="C271" s="73"/>
      <c r="D271" s="73"/>
      <c r="E271" s="73"/>
      <c r="F271" s="72"/>
    </row>
    <row r="272" ht="14.25" customHeight="1">
      <c r="A272" s="73"/>
      <c r="B272" s="73"/>
      <c r="C272" s="73"/>
      <c r="D272" s="73"/>
      <c r="E272" s="73"/>
      <c r="F272" s="72"/>
    </row>
    <row r="273" ht="14.25" customHeight="1">
      <c r="A273" s="73"/>
      <c r="B273" s="73"/>
      <c r="C273" s="73"/>
      <c r="D273" s="73"/>
      <c r="E273" s="73"/>
      <c r="F273" s="72"/>
    </row>
    <row r="274" ht="14.25" customHeight="1">
      <c r="A274" s="73"/>
      <c r="B274" s="73"/>
      <c r="C274" s="73"/>
      <c r="D274" s="73"/>
      <c r="E274" s="73"/>
      <c r="F274" s="72"/>
    </row>
    <row r="275" ht="14.25" customHeight="1">
      <c r="A275" s="73"/>
      <c r="B275" s="73"/>
      <c r="C275" s="73"/>
      <c r="D275" s="73"/>
      <c r="E275" s="73"/>
      <c r="F275" s="72"/>
    </row>
    <row r="276" ht="14.25" customHeight="1">
      <c r="A276" s="73"/>
      <c r="B276" s="73"/>
      <c r="C276" s="73"/>
      <c r="D276" s="73"/>
      <c r="E276" s="73"/>
      <c r="F276" s="72"/>
    </row>
    <row r="277" ht="14.25" customHeight="1">
      <c r="A277" s="73"/>
      <c r="B277" s="73"/>
      <c r="C277" s="73"/>
      <c r="D277" s="73"/>
      <c r="E277" s="73"/>
      <c r="F277" s="72"/>
    </row>
    <row r="278" ht="14.25" customHeight="1">
      <c r="A278" s="73"/>
      <c r="B278" s="73"/>
      <c r="C278" s="73"/>
      <c r="D278" s="73"/>
      <c r="E278" s="73"/>
      <c r="F278" s="72"/>
    </row>
    <row r="279" ht="14.25" customHeight="1">
      <c r="A279" s="73"/>
      <c r="B279" s="73"/>
      <c r="C279" s="73"/>
      <c r="D279" s="73"/>
      <c r="E279" s="73"/>
      <c r="F279" s="72"/>
    </row>
    <row r="280" ht="14.25" customHeight="1">
      <c r="A280" s="73"/>
      <c r="B280" s="73"/>
      <c r="C280" s="73"/>
      <c r="D280" s="73"/>
      <c r="E280" s="73"/>
      <c r="F280" s="72"/>
    </row>
    <row r="281" ht="14.25" customHeight="1">
      <c r="A281" s="73"/>
      <c r="B281" s="73"/>
      <c r="C281" s="73"/>
      <c r="D281" s="73"/>
      <c r="E281" s="73"/>
      <c r="F281" s="72"/>
    </row>
    <row r="282" ht="14.25" customHeight="1">
      <c r="A282" s="73"/>
      <c r="B282" s="73"/>
      <c r="C282" s="73"/>
      <c r="D282" s="73"/>
      <c r="E282" s="73"/>
      <c r="F282" s="72"/>
    </row>
    <row r="283" ht="14.25" customHeight="1">
      <c r="A283" s="73"/>
      <c r="B283" s="73"/>
      <c r="C283" s="73"/>
      <c r="D283" s="73"/>
      <c r="E283" s="73"/>
      <c r="F283" s="72"/>
    </row>
    <row r="284" ht="14.25" customHeight="1">
      <c r="A284" s="73"/>
      <c r="B284" s="73"/>
      <c r="C284" s="73"/>
      <c r="D284" s="73"/>
      <c r="E284" s="73"/>
      <c r="F284" s="72"/>
    </row>
    <row r="285" ht="14.25" customHeight="1">
      <c r="A285" s="73"/>
      <c r="B285" s="73"/>
      <c r="C285" s="73"/>
      <c r="D285" s="73"/>
      <c r="E285" s="73"/>
      <c r="F285" s="72"/>
    </row>
    <row r="286" ht="14.25" customHeight="1">
      <c r="A286" s="73"/>
      <c r="B286" s="73"/>
      <c r="C286" s="73"/>
      <c r="D286" s="73"/>
      <c r="E286" s="73"/>
      <c r="F286" s="72"/>
    </row>
    <row r="287" ht="14.25" customHeight="1">
      <c r="A287" s="73"/>
      <c r="B287" s="73"/>
      <c r="C287" s="73"/>
      <c r="D287" s="73"/>
      <c r="E287" s="73"/>
      <c r="F287" s="72"/>
    </row>
    <row r="288" ht="14.25" customHeight="1">
      <c r="A288" s="73"/>
      <c r="B288" s="73"/>
      <c r="C288" s="73"/>
      <c r="D288" s="73"/>
      <c r="E288" s="73"/>
      <c r="F288" s="72"/>
    </row>
    <row r="289" ht="14.25" customHeight="1">
      <c r="A289" s="73"/>
      <c r="B289" s="73"/>
      <c r="C289" s="73"/>
      <c r="D289" s="73"/>
      <c r="E289" s="73"/>
      <c r="F289" s="72"/>
    </row>
    <row r="290" ht="14.25" customHeight="1">
      <c r="A290" s="73"/>
      <c r="B290" s="73"/>
      <c r="C290" s="73"/>
      <c r="D290" s="73"/>
      <c r="E290" s="73"/>
      <c r="F290" s="72"/>
    </row>
    <row r="291" ht="14.25" customHeight="1">
      <c r="A291" s="73"/>
      <c r="B291" s="73"/>
      <c r="C291" s="73"/>
      <c r="D291" s="73"/>
      <c r="E291" s="73"/>
      <c r="F291" s="72"/>
    </row>
    <row r="292" ht="14.25" customHeight="1">
      <c r="A292" s="73"/>
      <c r="B292" s="73"/>
      <c r="C292" s="73"/>
      <c r="D292" s="73"/>
      <c r="E292" s="73"/>
      <c r="F292" s="72"/>
    </row>
    <row r="293" ht="14.25" customHeight="1">
      <c r="A293" s="73"/>
      <c r="B293" s="73"/>
      <c r="C293" s="73"/>
      <c r="D293" s="73"/>
      <c r="E293" s="73"/>
      <c r="F293" s="72"/>
    </row>
    <row r="294" ht="14.25" customHeight="1">
      <c r="A294" s="73"/>
      <c r="B294" s="73"/>
      <c r="C294" s="73"/>
      <c r="D294" s="73"/>
      <c r="E294" s="73"/>
      <c r="F294" s="72"/>
    </row>
    <row r="295" ht="14.25" customHeight="1">
      <c r="A295" s="73"/>
      <c r="B295" s="73"/>
      <c r="C295" s="73"/>
      <c r="D295" s="73"/>
      <c r="E295" s="73"/>
      <c r="F295" s="72"/>
    </row>
    <row r="296" ht="14.25" customHeight="1">
      <c r="A296" s="73"/>
      <c r="B296" s="73"/>
      <c r="C296" s="73"/>
      <c r="D296" s="73"/>
      <c r="E296" s="73"/>
      <c r="F296" s="72"/>
    </row>
    <row r="297" ht="14.25" customHeight="1">
      <c r="A297" s="73"/>
      <c r="B297" s="73"/>
      <c r="C297" s="73"/>
      <c r="D297" s="73"/>
      <c r="E297" s="73"/>
      <c r="F297" s="72"/>
    </row>
    <row r="298" ht="14.25" customHeight="1">
      <c r="A298" s="73"/>
      <c r="B298" s="73"/>
      <c r="C298" s="73"/>
      <c r="D298" s="73"/>
      <c r="E298" s="73"/>
      <c r="F298" s="72"/>
    </row>
    <row r="299" ht="14.25" customHeight="1">
      <c r="A299" s="73"/>
      <c r="B299" s="73"/>
      <c r="C299" s="73"/>
      <c r="D299" s="73"/>
      <c r="E299" s="73"/>
      <c r="F299" s="72"/>
    </row>
    <row r="300" ht="14.25" customHeight="1">
      <c r="A300" s="73"/>
      <c r="B300" s="73"/>
      <c r="C300" s="73"/>
      <c r="D300" s="73"/>
      <c r="E300" s="73"/>
      <c r="F300" s="72"/>
    </row>
    <row r="301" ht="14.25" customHeight="1">
      <c r="A301" s="73"/>
      <c r="B301" s="73"/>
      <c r="C301" s="73"/>
      <c r="D301" s="73"/>
      <c r="E301" s="73"/>
      <c r="F301" s="72"/>
    </row>
    <row r="302" ht="14.25" customHeight="1">
      <c r="A302" s="73"/>
      <c r="B302" s="73"/>
      <c r="C302" s="73"/>
      <c r="D302" s="73"/>
      <c r="E302" s="73"/>
      <c r="F302" s="72"/>
    </row>
    <row r="303" ht="14.25" customHeight="1">
      <c r="A303" s="73"/>
      <c r="B303" s="73"/>
      <c r="C303" s="73"/>
      <c r="D303" s="73"/>
      <c r="E303" s="73"/>
      <c r="F303" s="72"/>
    </row>
    <row r="304" ht="14.25" customHeight="1">
      <c r="A304" s="73"/>
      <c r="B304" s="73"/>
      <c r="C304" s="73"/>
      <c r="D304" s="73"/>
      <c r="E304" s="73"/>
      <c r="F304" s="72"/>
    </row>
    <row r="305" ht="14.25" customHeight="1">
      <c r="A305" s="73"/>
      <c r="B305" s="73"/>
      <c r="C305" s="73"/>
      <c r="D305" s="73"/>
      <c r="E305" s="73"/>
      <c r="F305" s="72"/>
    </row>
    <row r="306" ht="14.25" customHeight="1">
      <c r="A306" s="73"/>
      <c r="B306" s="73"/>
      <c r="C306" s="73"/>
      <c r="D306" s="73"/>
      <c r="E306" s="73"/>
      <c r="F306" s="72"/>
    </row>
    <row r="307" ht="14.25" customHeight="1">
      <c r="A307" s="73"/>
      <c r="B307" s="73"/>
      <c r="C307" s="73"/>
      <c r="D307" s="73"/>
      <c r="E307" s="73"/>
      <c r="F307" s="72"/>
    </row>
    <row r="308" ht="14.25" customHeight="1">
      <c r="A308" s="73"/>
      <c r="B308" s="73"/>
      <c r="C308" s="73"/>
      <c r="D308" s="73"/>
      <c r="E308" s="73"/>
      <c r="F308" s="72"/>
    </row>
    <row r="309" ht="14.25" customHeight="1">
      <c r="A309" s="73"/>
      <c r="B309" s="73"/>
      <c r="C309" s="73"/>
      <c r="D309" s="73"/>
      <c r="E309" s="73"/>
      <c r="F309" s="72"/>
    </row>
    <row r="310" ht="14.25" customHeight="1">
      <c r="A310" s="73"/>
      <c r="B310" s="73"/>
      <c r="C310" s="73"/>
      <c r="D310" s="73"/>
      <c r="E310" s="73"/>
      <c r="F310" s="72"/>
    </row>
    <row r="311" ht="14.25" customHeight="1">
      <c r="A311" s="73"/>
      <c r="B311" s="73"/>
      <c r="C311" s="73"/>
      <c r="D311" s="73"/>
      <c r="E311" s="73"/>
      <c r="F311" s="72"/>
    </row>
    <row r="312" ht="14.25" customHeight="1">
      <c r="A312" s="73"/>
      <c r="B312" s="73"/>
      <c r="C312" s="73"/>
      <c r="D312" s="73"/>
      <c r="E312" s="73"/>
      <c r="F312" s="72"/>
    </row>
    <row r="313" ht="14.25" customHeight="1">
      <c r="A313" s="73"/>
      <c r="B313" s="73"/>
      <c r="C313" s="73"/>
      <c r="D313" s="73"/>
      <c r="E313" s="73"/>
      <c r="F313" s="72"/>
    </row>
    <row r="314" ht="14.25" customHeight="1">
      <c r="A314" s="73"/>
      <c r="B314" s="73"/>
      <c r="C314" s="73"/>
      <c r="D314" s="73"/>
      <c r="E314" s="73"/>
      <c r="F314" s="72"/>
    </row>
    <row r="315" ht="14.25" customHeight="1">
      <c r="A315" s="73"/>
      <c r="B315" s="73"/>
      <c r="C315" s="73"/>
      <c r="D315" s="73"/>
      <c r="E315" s="73"/>
      <c r="F315" s="72"/>
    </row>
    <row r="316" ht="14.25" customHeight="1">
      <c r="A316" s="73"/>
      <c r="B316" s="73"/>
      <c r="C316" s="73"/>
      <c r="D316" s="73"/>
      <c r="E316" s="73"/>
      <c r="F316" s="72"/>
    </row>
    <row r="317" ht="14.25" customHeight="1">
      <c r="A317" s="73"/>
      <c r="B317" s="73"/>
      <c r="C317" s="73"/>
      <c r="D317" s="73"/>
      <c r="E317" s="73"/>
      <c r="F317" s="72"/>
    </row>
    <row r="318" ht="14.25" customHeight="1">
      <c r="A318" s="73"/>
      <c r="B318" s="73"/>
      <c r="C318" s="73"/>
      <c r="D318" s="73"/>
      <c r="E318" s="73"/>
      <c r="F318" s="72"/>
    </row>
    <row r="319" ht="14.25" customHeight="1">
      <c r="A319" s="73"/>
      <c r="B319" s="73"/>
      <c r="C319" s="73"/>
      <c r="D319" s="73"/>
      <c r="E319" s="73"/>
      <c r="F319" s="72"/>
    </row>
    <row r="320" ht="14.25" customHeight="1">
      <c r="A320" s="73"/>
      <c r="B320" s="73"/>
      <c r="C320" s="73"/>
      <c r="D320" s="73"/>
      <c r="E320" s="73"/>
      <c r="F320" s="72"/>
    </row>
    <row r="321" ht="14.25" customHeight="1">
      <c r="A321" s="73"/>
      <c r="B321" s="73"/>
      <c r="C321" s="73"/>
      <c r="D321" s="73"/>
      <c r="E321" s="73"/>
      <c r="F321" s="72"/>
    </row>
    <row r="322" ht="14.25" customHeight="1">
      <c r="A322" s="73"/>
      <c r="B322" s="73"/>
      <c r="C322" s="73"/>
      <c r="D322" s="73"/>
      <c r="E322" s="73"/>
      <c r="F322" s="72"/>
    </row>
    <row r="323" ht="14.25" customHeight="1">
      <c r="A323" s="73"/>
      <c r="B323" s="73"/>
      <c r="C323" s="73"/>
      <c r="D323" s="73"/>
      <c r="E323" s="73"/>
      <c r="F323" s="72"/>
    </row>
    <row r="324" ht="14.25" customHeight="1">
      <c r="A324" s="73"/>
      <c r="B324" s="73"/>
      <c r="C324" s="73"/>
      <c r="D324" s="73"/>
      <c r="E324" s="73"/>
      <c r="F324" s="72"/>
    </row>
    <row r="325" ht="14.25" customHeight="1">
      <c r="A325" s="73"/>
      <c r="B325" s="73"/>
      <c r="C325" s="73"/>
      <c r="D325" s="73"/>
      <c r="E325" s="73"/>
      <c r="F325" s="72"/>
    </row>
    <row r="326" ht="14.25" customHeight="1">
      <c r="A326" s="73"/>
      <c r="B326" s="73"/>
      <c r="C326" s="73"/>
      <c r="D326" s="73"/>
      <c r="E326" s="73"/>
      <c r="F326" s="72"/>
    </row>
    <row r="327" ht="14.25" customHeight="1">
      <c r="A327" s="73"/>
      <c r="B327" s="73"/>
      <c r="C327" s="73"/>
      <c r="D327" s="73"/>
      <c r="E327" s="73"/>
      <c r="F327" s="72"/>
    </row>
    <row r="328" ht="14.25" customHeight="1">
      <c r="A328" s="73"/>
      <c r="B328" s="73"/>
      <c r="C328" s="73"/>
      <c r="D328" s="73"/>
      <c r="E328" s="73"/>
      <c r="F328" s="72"/>
    </row>
    <row r="329" ht="14.25" customHeight="1">
      <c r="A329" s="73"/>
      <c r="B329" s="73"/>
      <c r="C329" s="73"/>
      <c r="D329" s="73"/>
      <c r="E329" s="73"/>
      <c r="F329" s="72"/>
    </row>
    <row r="330" ht="14.25" customHeight="1">
      <c r="A330" s="73"/>
      <c r="B330" s="73"/>
      <c r="C330" s="73"/>
      <c r="D330" s="73"/>
      <c r="E330" s="73"/>
      <c r="F330" s="72"/>
    </row>
    <row r="331" ht="14.25" customHeight="1">
      <c r="A331" s="73"/>
      <c r="B331" s="73"/>
      <c r="C331" s="73"/>
      <c r="D331" s="73"/>
      <c r="E331" s="73"/>
      <c r="F331" s="72"/>
    </row>
    <row r="332" ht="14.25" customHeight="1">
      <c r="A332" s="73"/>
      <c r="B332" s="73"/>
      <c r="C332" s="73"/>
      <c r="D332" s="73"/>
      <c r="E332" s="73"/>
      <c r="F332" s="72"/>
    </row>
    <row r="333" ht="14.25" customHeight="1">
      <c r="A333" s="73"/>
      <c r="B333" s="73"/>
      <c r="C333" s="73"/>
      <c r="D333" s="73"/>
      <c r="E333" s="73"/>
      <c r="F333" s="72"/>
    </row>
    <row r="334" ht="14.25" customHeight="1">
      <c r="A334" s="73"/>
      <c r="B334" s="73"/>
      <c r="C334" s="73"/>
      <c r="D334" s="73"/>
      <c r="E334" s="73"/>
      <c r="F334" s="72"/>
    </row>
    <row r="335" ht="14.25" customHeight="1">
      <c r="A335" s="73"/>
      <c r="B335" s="73"/>
      <c r="C335" s="73"/>
      <c r="D335" s="73"/>
      <c r="E335" s="73"/>
      <c r="F335" s="72"/>
    </row>
    <row r="336" ht="14.25" customHeight="1">
      <c r="A336" s="73"/>
      <c r="B336" s="73"/>
      <c r="C336" s="73"/>
      <c r="D336" s="73"/>
      <c r="E336" s="73"/>
      <c r="F336" s="72"/>
    </row>
    <row r="337" ht="14.25" customHeight="1">
      <c r="A337" s="73"/>
      <c r="B337" s="73"/>
      <c r="C337" s="73"/>
      <c r="D337" s="73"/>
      <c r="E337" s="73"/>
      <c r="F337" s="72"/>
    </row>
    <row r="338" ht="14.25" customHeight="1">
      <c r="A338" s="73"/>
      <c r="B338" s="73"/>
      <c r="C338" s="73"/>
      <c r="D338" s="73"/>
      <c r="E338" s="73"/>
      <c r="F338" s="72"/>
    </row>
    <row r="339" ht="14.25" customHeight="1">
      <c r="A339" s="73"/>
      <c r="B339" s="73"/>
      <c r="C339" s="73"/>
      <c r="D339" s="73"/>
      <c r="E339" s="73"/>
      <c r="F339" s="72"/>
    </row>
    <row r="340" ht="14.25" customHeight="1">
      <c r="A340" s="73"/>
      <c r="B340" s="73"/>
      <c r="C340" s="73"/>
      <c r="D340" s="73"/>
      <c r="E340" s="73"/>
      <c r="F340" s="72"/>
    </row>
    <row r="341" ht="14.25" customHeight="1">
      <c r="A341" s="73"/>
      <c r="B341" s="73"/>
      <c r="C341" s="73"/>
      <c r="D341" s="73"/>
      <c r="E341" s="73"/>
      <c r="F341" s="72"/>
    </row>
    <row r="342" ht="14.25" customHeight="1">
      <c r="A342" s="73"/>
      <c r="B342" s="73"/>
      <c r="C342" s="73"/>
      <c r="D342" s="73"/>
      <c r="E342" s="73"/>
      <c r="F342" s="72"/>
    </row>
    <row r="343" ht="14.25" customHeight="1">
      <c r="A343" s="73"/>
      <c r="B343" s="73"/>
      <c r="C343" s="73"/>
      <c r="D343" s="73"/>
      <c r="E343" s="73"/>
      <c r="F343" s="72"/>
    </row>
    <row r="344" ht="14.25" customHeight="1">
      <c r="A344" s="73"/>
      <c r="B344" s="73"/>
      <c r="C344" s="73"/>
      <c r="D344" s="73"/>
      <c r="E344" s="73"/>
      <c r="F344" s="72"/>
    </row>
    <row r="345" ht="14.25" customHeight="1">
      <c r="A345" s="73"/>
      <c r="B345" s="73"/>
      <c r="C345" s="73"/>
      <c r="D345" s="73"/>
      <c r="E345" s="73"/>
      <c r="F345" s="72"/>
    </row>
    <row r="346" ht="14.25" customHeight="1">
      <c r="A346" s="73"/>
      <c r="B346" s="73"/>
      <c r="C346" s="73"/>
      <c r="D346" s="73"/>
      <c r="E346" s="73"/>
      <c r="F346" s="72"/>
    </row>
    <row r="347" ht="14.25" customHeight="1">
      <c r="A347" s="73"/>
      <c r="B347" s="73"/>
      <c r="C347" s="73"/>
      <c r="D347" s="73"/>
      <c r="E347" s="73"/>
      <c r="F347" s="72"/>
    </row>
    <row r="348" ht="14.25" customHeight="1">
      <c r="A348" s="73"/>
      <c r="B348" s="73"/>
      <c r="C348" s="73"/>
      <c r="D348" s="73"/>
      <c r="E348" s="73"/>
      <c r="F348" s="72"/>
    </row>
    <row r="349" ht="14.25" customHeight="1">
      <c r="A349" s="73"/>
      <c r="B349" s="73"/>
      <c r="C349" s="73"/>
      <c r="D349" s="73"/>
      <c r="E349" s="73"/>
      <c r="F349" s="72"/>
    </row>
    <row r="350" ht="14.25" customHeight="1">
      <c r="A350" s="73"/>
      <c r="B350" s="73"/>
      <c r="C350" s="73"/>
      <c r="D350" s="73"/>
      <c r="E350" s="73"/>
      <c r="F350" s="72"/>
    </row>
    <row r="351" ht="14.25" customHeight="1">
      <c r="A351" s="73"/>
      <c r="B351" s="73"/>
      <c r="C351" s="73"/>
      <c r="D351" s="73"/>
      <c r="E351" s="73"/>
      <c r="F351" s="72"/>
    </row>
    <row r="352" ht="14.25" customHeight="1">
      <c r="A352" s="73"/>
      <c r="B352" s="73"/>
      <c r="C352" s="73"/>
      <c r="D352" s="73"/>
      <c r="E352" s="73"/>
      <c r="F352" s="72"/>
    </row>
    <row r="353" ht="14.25" customHeight="1">
      <c r="A353" s="73"/>
      <c r="B353" s="73"/>
      <c r="C353" s="73"/>
      <c r="D353" s="73"/>
      <c r="E353" s="73"/>
      <c r="F353" s="72"/>
    </row>
    <row r="354" ht="14.25" customHeight="1">
      <c r="A354" s="73"/>
      <c r="B354" s="73"/>
      <c r="C354" s="73"/>
      <c r="D354" s="73"/>
      <c r="E354" s="73"/>
      <c r="F354" s="72"/>
    </row>
    <row r="355" ht="14.25" customHeight="1">
      <c r="A355" s="73"/>
      <c r="B355" s="73"/>
      <c r="C355" s="73"/>
      <c r="D355" s="73"/>
      <c r="E355" s="73"/>
      <c r="F355" s="72"/>
    </row>
    <row r="356" ht="14.25" customHeight="1">
      <c r="A356" s="73"/>
      <c r="B356" s="73"/>
      <c r="C356" s="73"/>
      <c r="D356" s="73"/>
      <c r="E356" s="73"/>
      <c r="F356" s="72"/>
    </row>
    <row r="357" ht="14.25" customHeight="1">
      <c r="A357" s="73"/>
      <c r="B357" s="73"/>
      <c r="C357" s="73"/>
      <c r="D357" s="73"/>
      <c r="E357" s="73"/>
      <c r="F357" s="72"/>
    </row>
    <row r="358" ht="14.25" customHeight="1">
      <c r="A358" s="73"/>
      <c r="B358" s="73"/>
      <c r="C358" s="73"/>
      <c r="D358" s="73"/>
      <c r="E358" s="73"/>
      <c r="F358" s="72"/>
    </row>
    <row r="359" ht="14.25" customHeight="1">
      <c r="A359" s="73"/>
      <c r="B359" s="73"/>
      <c r="C359" s="73"/>
      <c r="D359" s="73"/>
      <c r="E359" s="73"/>
      <c r="F359" s="72"/>
    </row>
    <row r="360" ht="14.25" customHeight="1">
      <c r="A360" s="73"/>
      <c r="B360" s="73"/>
      <c r="C360" s="73"/>
      <c r="D360" s="73"/>
      <c r="E360" s="73"/>
      <c r="F360" s="72"/>
    </row>
    <row r="361" ht="14.25" customHeight="1">
      <c r="A361" s="73"/>
      <c r="B361" s="73"/>
      <c r="C361" s="73"/>
      <c r="D361" s="73"/>
      <c r="E361" s="73"/>
      <c r="F361" s="72"/>
    </row>
    <row r="362" ht="14.25" customHeight="1">
      <c r="A362" s="73"/>
      <c r="B362" s="73"/>
      <c r="C362" s="73"/>
      <c r="D362" s="73"/>
      <c r="E362" s="73"/>
      <c r="F362" s="72"/>
    </row>
    <row r="363" ht="14.25" customHeight="1">
      <c r="A363" s="73"/>
      <c r="B363" s="73"/>
      <c r="C363" s="73"/>
      <c r="D363" s="73"/>
      <c r="E363" s="73"/>
      <c r="F363" s="72"/>
    </row>
    <row r="364" ht="14.25" customHeight="1">
      <c r="A364" s="73"/>
      <c r="B364" s="73"/>
      <c r="C364" s="73"/>
      <c r="D364" s="73"/>
      <c r="E364" s="73"/>
      <c r="F364" s="72"/>
    </row>
    <row r="365" ht="14.25" customHeight="1">
      <c r="A365" s="73"/>
      <c r="B365" s="73"/>
      <c r="C365" s="73"/>
      <c r="D365" s="73"/>
      <c r="E365" s="73"/>
      <c r="F365" s="72"/>
    </row>
    <row r="366" ht="14.25" customHeight="1">
      <c r="A366" s="73"/>
      <c r="B366" s="73"/>
      <c r="C366" s="73"/>
      <c r="D366" s="73"/>
      <c r="E366" s="73"/>
      <c r="F366" s="72"/>
    </row>
    <row r="367" ht="14.25" customHeight="1">
      <c r="A367" s="73"/>
      <c r="B367" s="73"/>
      <c r="C367" s="73"/>
      <c r="D367" s="73"/>
      <c r="E367" s="73"/>
      <c r="F367" s="72"/>
    </row>
    <row r="368" ht="14.25" customHeight="1">
      <c r="A368" s="73"/>
      <c r="B368" s="73"/>
      <c r="C368" s="73"/>
      <c r="D368" s="73"/>
      <c r="E368" s="73"/>
      <c r="F368" s="72"/>
    </row>
    <row r="369" ht="14.25" customHeight="1">
      <c r="A369" s="73"/>
      <c r="B369" s="73"/>
      <c r="C369" s="73"/>
      <c r="D369" s="73"/>
      <c r="E369" s="73"/>
      <c r="F369" s="72"/>
    </row>
    <row r="370" ht="14.25" customHeight="1">
      <c r="A370" s="73"/>
      <c r="B370" s="73"/>
      <c r="C370" s="73"/>
      <c r="D370" s="73"/>
      <c r="E370" s="73"/>
      <c r="F370" s="72"/>
    </row>
    <row r="371" ht="14.25" customHeight="1">
      <c r="A371" s="73"/>
      <c r="B371" s="73"/>
      <c r="C371" s="73"/>
      <c r="D371" s="73"/>
      <c r="E371" s="73"/>
      <c r="F371" s="72"/>
    </row>
    <row r="372" ht="14.25" customHeight="1">
      <c r="A372" s="73"/>
      <c r="B372" s="73"/>
      <c r="C372" s="73"/>
      <c r="D372" s="73"/>
      <c r="E372" s="73"/>
      <c r="F372" s="72"/>
    </row>
    <row r="373" ht="14.25" customHeight="1">
      <c r="A373" s="73"/>
      <c r="B373" s="73"/>
      <c r="C373" s="73"/>
      <c r="D373" s="73"/>
      <c r="E373" s="73"/>
      <c r="F373" s="72"/>
    </row>
    <row r="374" ht="14.25" customHeight="1">
      <c r="A374" s="73"/>
      <c r="B374" s="73"/>
      <c r="C374" s="73"/>
      <c r="D374" s="73"/>
      <c r="E374" s="73"/>
      <c r="F374" s="72"/>
    </row>
    <row r="375" ht="14.25" customHeight="1">
      <c r="A375" s="73"/>
      <c r="B375" s="73"/>
      <c r="C375" s="73"/>
      <c r="D375" s="73"/>
      <c r="E375" s="73"/>
      <c r="F375" s="72"/>
    </row>
    <row r="376" ht="14.25" customHeight="1">
      <c r="A376" s="73"/>
      <c r="B376" s="73"/>
      <c r="C376" s="73"/>
      <c r="D376" s="73"/>
      <c r="E376" s="73"/>
      <c r="F376" s="72"/>
    </row>
    <row r="377" ht="14.25" customHeight="1">
      <c r="A377" s="73"/>
      <c r="B377" s="73"/>
      <c r="C377" s="73"/>
      <c r="D377" s="73"/>
      <c r="E377" s="73"/>
      <c r="F377" s="72"/>
    </row>
    <row r="378" ht="14.25" customHeight="1">
      <c r="A378" s="73"/>
      <c r="B378" s="73"/>
      <c r="C378" s="73"/>
      <c r="D378" s="73"/>
      <c r="E378" s="73"/>
      <c r="F378" s="72"/>
    </row>
    <row r="379" ht="14.25" customHeight="1">
      <c r="A379" s="73"/>
      <c r="B379" s="73"/>
      <c r="C379" s="73"/>
      <c r="D379" s="73"/>
      <c r="E379" s="73"/>
      <c r="F379" s="72"/>
    </row>
    <row r="380" ht="14.25" customHeight="1">
      <c r="A380" s="73"/>
      <c r="B380" s="73"/>
      <c r="C380" s="73"/>
      <c r="D380" s="73"/>
      <c r="E380" s="73"/>
      <c r="F380" s="72"/>
    </row>
    <row r="381" ht="14.25" customHeight="1">
      <c r="A381" s="73"/>
      <c r="B381" s="73"/>
      <c r="C381" s="73"/>
      <c r="D381" s="73"/>
      <c r="E381" s="73"/>
      <c r="F381" s="72"/>
    </row>
    <row r="382" ht="14.25" customHeight="1">
      <c r="A382" s="73"/>
      <c r="B382" s="73"/>
      <c r="C382" s="73"/>
      <c r="D382" s="73"/>
      <c r="E382" s="73"/>
      <c r="F382" s="72"/>
    </row>
    <row r="383" ht="14.25" customHeight="1">
      <c r="A383" s="73"/>
      <c r="B383" s="73"/>
      <c r="C383" s="73"/>
      <c r="D383" s="73"/>
      <c r="E383" s="73"/>
      <c r="F383" s="72"/>
    </row>
    <row r="384" ht="14.25" customHeight="1">
      <c r="A384" s="73"/>
      <c r="B384" s="73"/>
      <c r="C384" s="73"/>
      <c r="D384" s="73"/>
      <c r="E384" s="73"/>
      <c r="F384" s="72"/>
    </row>
    <row r="385" ht="14.25" customHeight="1">
      <c r="A385" s="73"/>
      <c r="B385" s="73"/>
      <c r="C385" s="73"/>
      <c r="D385" s="73"/>
      <c r="E385" s="73"/>
      <c r="F385" s="72"/>
    </row>
    <row r="386" ht="14.25" customHeight="1">
      <c r="A386" s="73"/>
      <c r="B386" s="73"/>
      <c r="C386" s="73"/>
      <c r="D386" s="73"/>
      <c r="E386" s="73"/>
      <c r="F386" s="72"/>
    </row>
    <row r="387" ht="14.25" customHeight="1">
      <c r="A387" s="73"/>
      <c r="B387" s="73"/>
      <c r="C387" s="73"/>
      <c r="D387" s="73"/>
      <c r="E387" s="73"/>
      <c r="F387" s="72"/>
    </row>
    <row r="388" ht="14.25" customHeight="1">
      <c r="A388" s="73"/>
      <c r="B388" s="73"/>
      <c r="C388" s="73"/>
      <c r="D388" s="73"/>
      <c r="E388" s="73"/>
      <c r="F388" s="72"/>
    </row>
    <row r="389" ht="14.25" customHeight="1">
      <c r="A389" s="73"/>
      <c r="B389" s="73"/>
      <c r="C389" s="73"/>
      <c r="D389" s="73"/>
      <c r="E389" s="73"/>
      <c r="F389" s="72"/>
    </row>
    <row r="390" ht="14.25" customHeight="1">
      <c r="A390" s="73"/>
      <c r="B390" s="73"/>
      <c r="C390" s="73"/>
      <c r="D390" s="73"/>
      <c r="E390" s="73"/>
      <c r="F390" s="72"/>
    </row>
    <row r="391" ht="14.25" customHeight="1">
      <c r="A391" s="73"/>
      <c r="B391" s="73"/>
      <c r="C391" s="73"/>
      <c r="D391" s="73"/>
      <c r="E391" s="73"/>
      <c r="F391" s="72"/>
    </row>
    <row r="392" ht="14.25" customHeight="1">
      <c r="A392" s="73"/>
      <c r="B392" s="73"/>
      <c r="C392" s="73"/>
      <c r="D392" s="73"/>
      <c r="E392" s="73"/>
      <c r="F392" s="72"/>
    </row>
    <row r="393" ht="14.25" customHeight="1">
      <c r="A393" s="73"/>
      <c r="B393" s="73"/>
      <c r="C393" s="73"/>
      <c r="D393" s="73"/>
      <c r="E393" s="73"/>
      <c r="F393" s="72"/>
    </row>
    <row r="394" ht="14.25" customHeight="1">
      <c r="A394" s="73"/>
      <c r="B394" s="73"/>
      <c r="C394" s="73"/>
      <c r="D394" s="73"/>
      <c r="E394" s="73"/>
      <c r="F394" s="72"/>
    </row>
    <row r="395" ht="14.25" customHeight="1">
      <c r="A395" s="73"/>
      <c r="B395" s="73"/>
      <c r="C395" s="73"/>
      <c r="D395" s="73"/>
      <c r="E395" s="73"/>
      <c r="F395" s="72"/>
    </row>
    <row r="396" ht="14.25" customHeight="1">
      <c r="A396" s="73"/>
      <c r="B396" s="73"/>
      <c r="C396" s="73"/>
      <c r="D396" s="73"/>
      <c r="E396" s="73"/>
      <c r="F396" s="72"/>
    </row>
    <row r="397" ht="14.25" customHeight="1">
      <c r="A397" s="73"/>
      <c r="B397" s="73"/>
      <c r="C397" s="73"/>
      <c r="D397" s="73"/>
      <c r="E397" s="73"/>
      <c r="F397" s="72"/>
    </row>
    <row r="398" ht="14.25" customHeight="1">
      <c r="A398" s="73"/>
      <c r="B398" s="73"/>
      <c r="C398" s="73"/>
      <c r="D398" s="73"/>
      <c r="E398" s="73"/>
      <c r="F398" s="72"/>
    </row>
    <row r="399" ht="14.25" customHeight="1">
      <c r="A399" s="73"/>
      <c r="B399" s="73"/>
      <c r="C399" s="73"/>
      <c r="D399" s="73"/>
      <c r="E399" s="73"/>
      <c r="F399" s="72"/>
    </row>
    <row r="400" ht="14.25" customHeight="1">
      <c r="A400" s="73"/>
      <c r="B400" s="73"/>
      <c r="C400" s="73"/>
      <c r="D400" s="73"/>
      <c r="E400" s="73"/>
      <c r="F400" s="72"/>
    </row>
    <row r="401" ht="14.25" customHeight="1">
      <c r="A401" s="73"/>
      <c r="B401" s="73"/>
      <c r="C401" s="73"/>
      <c r="D401" s="73"/>
      <c r="E401" s="73"/>
      <c r="F401" s="72"/>
    </row>
    <row r="402" ht="14.25" customHeight="1">
      <c r="A402" s="73"/>
      <c r="B402" s="73"/>
      <c r="C402" s="73"/>
      <c r="D402" s="73"/>
      <c r="E402" s="73"/>
      <c r="F402" s="72"/>
    </row>
    <row r="403" ht="14.25" customHeight="1">
      <c r="A403" s="73"/>
      <c r="B403" s="73"/>
      <c r="C403" s="73"/>
      <c r="D403" s="73"/>
      <c r="E403" s="73"/>
      <c r="F403" s="72"/>
    </row>
    <row r="404" ht="14.25" customHeight="1">
      <c r="A404" s="73"/>
      <c r="B404" s="73"/>
      <c r="C404" s="73"/>
      <c r="D404" s="73"/>
      <c r="E404" s="73"/>
      <c r="F404" s="72"/>
    </row>
    <row r="405" ht="14.25" customHeight="1">
      <c r="A405" s="73"/>
      <c r="B405" s="73"/>
      <c r="C405" s="73"/>
      <c r="D405" s="73"/>
      <c r="E405" s="73"/>
      <c r="F405" s="72"/>
    </row>
    <row r="406" ht="14.25" customHeight="1">
      <c r="A406" s="73"/>
      <c r="B406" s="73"/>
      <c r="C406" s="73"/>
      <c r="D406" s="73"/>
      <c r="E406" s="73"/>
      <c r="F406" s="72"/>
    </row>
    <row r="407" ht="14.25" customHeight="1">
      <c r="A407" s="73"/>
      <c r="B407" s="73"/>
      <c r="C407" s="73"/>
      <c r="D407" s="73"/>
      <c r="E407" s="73"/>
      <c r="F407" s="72"/>
    </row>
    <row r="408" ht="14.25" customHeight="1">
      <c r="A408" s="73"/>
      <c r="B408" s="73"/>
      <c r="C408" s="73"/>
      <c r="D408" s="73"/>
      <c r="E408" s="73"/>
      <c r="F408" s="72"/>
    </row>
    <row r="409" ht="14.25" customHeight="1">
      <c r="A409" s="73"/>
      <c r="B409" s="73"/>
      <c r="C409" s="73"/>
      <c r="D409" s="73"/>
      <c r="E409" s="73"/>
      <c r="F409" s="72"/>
    </row>
    <row r="410" ht="14.25" customHeight="1">
      <c r="A410" s="73"/>
      <c r="B410" s="73"/>
      <c r="C410" s="73"/>
      <c r="D410" s="73"/>
      <c r="E410" s="73"/>
      <c r="F410" s="72"/>
    </row>
    <row r="411" ht="14.25" customHeight="1">
      <c r="A411" s="73"/>
      <c r="B411" s="73"/>
      <c r="C411" s="73"/>
      <c r="D411" s="73"/>
      <c r="E411" s="73"/>
      <c r="F411" s="72"/>
    </row>
    <row r="412" ht="14.25" customHeight="1">
      <c r="A412" s="73"/>
      <c r="B412" s="73"/>
      <c r="C412" s="73"/>
      <c r="D412" s="73"/>
      <c r="E412" s="73"/>
      <c r="F412" s="72"/>
    </row>
    <row r="413" ht="14.25" customHeight="1">
      <c r="A413" s="73"/>
      <c r="B413" s="73"/>
      <c r="C413" s="73"/>
      <c r="D413" s="73"/>
      <c r="E413" s="73"/>
      <c r="F413" s="72"/>
    </row>
    <row r="414" ht="14.25" customHeight="1">
      <c r="A414" s="73"/>
      <c r="B414" s="73"/>
      <c r="C414" s="73"/>
      <c r="D414" s="73"/>
      <c r="E414" s="73"/>
      <c r="F414" s="72"/>
    </row>
    <row r="415" ht="14.25" customHeight="1">
      <c r="A415" s="73"/>
      <c r="B415" s="73"/>
      <c r="C415" s="73"/>
      <c r="D415" s="73"/>
      <c r="E415" s="73"/>
      <c r="F415" s="72"/>
    </row>
    <row r="416" ht="14.25" customHeight="1">
      <c r="A416" s="73"/>
      <c r="B416" s="73"/>
      <c r="C416" s="73"/>
      <c r="D416" s="73"/>
      <c r="E416" s="73"/>
      <c r="F416" s="72"/>
    </row>
    <row r="417" ht="14.25" customHeight="1">
      <c r="A417" s="73"/>
      <c r="B417" s="73"/>
      <c r="C417" s="73"/>
      <c r="D417" s="73"/>
      <c r="E417" s="73"/>
      <c r="F417" s="72"/>
    </row>
    <row r="418" ht="14.25" customHeight="1">
      <c r="A418" s="73"/>
      <c r="B418" s="73"/>
      <c r="C418" s="73"/>
      <c r="D418" s="73"/>
      <c r="E418" s="73"/>
      <c r="F418" s="72"/>
    </row>
    <row r="419" ht="14.25" customHeight="1">
      <c r="A419" s="73"/>
      <c r="B419" s="73"/>
      <c r="C419" s="73"/>
      <c r="D419" s="73"/>
      <c r="E419" s="73"/>
      <c r="F419" s="72"/>
    </row>
    <row r="420" ht="14.25" customHeight="1">
      <c r="A420" s="73"/>
      <c r="B420" s="73"/>
      <c r="C420" s="73"/>
      <c r="D420" s="73"/>
      <c r="E420" s="73"/>
      <c r="F420" s="72"/>
    </row>
    <row r="421" ht="14.25" customHeight="1">
      <c r="A421" s="73"/>
      <c r="B421" s="73"/>
      <c r="C421" s="73"/>
      <c r="D421" s="73"/>
      <c r="E421" s="73"/>
      <c r="F421" s="72"/>
    </row>
    <row r="422" ht="14.25" customHeight="1">
      <c r="A422" s="73"/>
      <c r="B422" s="73"/>
      <c r="C422" s="73"/>
      <c r="D422" s="73"/>
      <c r="E422" s="73"/>
      <c r="F422" s="72"/>
    </row>
    <row r="423" ht="14.25" customHeight="1">
      <c r="A423" s="73"/>
      <c r="B423" s="73"/>
      <c r="C423" s="73"/>
      <c r="D423" s="73"/>
      <c r="E423" s="73"/>
      <c r="F423" s="72"/>
    </row>
    <row r="424" ht="14.25" customHeight="1">
      <c r="A424" s="73"/>
      <c r="B424" s="73"/>
      <c r="C424" s="73"/>
      <c r="D424" s="73"/>
      <c r="E424" s="73"/>
      <c r="F424" s="72"/>
    </row>
    <row r="425" ht="14.25" customHeight="1">
      <c r="A425" s="73"/>
      <c r="B425" s="73"/>
      <c r="C425" s="73"/>
      <c r="D425" s="73"/>
      <c r="E425" s="73"/>
      <c r="F425" s="72"/>
    </row>
    <row r="426" ht="14.25" customHeight="1">
      <c r="A426" s="73"/>
      <c r="B426" s="73"/>
      <c r="C426" s="73"/>
      <c r="D426" s="73"/>
      <c r="E426" s="73"/>
      <c r="F426" s="72"/>
    </row>
    <row r="427" ht="14.25" customHeight="1">
      <c r="A427" s="73"/>
      <c r="B427" s="73"/>
      <c r="C427" s="73"/>
      <c r="D427" s="73"/>
      <c r="E427" s="73"/>
      <c r="F427" s="72"/>
    </row>
    <row r="428" ht="14.25" customHeight="1">
      <c r="A428" s="73"/>
      <c r="B428" s="73"/>
      <c r="C428" s="73"/>
      <c r="D428" s="73"/>
      <c r="E428" s="73"/>
      <c r="F428" s="72"/>
    </row>
    <row r="429" ht="14.25" customHeight="1">
      <c r="A429" s="73"/>
      <c r="B429" s="73"/>
      <c r="C429" s="73"/>
      <c r="D429" s="73"/>
      <c r="E429" s="73"/>
      <c r="F429" s="72"/>
    </row>
    <row r="430" ht="14.25" customHeight="1">
      <c r="A430" s="73"/>
      <c r="B430" s="73"/>
      <c r="C430" s="73"/>
      <c r="D430" s="73"/>
      <c r="E430" s="73"/>
      <c r="F430" s="72"/>
    </row>
    <row r="431" ht="14.25" customHeight="1">
      <c r="A431" s="73"/>
      <c r="B431" s="73"/>
      <c r="C431" s="73"/>
      <c r="D431" s="73"/>
      <c r="E431" s="73"/>
      <c r="F431" s="72"/>
    </row>
    <row r="432" ht="14.25" customHeight="1">
      <c r="A432" s="73"/>
      <c r="B432" s="73"/>
      <c r="C432" s="73"/>
      <c r="D432" s="73"/>
      <c r="E432" s="73"/>
      <c r="F432" s="72"/>
    </row>
    <row r="433" ht="14.25" customHeight="1">
      <c r="A433" s="73"/>
      <c r="B433" s="73"/>
      <c r="C433" s="73"/>
      <c r="D433" s="73"/>
      <c r="E433" s="73"/>
      <c r="F433" s="72"/>
    </row>
    <row r="434" ht="14.25" customHeight="1">
      <c r="A434" s="73"/>
      <c r="B434" s="73"/>
      <c r="C434" s="73"/>
      <c r="D434" s="73"/>
      <c r="E434" s="73"/>
      <c r="F434" s="72"/>
    </row>
    <row r="435" ht="14.25" customHeight="1">
      <c r="A435" s="73"/>
      <c r="B435" s="73"/>
      <c r="C435" s="73"/>
      <c r="D435" s="73"/>
      <c r="E435" s="73"/>
      <c r="F435" s="72"/>
    </row>
    <row r="436" ht="14.25" customHeight="1">
      <c r="A436" s="73"/>
      <c r="B436" s="73"/>
      <c r="C436" s="73"/>
      <c r="D436" s="73"/>
      <c r="E436" s="73"/>
      <c r="F436" s="72"/>
    </row>
    <row r="437" ht="14.25" customHeight="1">
      <c r="A437" s="73"/>
      <c r="B437" s="73"/>
      <c r="C437" s="73"/>
      <c r="D437" s="73"/>
      <c r="E437" s="73"/>
      <c r="F437" s="72"/>
    </row>
    <row r="438" ht="14.25" customHeight="1">
      <c r="A438" s="73"/>
      <c r="B438" s="73"/>
      <c r="C438" s="73"/>
      <c r="D438" s="73"/>
      <c r="E438" s="73"/>
      <c r="F438" s="72"/>
    </row>
    <row r="439" ht="14.25" customHeight="1">
      <c r="A439" s="73"/>
      <c r="B439" s="73"/>
      <c r="C439" s="73"/>
      <c r="D439" s="73"/>
      <c r="E439" s="73"/>
      <c r="F439" s="72"/>
    </row>
    <row r="440" ht="14.25" customHeight="1">
      <c r="A440" s="73"/>
      <c r="B440" s="73"/>
      <c r="C440" s="73"/>
      <c r="D440" s="73"/>
      <c r="E440" s="73"/>
      <c r="F440" s="72"/>
    </row>
    <row r="441" ht="14.25" customHeight="1">
      <c r="A441" s="73"/>
      <c r="B441" s="73"/>
      <c r="C441" s="73"/>
      <c r="D441" s="73"/>
      <c r="E441" s="73"/>
      <c r="F441" s="72"/>
    </row>
    <row r="442" ht="14.25" customHeight="1">
      <c r="A442" s="73"/>
      <c r="B442" s="73"/>
      <c r="C442" s="73"/>
      <c r="D442" s="73"/>
      <c r="E442" s="73"/>
      <c r="F442" s="72"/>
    </row>
    <row r="443" ht="14.25" customHeight="1">
      <c r="A443" s="73"/>
      <c r="B443" s="73"/>
      <c r="C443" s="73"/>
      <c r="D443" s="73"/>
      <c r="E443" s="73"/>
      <c r="F443" s="72"/>
    </row>
    <row r="444" ht="14.25" customHeight="1">
      <c r="A444" s="73"/>
      <c r="B444" s="73"/>
      <c r="C444" s="73"/>
      <c r="D444" s="73"/>
      <c r="E444" s="73"/>
      <c r="F444" s="72"/>
    </row>
    <row r="445" ht="14.25" customHeight="1">
      <c r="A445" s="73"/>
      <c r="B445" s="73"/>
      <c r="C445" s="73"/>
      <c r="D445" s="73"/>
      <c r="E445" s="73"/>
      <c r="F445" s="72"/>
    </row>
    <row r="446" ht="14.25" customHeight="1">
      <c r="A446" s="73"/>
      <c r="B446" s="73"/>
      <c r="C446" s="73"/>
      <c r="D446" s="73"/>
      <c r="E446" s="73"/>
      <c r="F446" s="72"/>
    </row>
    <row r="447" ht="14.25" customHeight="1">
      <c r="A447" s="73"/>
      <c r="B447" s="73"/>
      <c r="C447" s="73"/>
      <c r="D447" s="73"/>
      <c r="E447" s="73"/>
      <c r="F447" s="72"/>
    </row>
    <row r="448" ht="14.25" customHeight="1">
      <c r="A448" s="73"/>
      <c r="B448" s="73"/>
      <c r="C448" s="73"/>
      <c r="D448" s="73"/>
      <c r="E448" s="73"/>
      <c r="F448" s="72"/>
    </row>
    <row r="449" ht="14.25" customHeight="1">
      <c r="A449" s="73"/>
      <c r="B449" s="73"/>
      <c r="C449" s="73"/>
      <c r="D449" s="73"/>
      <c r="E449" s="73"/>
      <c r="F449" s="72"/>
    </row>
    <row r="450" ht="14.25" customHeight="1">
      <c r="A450" s="73"/>
      <c r="B450" s="73"/>
      <c r="C450" s="73"/>
      <c r="D450" s="73"/>
      <c r="E450" s="73"/>
      <c r="F450" s="72"/>
    </row>
    <row r="451" ht="14.25" customHeight="1">
      <c r="A451" s="73"/>
      <c r="B451" s="73"/>
      <c r="C451" s="73"/>
      <c r="D451" s="73"/>
      <c r="E451" s="73"/>
      <c r="F451" s="72"/>
    </row>
    <row r="452" ht="14.25" customHeight="1">
      <c r="A452" s="73"/>
      <c r="B452" s="73"/>
      <c r="C452" s="73"/>
      <c r="D452" s="73"/>
      <c r="E452" s="73"/>
      <c r="F452" s="72"/>
    </row>
    <row r="453" ht="14.25" customHeight="1">
      <c r="A453" s="73"/>
      <c r="B453" s="73"/>
      <c r="C453" s="73"/>
      <c r="D453" s="73"/>
      <c r="E453" s="73"/>
      <c r="F453" s="72"/>
    </row>
    <row r="454" ht="14.25" customHeight="1">
      <c r="A454" s="73"/>
      <c r="B454" s="73"/>
      <c r="C454" s="73"/>
      <c r="D454" s="73"/>
      <c r="E454" s="73"/>
      <c r="F454" s="72"/>
    </row>
    <row r="455" ht="14.25" customHeight="1">
      <c r="A455" s="73"/>
      <c r="B455" s="73"/>
      <c r="C455" s="73"/>
      <c r="D455" s="73"/>
      <c r="E455" s="73"/>
      <c r="F455" s="72"/>
    </row>
    <row r="456" ht="14.25" customHeight="1">
      <c r="A456" s="73"/>
      <c r="B456" s="73"/>
      <c r="C456" s="73"/>
      <c r="D456" s="73"/>
      <c r="E456" s="73"/>
      <c r="F456" s="72"/>
    </row>
    <row r="457" ht="14.25" customHeight="1">
      <c r="A457" s="73"/>
      <c r="B457" s="73"/>
      <c r="C457" s="73"/>
      <c r="D457" s="73"/>
      <c r="E457" s="73"/>
      <c r="F457" s="72"/>
    </row>
    <row r="458" ht="14.25" customHeight="1">
      <c r="A458" s="73"/>
      <c r="B458" s="73"/>
      <c r="C458" s="73"/>
      <c r="D458" s="73"/>
      <c r="E458" s="73"/>
      <c r="F458" s="72"/>
    </row>
    <row r="459" ht="14.25" customHeight="1">
      <c r="A459" s="73"/>
      <c r="B459" s="73"/>
      <c r="C459" s="73"/>
      <c r="D459" s="73"/>
      <c r="E459" s="73"/>
      <c r="F459" s="72"/>
    </row>
    <row r="460" ht="14.25" customHeight="1">
      <c r="A460" s="73"/>
      <c r="B460" s="73"/>
      <c r="C460" s="73"/>
      <c r="D460" s="73"/>
      <c r="E460" s="73"/>
      <c r="F460" s="72"/>
    </row>
    <row r="461" ht="14.25" customHeight="1">
      <c r="A461" s="73"/>
      <c r="B461" s="73"/>
      <c r="C461" s="73"/>
      <c r="D461" s="73"/>
      <c r="E461" s="73"/>
      <c r="F461" s="72"/>
    </row>
    <row r="462" ht="14.25" customHeight="1">
      <c r="A462" s="73"/>
      <c r="B462" s="73"/>
      <c r="C462" s="73"/>
      <c r="D462" s="73"/>
      <c r="E462" s="73"/>
      <c r="F462" s="72"/>
    </row>
    <row r="463" ht="14.25" customHeight="1">
      <c r="A463" s="73"/>
      <c r="B463" s="73"/>
      <c r="C463" s="73"/>
      <c r="D463" s="73"/>
      <c r="E463" s="73"/>
      <c r="F463" s="72"/>
    </row>
    <row r="464" ht="14.25" customHeight="1">
      <c r="A464" s="73"/>
      <c r="B464" s="73"/>
      <c r="C464" s="73"/>
      <c r="D464" s="73"/>
      <c r="E464" s="73"/>
      <c r="F464" s="72"/>
    </row>
    <row r="465" ht="14.25" customHeight="1">
      <c r="A465" s="73"/>
      <c r="B465" s="73"/>
      <c r="C465" s="73"/>
      <c r="D465" s="73"/>
      <c r="E465" s="73"/>
      <c r="F465" s="72"/>
    </row>
    <row r="466" ht="14.25" customHeight="1">
      <c r="A466" s="73"/>
      <c r="B466" s="73"/>
      <c r="C466" s="73"/>
      <c r="D466" s="73"/>
      <c r="E466" s="73"/>
      <c r="F466" s="72"/>
    </row>
    <row r="467" ht="14.25" customHeight="1">
      <c r="A467" s="73"/>
      <c r="B467" s="73"/>
      <c r="C467" s="73"/>
      <c r="D467" s="73"/>
      <c r="E467" s="73"/>
      <c r="F467" s="72"/>
    </row>
    <row r="468" ht="14.25" customHeight="1">
      <c r="A468" s="73"/>
      <c r="B468" s="73"/>
      <c r="C468" s="73"/>
      <c r="D468" s="73"/>
      <c r="E468" s="73"/>
      <c r="F468" s="72"/>
    </row>
    <row r="469" ht="14.25" customHeight="1">
      <c r="A469" s="73"/>
      <c r="B469" s="73"/>
      <c r="C469" s="73"/>
      <c r="D469" s="73"/>
      <c r="E469" s="73"/>
      <c r="F469" s="72"/>
    </row>
    <row r="470" ht="14.25" customHeight="1">
      <c r="A470" s="73"/>
      <c r="B470" s="73"/>
      <c r="C470" s="73"/>
      <c r="D470" s="73"/>
      <c r="E470" s="73"/>
      <c r="F470" s="72"/>
    </row>
    <row r="471" ht="14.25" customHeight="1">
      <c r="A471" s="73"/>
      <c r="B471" s="73"/>
      <c r="C471" s="73"/>
      <c r="D471" s="73"/>
      <c r="E471" s="73"/>
      <c r="F471" s="72"/>
    </row>
    <row r="472" ht="14.25" customHeight="1">
      <c r="A472" s="73"/>
      <c r="B472" s="73"/>
      <c r="C472" s="73"/>
      <c r="D472" s="73"/>
      <c r="E472" s="73"/>
      <c r="F472" s="72"/>
    </row>
    <row r="473" ht="14.25" customHeight="1">
      <c r="A473" s="73"/>
      <c r="B473" s="73"/>
      <c r="C473" s="73"/>
      <c r="D473" s="73"/>
      <c r="E473" s="73"/>
      <c r="F473" s="72"/>
    </row>
    <row r="474" ht="14.25" customHeight="1">
      <c r="A474" s="73"/>
      <c r="B474" s="73"/>
      <c r="C474" s="73"/>
      <c r="D474" s="73"/>
      <c r="E474" s="73"/>
      <c r="F474" s="72"/>
    </row>
    <row r="475" ht="14.25" customHeight="1">
      <c r="A475" s="73"/>
      <c r="B475" s="73"/>
      <c r="C475" s="73"/>
      <c r="D475" s="73"/>
      <c r="E475" s="73"/>
      <c r="F475" s="72"/>
    </row>
    <row r="476" ht="14.25" customHeight="1">
      <c r="A476" s="73"/>
      <c r="B476" s="73"/>
      <c r="C476" s="73"/>
      <c r="D476" s="73"/>
      <c r="E476" s="73"/>
      <c r="F476" s="72"/>
    </row>
    <row r="477" ht="14.25" customHeight="1">
      <c r="A477" s="73"/>
      <c r="B477" s="73"/>
      <c r="C477" s="73"/>
      <c r="D477" s="73"/>
      <c r="E477" s="73"/>
      <c r="F477" s="72"/>
    </row>
    <row r="478" ht="14.25" customHeight="1">
      <c r="A478" s="73"/>
      <c r="B478" s="73"/>
      <c r="C478" s="73"/>
      <c r="D478" s="73"/>
      <c r="E478" s="73"/>
      <c r="F478" s="72"/>
    </row>
    <row r="479" ht="14.25" customHeight="1">
      <c r="A479" s="73"/>
      <c r="B479" s="73"/>
      <c r="C479" s="73"/>
      <c r="D479" s="73"/>
      <c r="E479" s="73"/>
      <c r="F479" s="72"/>
    </row>
    <row r="480" ht="14.25" customHeight="1">
      <c r="A480" s="73"/>
      <c r="B480" s="73"/>
      <c r="C480" s="73"/>
      <c r="D480" s="73"/>
      <c r="E480" s="73"/>
      <c r="F480" s="72"/>
    </row>
    <row r="481" ht="14.25" customHeight="1">
      <c r="A481" s="73"/>
      <c r="B481" s="73"/>
      <c r="C481" s="73"/>
      <c r="D481" s="73"/>
      <c r="E481" s="73"/>
      <c r="F481" s="72"/>
    </row>
    <row r="482" ht="14.25" customHeight="1">
      <c r="A482" s="73"/>
      <c r="B482" s="73"/>
      <c r="C482" s="73"/>
      <c r="D482" s="73"/>
      <c r="E482" s="73"/>
      <c r="F482" s="72"/>
    </row>
    <row r="483" ht="14.25" customHeight="1">
      <c r="A483" s="73"/>
      <c r="B483" s="73"/>
      <c r="C483" s="73"/>
      <c r="D483" s="73"/>
      <c r="E483" s="73"/>
      <c r="F483" s="72"/>
    </row>
    <row r="484" ht="14.25" customHeight="1">
      <c r="A484" s="73"/>
      <c r="B484" s="73"/>
      <c r="C484" s="73"/>
      <c r="D484" s="73"/>
      <c r="E484" s="73"/>
      <c r="F484" s="72"/>
    </row>
    <row r="485" ht="14.25" customHeight="1">
      <c r="A485" s="73"/>
      <c r="B485" s="73"/>
      <c r="C485" s="73"/>
      <c r="D485" s="73"/>
      <c r="E485" s="73"/>
      <c r="F485" s="72"/>
    </row>
    <row r="486" ht="14.25" customHeight="1">
      <c r="A486" s="73"/>
      <c r="B486" s="73"/>
      <c r="C486" s="73"/>
      <c r="D486" s="73"/>
      <c r="E486" s="73"/>
      <c r="F486" s="72"/>
    </row>
    <row r="487" ht="14.25" customHeight="1">
      <c r="A487" s="73"/>
      <c r="B487" s="73"/>
      <c r="C487" s="73"/>
      <c r="D487" s="73"/>
      <c r="E487" s="73"/>
      <c r="F487" s="72"/>
    </row>
    <row r="488" ht="14.25" customHeight="1">
      <c r="A488" s="73"/>
      <c r="B488" s="73"/>
      <c r="C488" s="73"/>
      <c r="D488" s="73"/>
      <c r="E488" s="73"/>
      <c r="F488" s="72"/>
    </row>
    <row r="489" ht="14.25" customHeight="1">
      <c r="A489" s="73"/>
      <c r="B489" s="73"/>
      <c r="C489" s="73"/>
      <c r="D489" s="73"/>
      <c r="E489" s="73"/>
      <c r="F489" s="72"/>
    </row>
    <row r="490" ht="14.25" customHeight="1">
      <c r="A490" s="73"/>
      <c r="B490" s="73"/>
      <c r="C490" s="73"/>
      <c r="D490" s="73"/>
      <c r="E490" s="73"/>
      <c r="F490" s="72"/>
    </row>
    <row r="491" ht="14.25" customHeight="1">
      <c r="A491" s="73"/>
      <c r="B491" s="73"/>
      <c r="C491" s="73"/>
      <c r="D491" s="73"/>
      <c r="E491" s="73"/>
      <c r="F491" s="72"/>
    </row>
    <row r="492" ht="14.25" customHeight="1">
      <c r="A492" s="73"/>
      <c r="B492" s="73"/>
      <c r="C492" s="73"/>
      <c r="D492" s="73"/>
      <c r="E492" s="73"/>
      <c r="F492" s="72"/>
    </row>
    <row r="493" ht="14.25" customHeight="1">
      <c r="A493" s="73"/>
      <c r="B493" s="73"/>
      <c r="C493" s="73"/>
      <c r="D493" s="73"/>
      <c r="E493" s="73"/>
      <c r="F493" s="72"/>
    </row>
    <row r="494" ht="14.25" customHeight="1">
      <c r="A494" s="73"/>
      <c r="B494" s="73"/>
      <c r="C494" s="73"/>
      <c r="D494" s="73"/>
      <c r="E494" s="73"/>
      <c r="F494" s="72"/>
    </row>
    <row r="495" ht="14.25" customHeight="1">
      <c r="A495" s="73"/>
      <c r="B495" s="73"/>
      <c r="C495" s="73"/>
      <c r="D495" s="73"/>
      <c r="E495" s="73"/>
      <c r="F495" s="72"/>
    </row>
    <row r="496" ht="14.25" customHeight="1">
      <c r="A496" s="73"/>
      <c r="B496" s="73"/>
      <c r="C496" s="73"/>
      <c r="D496" s="73"/>
      <c r="E496" s="73"/>
      <c r="F496" s="72"/>
    </row>
    <row r="497" ht="14.25" customHeight="1">
      <c r="A497" s="73"/>
      <c r="B497" s="73"/>
      <c r="C497" s="73"/>
      <c r="D497" s="73"/>
      <c r="E497" s="73"/>
      <c r="F497" s="72"/>
    </row>
    <row r="498" ht="14.25" customHeight="1">
      <c r="A498" s="73"/>
      <c r="B498" s="73"/>
      <c r="C498" s="73"/>
      <c r="D498" s="73"/>
      <c r="E498" s="73"/>
      <c r="F498" s="72"/>
    </row>
    <row r="499" ht="14.25" customHeight="1">
      <c r="A499" s="73"/>
      <c r="B499" s="73"/>
      <c r="C499" s="73"/>
      <c r="D499" s="73"/>
      <c r="E499" s="73"/>
      <c r="F499" s="72"/>
    </row>
    <row r="500" ht="14.25" customHeight="1">
      <c r="A500" s="73"/>
      <c r="B500" s="73"/>
      <c r="C500" s="73"/>
      <c r="D500" s="73"/>
      <c r="E500" s="73"/>
      <c r="F500" s="72"/>
    </row>
    <row r="501" ht="14.25" customHeight="1">
      <c r="A501" s="73"/>
      <c r="B501" s="73"/>
      <c r="C501" s="73"/>
      <c r="D501" s="73"/>
      <c r="E501" s="73"/>
      <c r="F501" s="72"/>
    </row>
    <row r="502" ht="14.25" customHeight="1">
      <c r="A502" s="73"/>
      <c r="B502" s="73"/>
      <c r="C502" s="73"/>
      <c r="D502" s="73"/>
      <c r="E502" s="73"/>
      <c r="F502" s="72"/>
    </row>
    <row r="503" ht="14.25" customHeight="1">
      <c r="A503" s="73"/>
      <c r="B503" s="73"/>
      <c r="C503" s="73"/>
      <c r="D503" s="73"/>
      <c r="E503" s="73"/>
      <c r="F503" s="72"/>
    </row>
    <row r="504" ht="14.25" customHeight="1">
      <c r="A504" s="73"/>
      <c r="B504" s="73"/>
      <c r="C504" s="73"/>
      <c r="D504" s="73"/>
      <c r="E504" s="73"/>
      <c r="F504" s="72"/>
    </row>
    <row r="505" ht="14.25" customHeight="1">
      <c r="A505" s="73"/>
      <c r="B505" s="73"/>
      <c r="C505" s="73"/>
      <c r="D505" s="73"/>
      <c r="E505" s="73"/>
      <c r="F505" s="72"/>
    </row>
    <row r="506" ht="14.25" customHeight="1">
      <c r="A506" s="73"/>
      <c r="B506" s="73"/>
      <c r="C506" s="73"/>
      <c r="D506" s="73"/>
      <c r="E506" s="73"/>
      <c r="F506" s="72"/>
    </row>
    <row r="507" ht="14.25" customHeight="1">
      <c r="A507" s="73"/>
      <c r="B507" s="73"/>
      <c r="C507" s="73"/>
      <c r="D507" s="73"/>
      <c r="E507" s="73"/>
      <c r="F507" s="72"/>
    </row>
    <row r="508" ht="14.25" customHeight="1">
      <c r="A508" s="73"/>
      <c r="B508" s="73"/>
      <c r="C508" s="73"/>
      <c r="D508" s="73"/>
      <c r="E508" s="73"/>
      <c r="F508" s="72"/>
    </row>
    <row r="509" ht="14.25" customHeight="1">
      <c r="A509" s="73"/>
      <c r="B509" s="73"/>
      <c r="C509" s="73"/>
      <c r="D509" s="73"/>
      <c r="E509" s="73"/>
      <c r="F509" s="72"/>
    </row>
    <row r="510" ht="14.25" customHeight="1">
      <c r="A510" s="73"/>
      <c r="B510" s="73"/>
      <c r="C510" s="73"/>
      <c r="D510" s="73"/>
      <c r="E510" s="73"/>
      <c r="F510" s="72"/>
    </row>
    <row r="511" ht="14.25" customHeight="1">
      <c r="A511" s="73"/>
      <c r="B511" s="73"/>
      <c r="C511" s="73"/>
      <c r="D511" s="73"/>
      <c r="E511" s="73"/>
      <c r="F511" s="72"/>
    </row>
    <row r="512" ht="14.25" customHeight="1">
      <c r="A512" s="73"/>
      <c r="B512" s="73"/>
      <c r="C512" s="73"/>
      <c r="D512" s="73"/>
      <c r="E512" s="73"/>
      <c r="F512" s="72"/>
    </row>
    <row r="513" ht="14.25" customHeight="1">
      <c r="A513" s="73"/>
      <c r="B513" s="73"/>
      <c r="C513" s="73"/>
      <c r="D513" s="73"/>
      <c r="E513" s="73"/>
      <c r="F513" s="72"/>
    </row>
    <row r="514" ht="14.25" customHeight="1">
      <c r="A514" s="73"/>
      <c r="B514" s="73"/>
      <c r="C514" s="73"/>
      <c r="D514" s="73"/>
      <c r="E514" s="73"/>
      <c r="F514" s="72"/>
    </row>
    <row r="515" ht="14.25" customHeight="1">
      <c r="A515" s="73"/>
      <c r="B515" s="73"/>
      <c r="C515" s="73"/>
      <c r="D515" s="73"/>
      <c r="E515" s="73"/>
      <c r="F515" s="72"/>
    </row>
    <row r="516" ht="14.25" customHeight="1">
      <c r="A516" s="73"/>
      <c r="B516" s="73"/>
      <c r="C516" s="73"/>
      <c r="D516" s="73"/>
      <c r="E516" s="73"/>
      <c r="F516" s="72"/>
    </row>
    <row r="517" ht="14.25" customHeight="1">
      <c r="A517" s="73"/>
      <c r="B517" s="73"/>
      <c r="C517" s="73"/>
      <c r="D517" s="73"/>
      <c r="E517" s="73"/>
      <c r="F517" s="72"/>
    </row>
    <row r="518" ht="14.25" customHeight="1">
      <c r="A518" s="73"/>
      <c r="B518" s="73"/>
      <c r="C518" s="73"/>
      <c r="D518" s="73"/>
      <c r="E518" s="73"/>
      <c r="F518" s="72"/>
    </row>
    <row r="519" ht="14.25" customHeight="1">
      <c r="A519" s="73"/>
      <c r="B519" s="73"/>
      <c r="C519" s="73"/>
      <c r="D519" s="73"/>
      <c r="E519" s="73"/>
      <c r="F519" s="72"/>
    </row>
    <row r="520" ht="14.25" customHeight="1">
      <c r="A520" s="73"/>
      <c r="B520" s="73"/>
      <c r="C520" s="73"/>
      <c r="D520" s="73"/>
      <c r="E520" s="73"/>
      <c r="F520" s="72"/>
    </row>
    <row r="521" ht="14.25" customHeight="1">
      <c r="A521" s="73"/>
      <c r="B521" s="73"/>
      <c r="C521" s="73"/>
      <c r="D521" s="73"/>
      <c r="E521" s="73"/>
      <c r="F521" s="72"/>
    </row>
    <row r="522" ht="14.25" customHeight="1">
      <c r="A522" s="73"/>
      <c r="B522" s="73"/>
      <c r="C522" s="73"/>
      <c r="D522" s="73"/>
      <c r="E522" s="73"/>
      <c r="F522" s="72"/>
    </row>
    <row r="523" ht="14.25" customHeight="1">
      <c r="A523" s="73"/>
      <c r="B523" s="73"/>
      <c r="C523" s="73"/>
      <c r="D523" s="73"/>
      <c r="E523" s="73"/>
      <c r="F523" s="72"/>
    </row>
    <row r="524" ht="14.25" customHeight="1">
      <c r="A524" s="73"/>
      <c r="B524" s="73"/>
      <c r="C524" s="73"/>
      <c r="D524" s="73"/>
      <c r="E524" s="73"/>
      <c r="F524" s="72"/>
    </row>
    <row r="525" ht="14.25" customHeight="1">
      <c r="A525" s="73"/>
      <c r="B525" s="73"/>
      <c r="C525" s="73"/>
      <c r="D525" s="73"/>
      <c r="E525" s="73"/>
      <c r="F525" s="72"/>
    </row>
    <row r="526" ht="14.25" customHeight="1">
      <c r="A526" s="73"/>
      <c r="B526" s="73"/>
      <c r="C526" s="73"/>
      <c r="D526" s="73"/>
      <c r="E526" s="73"/>
      <c r="F526" s="72"/>
    </row>
    <row r="527" ht="14.25" customHeight="1">
      <c r="A527" s="73"/>
      <c r="B527" s="73"/>
      <c r="C527" s="73"/>
      <c r="D527" s="73"/>
      <c r="E527" s="73"/>
      <c r="F527" s="72"/>
    </row>
    <row r="528" ht="14.25" customHeight="1">
      <c r="A528" s="73"/>
      <c r="B528" s="73"/>
      <c r="C528" s="73"/>
      <c r="D528" s="73"/>
      <c r="E528" s="73"/>
      <c r="F528" s="72"/>
    </row>
    <row r="529" ht="14.25" customHeight="1">
      <c r="A529" s="73"/>
      <c r="B529" s="73"/>
      <c r="C529" s="73"/>
      <c r="D529" s="73"/>
      <c r="E529" s="73"/>
      <c r="F529" s="72"/>
    </row>
    <row r="530" ht="14.25" customHeight="1">
      <c r="A530" s="73"/>
      <c r="B530" s="73"/>
      <c r="C530" s="73"/>
      <c r="D530" s="73"/>
      <c r="E530" s="73"/>
      <c r="F530" s="72"/>
    </row>
    <row r="531" ht="14.25" customHeight="1">
      <c r="A531" s="73"/>
      <c r="B531" s="73"/>
      <c r="C531" s="73"/>
      <c r="D531" s="73"/>
      <c r="E531" s="73"/>
      <c r="F531" s="72"/>
    </row>
    <row r="532" ht="14.25" customHeight="1">
      <c r="A532" s="73"/>
      <c r="B532" s="73"/>
      <c r="C532" s="73"/>
      <c r="D532" s="73"/>
      <c r="E532" s="73"/>
      <c r="F532" s="72"/>
    </row>
    <row r="533" ht="14.25" customHeight="1">
      <c r="A533" s="73"/>
      <c r="B533" s="73"/>
      <c r="C533" s="73"/>
      <c r="D533" s="73"/>
      <c r="E533" s="73"/>
      <c r="F533" s="72"/>
    </row>
    <row r="534" ht="14.25" customHeight="1">
      <c r="A534" s="73"/>
      <c r="B534" s="73"/>
      <c r="C534" s="73"/>
      <c r="D534" s="73"/>
      <c r="E534" s="73"/>
      <c r="F534" s="72"/>
    </row>
    <row r="535" ht="14.25" customHeight="1">
      <c r="A535" s="73"/>
      <c r="B535" s="73"/>
      <c r="C535" s="73"/>
      <c r="D535" s="73"/>
      <c r="E535" s="73"/>
      <c r="F535" s="72"/>
    </row>
    <row r="536" ht="14.25" customHeight="1">
      <c r="A536" s="73"/>
      <c r="B536" s="73"/>
      <c r="C536" s="73"/>
      <c r="D536" s="73"/>
      <c r="E536" s="73"/>
      <c r="F536" s="72"/>
    </row>
    <row r="537" ht="14.25" customHeight="1">
      <c r="A537" s="73"/>
      <c r="B537" s="73"/>
      <c r="C537" s="73"/>
      <c r="D537" s="73"/>
      <c r="E537" s="73"/>
      <c r="F537" s="72"/>
    </row>
    <row r="538" ht="14.25" customHeight="1">
      <c r="A538" s="73"/>
      <c r="B538" s="73"/>
      <c r="C538" s="73"/>
      <c r="D538" s="73"/>
      <c r="E538" s="73"/>
      <c r="F538" s="72"/>
    </row>
    <row r="539" ht="14.25" customHeight="1">
      <c r="A539" s="73"/>
      <c r="B539" s="73"/>
      <c r="C539" s="73"/>
      <c r="D539" s="73"/>
      <c r="E539" s="73"/>
      <c r="F539" s="72"/>
    </row>
    <row r="540" ht="14.25" customHeight="1">
      <c r="A540" s="73"/>
      <c r="B540" s="73"/>
      <c r="C540" s="73"/>
      <c r="D540" s="73"/>
      <c r="E540" s="73"/>
      <c r="F540" s="72"/>
    </row>
    <row r="541" ht="14.25" customHeight="1">
      <c r="A541" s="73"/>
      <c r="B541" s="73"/>
      <c r="C541" s="73"/>
      <c r="D541" s="73"/>
      <c r="E541" s="73"/>
      <c r="F541" s="72"/>
    </row>
    <row r="542" ht="14.25" customHeight="1">
      <c r="A542" s="73"/>
      <c r="B542" s="73"/>
      <c r="C542" s="73"/>
      <c r="D542" s="73"/>
      <c r="E542" s="73"/>
      <c r="F542" s="72"/>
    </row>
    <row r="543" ht="14.25" customHeight="1">
      <c r="A543" s="73"/>
      <c r="B543" s="73"/>
      <c r="C543" s="73"/>
      <c r="D543" s="73"/>
      <c r="E543" s="73"/>
      <c r="F543" s="72"/>
    </row>
    <row r="544" ht="14.25" customHeight="1">
      <c r="A544" s="73"/>
      <c r="B544" s="73"/>
      <c r="C544" s="73"/>
      <c r="D544" s="73"/>
      <c r="E544" s="73"/>
      <c r="F544" s="72"/>
    </row>
    <row r="545" ht="14.25" customHeight="1">
      <c r="A545" s="73"/>
      <c r="B545" s="73"/>
      <c r="C545" s="73"/>
      <c r="D545" s="73"/>
      <c r="E545" s="73"/>
      <c r="F545" s="72"/>
    </row>
    <row r="546" ht="14.25" customHeight="1">
      <c r="A546" s="73"/>
      <c r="B546" s="73"/>
      <c r="C546" s="73"/>
      <c r="D546" s="73"/>
      <c r="E546" s="73"/>
      <c r="F546" s="72"/>
    </row>
    <row r="547" ht="14.25" customHeight="1">
      <c r="A547" s="73"/>
      <c r="B547" s="73"/>
      <c r="C547" s="73"/>
      <c r="D547" s="73"/>
      <c r="E547" s="73"/>
      <c r="F547" s="72"/>
    </row>
    <row r="548" ht="14.25" customHeight="1">
      <c r="A548" s="73"/>
      <c r="B548" s="73"/>
      <c r="C548" s="73"/>
      <c r="D548" s="73"/>
      <c r="E548" s="73"/>
      <c r="F548" s="72"/>
    </row>
    <row r="549" ht="14.25" customHeight="1">
      <c r="A549" s="73"/>
      <c r="B549" s="73"/>
      <c r="C549" s="73"/>
      <c r="D549" s="73"/>
      <c r="E549" s="73"/>
      <c r="F549" s="72"/>
    </row>
    <row r="550" ht="14.25" customHeight="1">
      <c r="A550" s="73"/>
      <c r="B550" s="73"/>
      <c r="C550" s="73"/>
      <c r="D550" s="73"/>
      <c r="E550" s="73"/>
      <c r="F550" s="72"/>
    </row>
    <row r="551" ht="14.25" customHeight="1">
      <c r="A551" s="73"/>
      <c r="B551" s="73"/>
      <c r="C551" s="73"/>
      <c r="D551" s="73"/>
      <c r="E551" s="73"/>
      <c r="F551" s="72"/>
    </row>
    <row r="552" ht="14.25" customHeight="1">
      <c r="A552" s="73"/>
      <c r="B552" s="73"/>
      <c r="C552" s="73"/>
      <c r="D552" s="73"/>
      <c r="E552" s="73"/>
      <c r="F552" s="72"/>
    </row>
    <row r="553" ht="14.25" customHeight="1">
      <c r="A553" s="73"/>
      <c r="B553" s="73"/>
      <c r="C553" s="73"/>
      <c r="D553" s="73"/>
      <c r="E553" s="73"/>
      <c r="F553" s="72"/>
    </row>
    <row r="554" ht="14.25" customHeight="1">
      <c r="A554" s="73"/>
      <c r="B554" s="73"/>
      <c r="C554" s="73"/>
      <c r="D554" s="73"/>
      <c r="E554" s="73"/>
      <c r="F554" s="72"/>
    </row>
    <row r="555" ht="14.25" customHeight="1">
      <c r="A555" s="73"/>
      <c r="B555" s="73"/>
      <c r="C555" s="73"/>
      <c r="D555" s="73"/>
      <c r="E555" s="73"/>
      <c r="F555" s="72"/>
    </row>
    <row r="556" ht="14.25" customHeight="1">
      <c r="A556" s="73"/>
      <c r="B556" s="73"/>
      <c r="C556" s="73"/>
      <c r="D556" s="73"/>
      <c r="E556" s="73"/>
      <c r="F556" s="72"/>
    </row>
    <row r="557" ht="14.25" customHeight="1">
      <c r="A557" s="73"/>
      <c r="B557" s="73"/>
      <c r="C557" s="73"/>
      <c r="D557" s="73"/>
      <c r="E557" s="73"/>
      <c r="F557" s="72"/>
    </row>
    <row r="558" ht="14.25" customHeight="1">
      <c r="A558" s="73"/>
      <c r="B558" s="73"/>
      <c r="C558" s="73"/>
      <c r="D558" s="73"/>
      <c r="E558" s="73"/>
      <c r="F558" s="72"/>
    </row>
    <row r="559" ht="14.25" customHeight="1">
      <c r="A559" s="73"/>
      <c r="B559" s="73"/>
      <c r="C559" s="73"/>
      <c r="D559" s="73"/>
      <c r="E559" s="73"/>
      <c r="F559" s="72"/>
    </row>
    <row r="560" ht="14.25" customHeight="1">
      <c r="A560" s="73"/>
      <c r="B560" s="73"/>
      <c r="C560" s="73"/>
      <c r="D560" s="73"/>
      <c r="E560" s="73"/>
      <c r="F560" s="72"/>
    </row>
    <row r="561" ht="14.25" customHeight="1">
      <c r="A561" s="73"/>
      <c r="B561" s="73"/>
      <c r="C561" s="73"/>
      <c r="D561" s="73"/>
      <c r="E561" s="73"/>
      <c r="F561" s="72"/>
    </row>
    <row r="562" ht="14.25" customHeight="1">
      <c r="A562" s="73"/>
      <c r="B562" s="73"/>
      <c r="C562" s="73"/>
      <c r="D562" s="73"/>
      <c r="E562" s="73"/>
      <c r="F562" s="72"/>
    </row>
    <row r="563" ht="14.25" customHeight="1">
      <c r="A563" s="73"/>
      <c r="B563" s="73"/>
      <c r="C563" s="73"/>
      <c r="D563" s="73"/>
      <c r="E563" s="73"/>
      <c r="F563" s="72"/>
    </row>
    <row r="564" ht="14.25" customHeight="1">
      <c r="A564" s="73"/>
      <c r="B564" s="73"/>
      <c r="C564" s="73"/>
      <c r="D564" s="73"/>
      <c r="E564" s="73"/>
      <c r="F564" s="72"/>
    </row>
    <row r="565" ht="14.25" customHeight="1">
      <c r="A565" s="73"/>
      <c r="B565" s="73"/>
      <c r="C565" s="73"/>
      <c r="D565" s="73"/>
      <c r="E565" s="73"/>
      <c r="F565" s="72"/>
    </row>
    <row r="566" ht="14.25" customHeight="1">
      <c r="A566" s="73"/>
      <c r="B566" s="73"/>
      <c r="C566" s="73"/>
      <c r="D566" s="73"/>
      <c r="E566" s="73"/>
      <c r="F566" s="72"/>
    </row>
    <row r="567" ht="14.25" customHeight="1">
      <c r="A567" s="73"/>
      <c r="B567" s="73"/>
      <c r="C567" s="73"/>
      <c r="D567" s="73"/>
      <c r="E567" s="73"/>
      <c r="F567" s="72"/>
    </row>
    <row r="568" ht="14.25" customHeight="1">
      <c r="A568" s="73"/>
      <c r="B568" s="73"/>
      <c r="C568" s="73"/>
      <c r="D568" s="73"/>
      <c r="E568" s="73"/>
      <c r="F568" s="72"/>
    </row>
    <row r="569" ht="14.25" customHeight="1">
      <c r="A569" s="73"/>
      <c r="B569" s="73"/>
      <c r="C569" s="73"/>
      <c r="D569" s="73"/>
      <c r="E569" s="73"/>
      <c r="F569" s="72"/>
    </row>
    <row r="570" ht="14.25" customHeight="1">
      <c r="A570" s="73"/>
      <c r="B570" s="73"/>
      <c r="C570" s="73"/>
      <c r="D570" s="73"/>
      <c r="E570" s="73"/>
      <c r="F570" s="72"/>
    </row>
    <row r="571" ht="14.25" customHeight="1">
      <c r="A571" s="73"/>
      <c r="B571" s="73"/>
      <c r="C571" s="73"/>
      <c r="D571" s="73"/>
      <c r="E571" s="73"/>
      <c r="F571" s="72"/>
    </row>
    <row r="572" ht="14.25" customHeight="1">
      <c r="A572" s="73"/>
      <c r="B572" s="73"/>
      <c r="C572" s="73"/>
      <c r="D572" s="73"/>
      <c r="E572" s="73"/>
      <c r="F572" s="72"/>
    </row>
    <row r="573" ht="14.25" customHeight="1">
      <c r="A573" s="73"/>
      <c r="B573" s="73"/>
      <c r="C573" s="73"/>
      <c r="D573" s="73"/>
      <c r="E573" s="73"/>
      <c r="F573" s="72"/>
    </row>
    <row r="574" ht="14.25" customHeight="1">
      <c r="A574" s="73"/>
      <c r="B574" s="73"/>
      <c r="C574" s="73"/>
      <c r="D574" s="73"/>
      <c r="E574" s="73"/>
      <c r="F574" s="72"/>
    </row>
    <row r="575" ht="14.25" customHeight="1">
      <c r="A575" s="73"/>
      <c r="B575" s="73"/>
      <c r="C575" s="73"/>
      <c r="D575" s="73"/>
      <c r="E575" s="73"/>
      <c r="F575" s="72"/>
    </row>
    <row r="576" ht="14.25" customHeight="1">
      <c r="A576" s="73"/>
      <c r="B576" s="73"/>
      <c r="C576" s="73"/>
      <c r="D576" s="73"/>
      <c r="E576" s="73"/>
      <c r="F576" s="72"/>
    </row>
    <row r="577" ht="14.25" customHeight="1">
      <c r="A577" s="73"/>
      <c r="B577" s="73"/>
      <c r="C577" s="73"/>
      <c r="D577" s="73"/>
      <c r="E577" s="73"/>
      <c r="F577" s="72"/>
    </row>
    <row r="578" ht="14.25" customHeight="1">
      <c r="A578" s="73"/>
      <c r="B578" s="73"/>
      <c r="C578" s="73"/>
      <c r="D578" s="73"/>
      <c r="E578" s="73"/>
      <c r="F578" s="72"/>
    </row>
    <row r="579" ht="14.25" customHeight="1">
      <c r="A579" s="73"/>
      <c r="B579" s="73"/>
      <c r="C579" s="73"/>
      <c r="D579" s="73"/>
      <c r="E579" s="73"/>
      <c r="F579" s="72"/>
    </row>
    <row r="580" ht="14.25" customHeight="1">
      <c r="A580" s="73"/>
      <c r="B580" s="73"/>
      <c r="C580" s="73"/>
      <c r="D580" s="73"/>
      <c r="E580" s="73"/>
      <c r="F580" s="72"/>
    </row>
    <row r="581" ht="14.25" customHeight="1">
      <c r="A581" s="73"/>
      <c r="B581" s="73"/>
      <c r="C581" s="73"/>
      <c r="D581" s="73"/>
      <c r="E581" s="73"/>
      <c r="F581" s="72"/>
    </row>
    <row r="582" ht="14.25" customHeight="1">
      <c r="A582" s="73"/>
      <c r="B582" s="73"/>
      <c r="C582" s="73"/>
      <c r="D582" s="73"/>
      <c r="E582" s="73"/>
      <c r="F582" s="72"/>
    </row>
    <row r="583" ht="14.25" customHeight="1">
      <c r="A583" s="73"/>
      <c r="B583" s="73"/>
      <c r="C583" s="73"/>
      <c r="D583" s="73"/>
      <c r="E583" s="73"/>
      <c r="F583" s="72"/>
    </row>
    <row r="584" ht="14.25" customHeight="1">
      <c r="A584" s="73"/>
      <c r="B584" s="73"/>
      <c r="C584" s="73"/>
      <c r="D584" s="73"/>
      <c r="E584" s="73"/>
      <c r="F584" s="72"/>
    </row>
    <row r="585" ht="14.25" customHeight="1">
      <c r="A585" s="73"/>
      <c r="B585" s="73"/>
      <c r="C585" s="73"/>
      <c r="D585" s="73"/>
      <c r="E585" s="73"/>
      <c r="F585" s="72"/>
    </row>
    <row r="586" ht="14.25" customHeight="1">
      <c r="A586" s="73"/>
      <c r="B586" s="73"/>
      <c r="C586" s="73"/>
      <c r="D586" s="73"/>
      <c r="E586" s="73"/>
      <c r="F586" s="72"/>
    </row>
    <row r="587" ht="14.25" customHeight="1">
      <c r="A587" s="73"/>
      <c r="B587" s="73"/>
      <c r="C587" s="73"/>
      <c r="D587" s="73"/>
      <c r="E587" s="73"/>
      <c r="F587" s="72"/>
    </row>
    <row r="588" ht="14.25" customHeight="1">
      <c r="A588" s="73"/>
      <c r="B588" s="73"/>
      <c r="C588" s="73"/>
      <c r="D588" s="73"/>
      <c r="E588" s="73"/>
      <c r="F588" s="72"/>
    </row>
    <row r="589" ht="14.25" customHeight="1">
      <c r="A589" s="73"/>
      <c r="B589" s="73"/>
      <c r="C589" s="73"/>
      <c r="D589" s="73"/>
      <c r="E589" s="73"/>
      <c r="F589" s="72"/>
    </row>
    <row r="590" ht="14.25" customHeight="1">
      <c r="A590" s="73"/>
      <c r="B590" s="73"/>
      <c r="C590" s="73"/>
      <c r="D590" s="73"/>
      <c r="E590" s="73"/>
      <c r="F590" s="72"/>
    </row>
    <row r="591" ht="14.25" customHeight="1">
      <c r="A591" s="73"/>
      <c r="B591" s="73"/>
      <c r="C591" s="73"/>
      <c r="D591" s="73"/>
      <c r="E591" s="73"/>
      <c r="F591" s="72"/>
    </row>
    <row r="592" ht="14.25" customHeight="1">
      <c r="A592" s="73"/>
      <c r="B592" s="73"/>
      <c r="C592" s="73"/>
      <c r="D592" s="73"/>
      <c r="E592" s="73"/>
      <c r="F592" s="72"/>
    </row>
    <row r="593" ht="14.25" customHeight="1">
      <c r="A593" s="73"/>
      <c r="B593" s="73"/>
      <c r="C593" s="73"/>
      <c r="D593" s="73"/>
      <c r="E593" s="73"/>
      <c r="F593" s="72"/>
    </row>
    <row r="594" ht="14.25" customHeight="1">
      <c r="A594" s="73"/>
      <c r="B594" s="73"/>
      <c r="C594" s="73"/>
      <c r="D594" s="73"/>
      <c r="E594" s="73"/>
      <c r="F594" s="72"/>
    </row>
    <row r="595" ht="14.25" customHeight="1">
      <c r="A595" s="73"/>
      <c r="B595" s="73"/>
      <c r="C595" s="73"/>
      <c r="D595" s="73"/>
      <c r="E595" s="73"/>
      <c r="F595" s="72"/>
    </row>
    <row r="596" ht="14.25" customHeight="1">
      <c r="A596" s="73"/>
      <c r="B596" s="73"/>
      <c r="C596" s="73"/>
      <c r="D596" s="73"/>
      <c r="E596" s="73"/>
      <c r="F596" s="72"/>
    </row>
    <row r="597" ht="14.25" customHeight="1">
      <c r="A597" s="73"/>
      <c r="B597" s="73"/>
      <c r="C597" s="73"/>
      <c r="D597" s="73"/>
      <c r="E597" s="73"/>
      <c r="F597" s="72"/>
    </row>
    <row r="598" ht="14.25" customHeight="1">
      <c r="A598" s="73"/>
      <c r="B598" s="73"/>
      <c r="C598" s="73"/>
      <c r="D598" s="73"/>
      <c r="E598" s="73"/>
      <c r="F598" s="72"/>
    </row>
    <row r="599" ht="14.25" customHeight="1">
      <c r="A599" s="73"/>
      <c r="B599" s="73"/>
      <c r="C599" s="73"/>
      <c r="D599" s="73"/>
      <c r="E599" s="73"/>
      <c r="F599" s="72"/>
    </row>
    <row r="600" ht="14.25" customHeight="1">
      <c r="A600" s="73"/>
      <c r="B600" s="73"/>
      <c r="C600" s="73"/>
      <c r="D600" s="73"/>
      <c r="E600" s="73"/>
      <c r="F600" s="72"/>
    </row>
    <row r="601" ht="14.25" customHeight="1">
      <c r="A601" s="73"/>
      <c r="B601" s="73"/>
      <c r="C601" s="73"/>
      <c r="D601" s="73"/>
      <c r="E601" s="73"/>
      <c r="F601" s="72"/>
    </row>
    <row r="602" ht="14.25" customHeight="1">
      <c r="A602" s="73"/>
      <c r="B602" s="73"/>
      <c r="C602" s="73"/>
      <c r="D602" s="73"/>
      <c r="E602" s="73"/>
      <c r="F602" s="72"/>
    </row>
    <row r="603" ht="14.25" customHeight="1">
      <c r="A603" s="73"/>
      <c r="B603" s="73"/>
      <c r="C603" s="73"/>
      <c r="D603" s="73"/>
      <c r="E603" s="73"/>
      <c r="F603" s="72"/>
    </row>
    <row r="604" ht="14.25" customHeight="1">
      <c r="A604" s="73"/>
      <c r="B604" s="73"/>
      <c r="C604" s="73"/>
      <c r="D604" s="73"/>
      <c r="E604" s="73"/>
      <c r="F604" s="72"/>
    </row>
    <row r="605" ht="14.25" customHeight="1">
      <c r="A605" s="73"/>
      <c r="B605" s="73"/>
      <c r="C605" s="73"/>
      <c r="D605" s="73"/>
      <c r="E605" s="73"/>
      <c r="F605" s="72"/>
    </row>
    <row r="606" ht="14.25" customHeight="1">
      <c r="A606" s="73"/>
      <c r="B606" s="73"/>
      <c r="C606" s="73"/>
      <c r="D606" s="73"/>
      <c r="E606" s="73"/>
      <c r="F606" s="72"/>
    </row>
    <row r="607" ht="14.25" customHeight="1">
      <c r="A607" s="73"/>
      <c r="B607" s="73"/>
      <c r="C607" s="73"/>
      <c r="D607" s="73"/>
      <c r="E607" s="73"/>
      <c r="F607" s="72"/>
    </row>
    <row r="608" ht="14.25" customHeight="1">
      <c r="A608" s="73"/>
      <c r="B608" s="73"/>
      <c r="C608" s="73"/>
      <c r="D608" s="73"/>
      <c r="E608" s="73"/>
      <c r="F608" s="72"/>
    </row>
    <row r="609" ht="14.25" customHeight="1">
      <c r="A609" s="73"/>
      <c r="B609" s="73"/>
      <c r="C609" s="73"/>
      <c r="D609" s="73"/>
      <c r="E609" s="73"/>
      <c r="F609" s="72"/>
    </row>
    <row r="610" ht="14.25" customHeight="1">
      <c r="A610" s="73"/>
      <c r="B610" s="73"/>
      <c r="C610" s="73"/>
      <c r="D610" s="73"/>
      <c r="E610" s="73"/>
      <c r="F610" s="72"/>
    </row>
    <row r="611" ht="14.25" customHeight="1">
      <c r="A611" s="73"/>
      <c r="B611" s="73"/>
      <c r="C611" s="73"/>
      <c r="D611" s="73"/>
      <c r="E611" s="73"/>
      <c r="F611" s="72"/>
    </row>
    <row r="612" ht="14.25" customHeight="1">
      <c r="A612" s="73"/>
      <c r="B612" s="73"/>
      <c r="C612" s="73"/>
      <c r="D612" s="73"/>
      <c r="E612" s="73"/>
      <c r="F612" s="72"/>
    </row>
    <row r="613" ht="14.25" customHeight="1">
      <c r="A613" s="73"/>
      <c r="B613" s="73"/>
      <c r="C613" s="73"/>
      <c r="D613" s="73"/>
      <c r="E613" s="73"/>
      <c r="F613" s="72"/>
    </row>
    <row r="614" ht="14.25" customHeight="1">
      <c r="A614" s="73"/>
      <c r="B614" s="73"/>
      <c r="C614" s="73"/>
      <c r="D614" s="73"/>
      <c r="E614" s="73"/>
      <c r="F614" s="72"/>
    </row>
    <row r="615" ht="14.25" customHeight="1">
      <c r="A615" s="73"/>
      <c r="B615" s="73"/>
      <c r="C615" s="73"/>
      <c r="D615" s="73"/>
      <c r="E615" s="73"/>
      <c r="F615" s="72"/>
    </row>
    <row r="616" ht="14.25" customHeight="1">
      <c r="A616" s="73"/>
      <c r="B616" s="73"/>
      <c r="C616" s="73"/>
      <c r="D616" s="73"/>
      <c r="E616" s="73"/>
      <c r="F616" s="72"/>
    </row>
    <row r="617" ht="14.25" customHeight="1">
      <c r="A617" s="73"/>
      <c r="B617" s="73"/>
      <c r="C617" s="73"/>
      <c r="D617" s="73"/>
      <c r="E617" s="73"/>
      <c r="F617" s="72"/>
    </row>
    <row r="618" ht="14.25" customHeight="1">
      <c r="A618" s="73"/>
      <c r="B618" s="73"/>
      <c r="C618" s="73"/>
      <c r="D618" s="73"/>
      <c r="E618" s="73"/>
      <c r="F618" s="72"/>
    </row>
    <row r="619" ht="14.25" customHeight="1">
      <c r="A619" s="73"/>
      <c r="B619" s="73"/>
      <c r="C619" s="73"/>
      <c r="D619" s="73"/>
      <c r="E619" s="73"/>
      <c r="F619" s="72"/>
    </row>
    <row r="620" ht="14.25" customHeight="1">
      <c r="A620" s="73"/>
      <c r="B620" s="73"/>
      <c r="C620" s="73"/>
      <c r="D620" s="73"/>
      <c r="E620" s="73"/>
      <c r="F620" s="72"/>
    </row>
    <row r="621" ht="14.25" customHeight="1">
      <c r="A621" s="73"/>
      <c r="B621" s="73"/>
      <c r="C621" s="73"/>
      <c r="D621" s="73"/>
      <c r="E621" s="73"/>
      <c r="F621" s="72"/>
    </row>
    <row r="622" ht="14.25" customHeight="1">
      <c r="A622" s="73"/>
      <c r="B622" s="73"/>
      <c r="C622" s="73"/>
      <c r="D622" s="73"/>
      <c r="E622" s="73"/>
      <c r="F622" s="72"/>
    </row>
    <row r="623" ht="14.25" customHeight="1">
      <c r="A623" s="73"/>
      <c r="B623" s="73"/>
      <c r="C623" s="73"/>
      <c r="D623" s="73"/>
      <c r="E623" s="73"/>
      <c r="F623" s="72"/>
    </row>
    <row r="624" ht="14.25" customHeight="1">
      <c r="A624" s="73"/>
      <c r="B624" s="73"/>
      <c r="C624" s="73"/>
      <c r="D624" s="73"/>
      <c r="E624" s="73"/>
      <c r="F624" s="72"/>
    </row>
    <row r="625" ht="14.25" customHeight="1">
      <c r="A625" s="73"/>
      <c r="B625" s="73"/>
      <c r="C625" s="73"/>
      <c r="D625" s="73"/>
      <c r="E625" s="73"/>
      <c r="F625" s="72"/>
    </row>
    <row r="626" ht="14.25" customHeight="1">
      <c r="A626" s="73"/>
      <c r="B626" s="73"/>
      <c r="C626" s="73"/>
      <c r="D626" s="73"/>
      <c r="E626" s="73"/>
      <c r="F626" s="72"/>
    </row>
    <row r="627" ht="14.25" customHeight="1">
      <c r="A627" s="73"/>
      <c r="B627" s="73"/>
      <c r="C627" s="73"/>
      <c r="D627" s="73"/>
      <c r="E627" s="73"/>
      <c r="F627" s="72"/>
    </row>
    <row r="628" ht="14.25" customHeight="1">
      <c r="A628" s="73"/>
      <c r="B628" s="73"/>
      <c r="C628" s="73"/>
      <c r="D628" s="73"/>
      <c r="E628" s="73"/>
      <c r="F628" s="72"/>
    </row>
    <row r="629" ht="14.25" customHeight="1">
      <c r="A629" s="73"/>
      <c r="B629" s="73"/>
      <c r="C629" s="73"/>
      <c r="D629" s="73"/>
      <c r="E629" s="73"/>
      <c r="F629" s="72"/>
    </row>
    <row r="630" ht="14.25" customHeight="1">
      <c r="A630" s="73"/>
      <c r="B630" s="73"/>
      <c r="C630" s="73"/>
      <c r="D630" s="73"/>
      <c r="E630" s="73"/>
      <c r="F630" s="72"/>
    </row>
    <row r="631" ht="14.25" customHeight="1">
      <c r="A631" s="73"/>
      <c r="B631" s="73"/>
      <c r="C631" s="73"/>
      <c r="D631" s="73"/>
      <c r="E631" s="73"/>
      <c r="F631" s="72"/>
    </row>
    <row r="632" ht="14.25" customHeight="1">
      <c r="A632" s="73"/>
      <c r="B632" s="73"/>
      <c r="C632" s="73"/>
      <c r="D632" s="73"/>
      <c r="E632" s="73"/>
      <c r="F632" s="72"/>
    </row>
    <row r="633" ht="14.25" customHeight="1">
      <c r="A633" s="73"/>
      <c r="B633" s="73"/>
      <c r="C633" s="73"/>
      <c r="D633" s="73"/>
      <c r="E633" s="73"/>
      <c r="F633" s="72"/>
    </row>
    <row r="634" ht="14.25" customHeight="1">
      <c r="A634" s="73"/>
      <c r="B634" s="73"/>
      <c r="C634" s="73"/>
      <c r="D634" s="73"/>
      <c r="E634" s="73"/>
      <c r="F634" s="72"/>
    </row>
    <row r="635" ht="14.25" customHeight="1">
      <c r="A635" s="73"/>
      <c r="B635" s="73"/>
      <c r="C635" s="73"/>
      <c r="D635" s="73"/>
      <c r="E635" s="73"/>
      <c r="F635" s="72"/>
    </row>
    <row r="636" ht="14.25" customHeight="1">
      <c r="A636" s="73"/>
      <c r="B636" s="73"/>
      <c r="C636" s="73"/>
      <c r="D636" s="73"/>
      <c r="E636" s="73"/>
      <c r="F636" s="72"/>
    </row>
    <row r="637" ht="14.25" customHeight="1">
      <c r="A637" s="73"/>
      <c r="B637" s="73"/>
      <c r="C637" s="73"/>
      <c r="D637" s="73"/>
      <c r="E637" s="73"/>
      <c r="F637" s="72"/>
    </row>
    <row r="638" ht="14.25" customHeight="1">
      <c r="A638" s="73"/>
      <c r="B638" s="73"/>
      <c r="C638" s="73"/>
      <c r="D638" s="73"/>
      <c r="E638" s="73"/>
      <c r="F638" s="72"/>
    </row>
    <row r="639" ht="14.25" customHeight="1">
      <c r="A639" s="73"/>
      <c r="B639" s="73"/>
      <c r="C639" s="73"/>
      <c r="D639" s="73"/>
      <c r="E639" s="73"/>
      <c r="F639" s="72"/>
    </row>
    <row r="640" ht="14.25" customHeight="1">
      <c r="A640" s="73"/>
      <c r="B640" s="73"/>
      <c r="C640" s="73"/>
      <c r="D640" s="73"/>
      <c r="E640" s="73"/>
      <c r="F640" s="72"/>
    </row>
    <row r="641" ht="14.25" customHeight="1">
      <c r="A641" s="73"/>
      <c r="B641" s="73"/>
      <c r="C641" s="73"/>
      <c r="D641" s="73"/>
      <c r="E641" s="73"/>
      <c r="F641" s="72"/>
    </row>
    <row r="642" ht="14.25" customHeight="1">
      <c r="A642" s="73"/>
      <c r="B642" s="73"/>
      <c r="C642" s="73"/>
      <c r="D642" s="73"/>
      <c r="E642" s="73"/>
      <c r="F642" s="72"/>
    </row>
    <row r="643" ht="14.25" customHeight="1">
      <c r="A643" s="73"/>
      <c r="B643" s="73"/>
      <c r="C643" s="73"/>
      <c r="D643" s="73"/>
      <c r="E643" s="73"/>
      <c r="F643" s="72"/>
    </row>
    <row r="644" ht="14.25" customHeight="1">
      <c r="A644" s="73"/>
      <c r="B644" s="73"/>
      <c r="C644" s="73"/>
      <c r="D644" s="73"/>
      <c r="E644" s="73"/>
      <c r="F644" s="72"/>
    </row>
    <row r="645" ht="14.25" customHeight="1">
      <c r="A645" s="73"/>
      <c r="B645" s="73"/>
      <c r="C645" s="73"/>
      <c r="D645" s="73"/>
      <c r="E645" s="73"/>
      <c r="F645" s="72"/>
    </row>
    <row r="646" ht="14.25" customHeight="1">
      <c r="A646" s="73"/>
      <c r="B646" s="73"/>
      <c r="C646" s="73"/>
      <c r="D646" s="73"/>
      <c r="E646" s="73"/>
      <c r="F646" s="72"/>
    </row>
    <row r="647" ht="14.25" customHeight="1">
      <c r="A647" s="73"/>
      <c r="B647" s="73"/>
      <c r="C647" s="73"/>
      <c r="D647" s="73"/>
      <c r="E647" s="73"/>
      <c r="F647" s="72"/>
    </row>
    <row r="648" ht="14.25" customHeight="1">
      <c r="A648" s="73"/>
      <c r="B648" s="73"/>
      <c r="C648" s="73"/>
      <c r="D648" s="73"/>
      <c r="E648" s="73"/>
      <c r="F648" s="72"/>
    </row>
    <row r="649" ht="14.25" customHeight="1">
      <c r="A649" s="73"/>
      <c r="B649" s="73"/>
      <c r="C649" s="73"/>
      <c r="D649" s="73"/>
      <c r="E649" s="73"/>
      <c r="F649" s="72"/>
    </row>
    <row r="650" ht="14.25" customHeight="1">
      <c r="A650" s="73"/>
      <c r="B650" s="73"/>
      <c r="C650" s="73"/>
      <c r="D650" s="73"/>
      <c r="E650" s="73"/>
      <c r="F650" s="72"/>
    </row>
    <row r="651" ht="14.25" customHeight="1">
      <c r="A651" s="73"/>
      <c r="B651" s="73"/>
      <c r="C651" s="73"/>
      <c r="D651" s="73"/>
      <c r="E651" s="73"/>
      <c r="F651" s="72"/>
    </row>
    <row r="652" ht="14.25" customHeight="1">
      <c r="A652" s="73"/>
      <c r="B652" s="73"/>
      <c r="C652" s="73"/>
      <c r="D652" s="73"/>
      <c r="E652" s="73"/>
      <c r="F652" s="72"/>
    </row>
    <row r="653" ht="14.25" customHeight="1">
      <c r="A653" s="73"/>
      <c r="B653" s="73"/>
      <c r="C653" s="73"/>
      <c r="D653" s="73"/>
      <c r="E653" s="73"/>
      <c r="F653" s="72"/>
    </row>
    <row r="654" ht="14.25" customHeight="1">
      <c r="A654" s="73"/>
      <c r="B654" s="73"/>
      <c r="C654" s="73"/>
      <c r="D654" s="73"/>
      <c r="E654" s="73"/>
      <c r="F654" s="72"/>
    </row>
    <row r="655" ht="14.25" customHeight="1">
      <c r="A655" s="73"/>
      <c r="B655" s="73"/>
      <c r="C655" s="73"/>
      <c r="D655" s="73"/>
      <c r="E655" s="73"/>
      <c r="F655" s="72"/>
    </row>
    <row r="656" ht="14.25" customHeight="1">
      <c r="A656" s="73"/>
      <c r="B656" s="73"/>
      <c r="C656" s="73"/>
      <c r="D656" s="73"/>
      <c r="E656" s="73"/>
      <c r="F656" s="72"/>
    </row>
    <row r="657" ht="14.25" customHeight="1">
      <c r="A657" s="73"/>
      <c r="B657" s="73"/>
      <c r="C657" s="73"/>
      <c r="D657" s="73"/>
      <c r="E657" s="73"/>
      <c r="F657" s="72"/>
    </row>
    <row r="658" ht="14.25" customHeight="1">
      <c r="A658" s="73"/>
      <c r="B658" s="73"/>
      <c r="C658" s="73"/>
      <c r="D658" s="73"/>
      <c r="E658" s="73"/>
      <c r="F658" s="72"/>
    </row>
    <row r="659" ht="14.25" customHeight="1">
      <c r="A659" s="73"/>
      <c r="B659" s="73"/>
      <c r="C659" s="73"/>
      <c r="D659" s="73"/>
      <c r="E659" s="73"/>
      <c r="F659" s="72"/>
    </row>
    <row r="660" ht="14.25" customHeight="1">
      <c r="A660" s="73"/>
      <c r="B660" s="73"/>
      <c r="C660" s="73"/>
      <c r="D660" s="73"/>
      <c r="E660" s="73"/>
      <c r="F660" s="72"/>
    </row>
    <row r="661" ht="14.25" customHeight="1">
      <c r="A661" s="73"/>
      <c r="B661" s="73"/>
      <c r="C661" s="73"/>
      <c r="D661" s="73"/>
      <c r="E661" s="73"/>
      <c r="F661" s="72"/>
    </row>
    <row r="662" ht="14.25" customHeight="1">
      <c r="A662" s="73"/>
      <c r="B662" s="73"/>
      <c r="C662" s="73"/>
      <c r="D662" s="73"/>
      <c r="E662" s="73"/>
      <c r="F662" s="72"/>
    </row>
    <row r="663" ht="14.25" customHeight="1">
      <c r="A663" s="73"/>
      <c r="B663" s="73"/>
      <c r="C663" s="73"/>
      <c r="D663" s="73"/>
      <c r="E663" s="73"/>
      <c r="F663" s="72"/>
    </row>
    <row r="664" ht="14.25" customHeight="1">
      <c r="A664" s="73"/>
      <c r="B664" s="73"/>
      <c r="C664" s="73"/>
      <c r="D664" s="73"/>
      <c r="E664" s="73"/>
      <c r="F664" s="72"/>
    </row>
    <row r="665" ht="14.25" customHeight="1">
      <c r="A665" s="73"/>
      <c r="B665" s="73"/>
      <c r="C665" s="73"/>
      <c r="D665" s="73"/>
      <c r="E665" s="73"/>
      <c r="F665" s="72"/>
    </row>
    <row r="666" ht="14.25" customHeight="1">
      <c r="A666" s="73"/>
      <c r="B666" s="73"/>
      <c r="C666" s="73"/>
      <c r="D666" s="73"/>
      <c r="E666" s="73"/>
      <c r="F666" s="72"/>
    </row>
    <row r="667" ht="14.25" customHeight="1">
      <c r="A667" s="73"/>
      <c r="B667" s="73"/>
      <c r="C667" s="73"/>
      <c r="D667" s="73"/>
      <c r="E667" s="73"/>
      <c r="F667" s="72"/>
    </row>
    <row r="668" ht="14.25" customHeight="1">
      <c r="A668" s="73"/>
      <c r="B668" s="73"/>
      <c r="C668" s="73"/>
      <c r="D668" s="73"/>
      <c r="E668" s="73"/>
      <c r="F668" s="72"/>
    </row>
    <row r="669" ht="14.25" customHeight="1">
      <c r="A669" s="73"/>
      <c r="B669" s="73"/>
      <c r="C669" s="73"/>
      <c r="D669" s="73"/>
      <c r="E669" s="73"/>
      <c r="F669" s="72"/>
    </row>
    <row r="670" ht="14.25" customHeight="1">
      <c r="A670" s="73"/>
      <c r="B670" s="73"/>
      <c r="C670" s="73"/>
      <c r="D670" s="73"/>
      <c r="E670" s="73"/>
      <c r="F670" s="72"/>
    </row>
    <row r="671" ht="14.25" customHeight="1">
      <c r="A671" s="73"/>
      <c r="B671" s="73"/>
      <c r="C671" s="73"/>
      <c r="D671" s="73"/>
      <c r="E671" s="73"/>
      <c r="F671" s="72"/>
    </row>
    <row r="672" ht="14.25" customHeight="1">
      <c r="A672" s="73"/>
      <c r="B672" s="73"/>
      <c r="C672" s="73"/>
      <c r="D672" s="73"/>
      <c r="E672" s="73"/>
      <c r="F672" s="72"/>
    </row>
    <row r="673" ht="14.25" customHeight="1">
      <c r="A673" s="73"/>
      <c r="B673" s="73"/>
      <c r="C673" s="73"/>
      <c r="D673" s="73"/>
      <c r="E673" s="73"/>
      <c r="F673" s="72"/>
    </row>
    <row r="674" ht="14.25" customHeight="1">
      <c r="A674" s="73"/>
      <c r="B674" s="73"/>
      <c r="C674" s="73"/>
      <c r="D674" s="73"/>
      <c r="E674" s="73"/>
      <c r="F674" s="72"/>
    </row>
    <row r="675" ht="14.25" customHeight="1">
      <c r="A675" s="73"/>
      <c r="B675" s="73"/>
      <c r="C675" s="73"/>
      <c r="D675" s="73"/>
      <c r="E675" s="73"/>
      <c r="F675" s="72"/>
    </row>
    <row r="676" ht="14.25" customHeight="1">
      <c r="A676" s="73"/>
      <c r="B676" s="73"/>
      <c r="C676" s="73"/>
      <c r="D676" s="73"/>
      <c r="E676" s="73"/>
      <c r="F676" s="72"/>
    </row>
    <row r="677" ht="14.25" customHeight="1">
      <c r="A677" s="73"/>
      <c r="B677" s="73"/>
      <c r="C677" s="73"/>
      <c r="D677" s="73"/>
      <c r="E677" s="73"/>
      <c r="F677" s="72"/>
    </row>
    <row r="678" ht="14.25" customHeight="1">
      <c r="A678" s="73"/>
      <c r="B678" s="73"/>
      <c r="C678" s="73"/>
      <c r="D678" s="73"/>
      <c r="E678" s="73"/>
      <c r="F678" s="72"/>
    </row>
    <row r="679" ht="14.25" customHeight="1">
      <c r="A679" s="73"/>
      <c r="B679" s="73"/>
      <c r="C679" s="73"/>
      <c r="D679" s="73"/>
      <c r="E679" s="73"/>
      <c r="F679" s="72"/>
    </row>
    <row r="680" ht="14.25" customHeight="1">
      <c r="A680" s="73"/>
      <c r="B680" s="73"/>
      <c r="C680" s="73"/>
      <c r="D680" s="73"/>
      <c r="E680" s="73"/>
      <c r="F680" s="72"/>
    </row>
    <row r="681" ht="14.25" customHeight="1">
      <c r="A681" s="73"/>
      <c r="B681" s="73"/>
      <c r="C681" s="73"/>
      <c r="D681" s="73"/>
      <c r="E681" s="73"/>
      <c r="F681" s="72"/>
    </row>
    <row r="682" ht="14.25" customHeight="1">
      <c r="A682" s="73"/>
      <c r="B682" s="73"/>
      <c r="C682" s="73"/>
      <c r="D682" s="73"/>
      <c r="E682" s="73"/>
      <c r="F682" s="72"/>
    </row>
    <row r="683" ht="14.25" customHeight="1">
      <c r="A683" s="73"/>
      <c r="B683" s="73"/>
      <c r="C683" s="73"/>
      <c r="D683" s="73"/>
      <c r="E683" s="73"/>
      <c r="F683" s="72"/>
    </row>
    <row r="684" ht="14.25" customHeight="1">
      <c r="A684" s="73"/>
      <c r="B684" s="73"/>
      <c r="C684" s="73"/>
      <c r="D684" s="73"/>
      <c r="E684" s="73"/>
      <c r="F684" s="72"/>
    </row>
    <row r="685" ht="14.25" customHeight="1">
      <c r="A685" s="73"/>
      <c r="B685" s="73"/>
      <c r="C685" s="73"/>
      <c r="D685" s="73"/>
      <c r="E685" s="73"/>
      <c r="F685" s="72"/>
    </row>
    <row r="686" ht="14.25" customHeight="1">
      <c r="A686" s="73"/>
      <c r="B686" s="73"/>
      <c r="C686" s="73"/>
      <c r="D686" s="73"/>
      <c r="E686" s="73"/>
      <c r="F686" s="72"/>
    </row>
    <row r="687" ht="14.25" customHeight="1">
      <c r="A687" s="73"/>
      <c r="B687" s="73"/>
      <c r="C687" s="73"/>
      <c r="D687" s="73"/>
      <c r="E687" s="73"/>
      <c r="F687" s="72"/>
    </row>
    <row r="688" ht="14.25" customHeight="1">
      <c r="A688" s="73"/>
      <c r="B688" s="73"/>
      <c r="C688" s="73"/>
      <c r="D688" s="73"/>
      <c r="E688" s="73"/>
      <c r="F688" s="72"/>
    </row>
    <row r="689" ht="14.25" customHeight="1">
      <c r="A689" s="73"/>
      <c r="B689" s="73"/>
      <c r="C689" s="73"/>
      <c r="D689" s="73"/>
      <c r="E689" s="73"/>
      <c r="F689" s="72"/>
    </row>
    <row r="690" ht="14.25" customHeight="1">
      <c r="A690" s="73"/>
      <c r="B690" s="73"/>
      <c r="C690" s="73"/>
      <c r="D690" s="73"/>
      <c r="E690" s="73"/>
      <c r="F690" s="72"/>
    </row>
    <row r="691" ht="14.25" customHeight="1">
      <c r="A691" s="73"/>
      <c r="B691" s="73"/>
      <c r="C691" s="73"/>
      <c r="D691" s="73"/>
      <c r="E691" s="73"/>
      <c r="F691" s="72"/>
    </row>
    <row r="692" ht="14.25" customHeight="1">
      <c r="A692" s="73"/>
      <c r="B692" s="73"/>
      <c r="C692" s="73"/>
      <c r="D692" s="73"/>
      <c r="E692" s="73"/>
      <c r="F692" s="72"/>
    </row>
    <row r="693" ht="14.25" customHeight="1">
      <c r="A693" s="73"/>
      <c r="B693" s="73"/>
      <c r="C693" s="73"/>
      <c r="D693" s="73"/>
      <c r="E693" s="73"/>
      <c r="F693" s="72"/>
    </row>
    <row r="694" ht="14.25" customHeight="1">
      <c r="A694" s="73"/>
      <c r="B694" s="73"/>
      <c r="C694" s="73"/>
      <c r="D694" s="73"/>
      <c r="E694" s="73"/>
      <c r="F694" s="72"/>
    </row>
    <row r="695" ht="14.25" customHeight="1">
      <c r="A695" s="73"/>
      <c r="B695" s="73"/>
      <c r="C695" s="73"/>
      <c r="D695" s="73"/>
      <c r="E695" s="73"/>
      <c r="F695" s="72"/>
    </row>
    <row r="696" ht="14.25" customHeight="1">
      <c r="A696" s="73"/>
      <c r="B696" s="73"/>
      <c r="C696" s="73"/>
      <c r="D696" s="73"/>
      <c r="E696" s="73"/>
      <c r="F696" s="72"/>
    </row>
    <row r="697" ht="14.25" customHeight="1">
      <c r="A697" s="73"/>
      <c r="B697" s="73"/>
      <c r="C697" s="73"/>
      <c r="D697" s="73"/>
      <c r="E697" s="73"/>
      <c r="F697" s="72"/>
    </row>
    <row r="698" ht="14.25" customHeight="1">
      <c r="A698" s="73"/>
      <c r="B698" s="73"/>
      <c r="C698" s="73"/>
      <c r="D698" s="73"/>
      <c r="E698" s="73"/>
      <c r="F698" s="72"/>
    </row>
    <row r="699" ht="14.25" customHeight="1">
      <c r="A699" s="73"/>
      <c r="B699" s="73"/>
      <c r="C699" s="73"/>
      <c r="D699" s="73"/>
      <c r="E699" s="73"/>
      <c r="F699" s="72"/>
    </row>
    <row r="700" ht="14.25" customHeight="1">
      <c r="A700" s="73"/>
      <c r="B700" s="73"/>
      <c r="C700" s="73"/>
      <c r="D700" s="73"/>
      <c r="E700" s="73"/>
      <c r="F700" s="72"/>
    </row>
    <row r="701" ht="14.25" customHeight="1">
      <c r="A701" s="73"/>
      <c r="B701" s="73"/>
      <c r="C701" s="73"/>
      <c r="D701" s="73"/>
      <c r="E701" s="73"/>
      <c r="F701" s="72"/>
    </row>
    <row r="702" ht="14.25" customHeight="1">
      <c r="A702" s="73"/>
      <c r="B702" s="73"/>
      <c r="C702" s="73"/>
      <c r="D702" s="73"/>
      <c r="E702" s="73"/>
      <c r="F702" s="72"/>
    </row>
    <row r="703" ht="14.25" customHeight="1">
      <c r="A703" s="73"/>
      <c r="B703" s="73"/>
      <c r="C703" s="73"/>
      <c r="D703" s="73"/>
      <c r="E703" s="73"/>
      <c r="F703" s="72"/>
    </row>
    <row r="704" ht="14.25" customHeight="1">
      <c r="A704" s="73"/>
      <c r="B704" s="73"/>
      <c r="C704" s="73"/>
      <c r="D704" s="73"/>
      <c r="E704" s="73"/>
      <c r="F704" s="72"/>
    </row>
    <row r="705" ht="14.25" customHeight="1">
      <c r="A705" s="73"/>
      <c r="B705" s="73"/>
      <c r="C705" s="73"/>
      <c r="D705" s="73"/>
      <c r="E705" s="73"/>
      <c r="F705" s="72"/>
    </row>
    <row r="706" ht="14.25" customHeight="1">
      <c r="A706" s="73"/>
      <c r="B706" s="73"/>
      <c r="C706" s="73"/>
      <c r="D706" s="73"/>
      <c r="E706" s="73"/>
      <c r="F706" s="72"/>
    </row>
    <row r="707" ht="14.25" customHeight="1">
      <c r="A707" s="73"/>
      <c r="B707" s="73"/>
      <c r="C707" s="73"/>
      <c r="D707" s="73"/>
      <c r="E707" s="73"/>
      <c r="F707" s="72"/>
    </row>
    <row r="708" ht="14.25" customHeight="1">
      <c r="A708" s="73"/>
      <c r="B708" s="73"/>
      <c r="C708" s="73"/>
      <c r="D708" s="73"/>
      <c r="E708" s="73"/>
      <c r="F708" s="72"/>
    </row>
    <row r="709" ht="14.25" customHeight="1">
      <c r="A709" s="73"/>
      <c r="B709" s="73"/>
      <c r="C709" s="73"/>
      <c r="D709" s="73"/>
      <c r="E709" s="73"/>
      <c r="F709" s="72"/>
    </row>
    <row r="710" ht="14.25" customHeight="1">
      <c r="A710" s="73"/>
      <c r="B710" s="73"/>
      <c r="C710" s="73"/>
      <c r="D710" s="73"/>
      <c r="E710" s="73"/>
      <c r="F710" s="72"/>
    </row>
    <row r="711" ht="14.25" customHeight="1">
      <c r="A711" s="73"/>
      <c r="B711" s="73"/>
      <c r="C711" s="73"/>
      <c r="D711" s="73"/>
      <c r="E711" s="73"/>
      <c r="F711" s="72"/>
    </row>
    <row r="712" ht="14.25" customHeight="1">
      <c r="A712" s="73"/>
      <c r="B712" s="73"/>
      <c r="C712" s="73"/>
      <c r="D712" s="73"/>
      <c r="E712" s="73"/>
      <c r="F712" s="72"/>
    </row>
    <row r="713" ht="14.25" customHeight="1">
      <c r="A713" s="73"/>
      <c r="B713" s="73"/>
      <c r="C713" s="73"/>
      <c r="D713" s="73"/>
      <c r="E713" s="73"/>
      <c r="F713" s="72"/>
    </row>
    <row r="714" ht="14.25" customHeight="1">
      <c r="A714" s="73"/>
      <c r="B714" s="73"/>
      <c r="C714" s="73"/>
      <c r="D714" s="73"/>
      <c r="E714" s="73"/>
      <c r="F714" s="72"/>
    </row>
    <row r="715" ht="14.25" customHeight="1">
      <c r="A715" s="73"/>
      <c r="B715" s="73"/>
      <c r="C715" s="73"/>
      <c r="D715" s="73"/>
      <c r="E715" s="73"/>
      <c r="F715" s="72"/>
    </row>
    <row r="716" ht="14.25" customHeight="1">
      <c r="A716" s="73"/>
      <c r="B716" s="73"/>
      <c r="C716" s="73"/>
      <c r="D716" s="73"/>
      <c r="E716" s="73"/>
      <c r="F716" s="72"/>
    </row>
    <row r="717" ht="14.25" customHeight="1">
      <c r="A717" s="73"/>
      <c r="B717" s="73"/>
      <c r="C717" s="73"/>
      <c r="D717" s="73"/>
      <c r="E717" s="73"/>
      <c r="F717" s="72"/>
    </row>
    <row r="718" ht="14.25" customHeight="1">
      <c r="A718" s="73"/>
      <c r="B718" s="73"/>
      <c r="C718" s="73"/>
      <c r="D718" s="73"/>
      <c r="E718" s="73"/>
      <c r="F718" s="72"/>
    </row>
    <row r="719" ht="14.25" customHeight="1">
      <c r="A719" s="73"/>
      <c r="B719" s="73"/>
      <c r="C719" s="73"/>
      <c r="D719" s="73"/>
      <c r="E719" s="73"/>
      <c r="F719" s="72"/>
    </row>
    <row r="720" ht="14.25" customHeight="1">
      <c r="A720" s="73"/>
      <c r="B720" s="73"/>
      <c r="C720" s="73"/>
      <c r="D720" s="73"/>
      <c r="E720" s="73"/>
      <c r="F720" s="72"/>
    </row>
    <row r="721" ht="14.25" customHeight="1">
      <c r="A721" s="73"/>
      <c r="B721" s="73"/>
      <c r="C721" s="73"/>
      <c r="D721" s="73"/>
      <c r="E721" s="73"/>
      <c r="F721" s="72"/>
    </row>
    <row r="722" ht="14.25" customHeight="1">
      <c r="A722" s="73"/>
      <c r="B722" s="73"/>
      <c r="C722" s="73"/>
      <c r="D722" s="73"/>
      <c r="E722" s="73"/>
      <c r="F722" s="72"/>
    </row>
    <row r="723" ht="14.25" customHeight="1">
      <c r="A723" s="73"/>
      <c r="B723" s="73"/>
      <c r="C723" s="73"/>
      <c r="D723" s="73"/>
      <c r="E723" s="73"/>
      <c r="F723" s="72"/>
    </row>
    <row r="724" ht="14.25" customHeight="1">
      <c r="A724" s="73"/>
      <c r="B724" s="73"/>
      <c r="C724" s="73"/>
      <c r="D724" s="73"/>
      <c r="E724" s="73"/>
      <c r="F724" s="72"/>
    </row>
    <row r="725" ht="14.25" customHeight="1">
      <c r="A725" s="73"/>
      <c r="B725" s="73"/>
      <c r="C725" s="73"/>
      <c r="D725" s="73"/>
      <c r="E725" s="73"/>
      <c r="F725" s="72"/>
    </row>
    <row r="726" ht="14.25" customHeight="1">
      <c r="A726" s="73"/>
      <c r="B726" s="73"/>
      <c r="C726" s="73"/>
      <c r="D726" s="73"/>
      <c r="E726" s="73"/>
      <c r="F726" s="72"/>
    </row>
    <row r="727" ht="14.25" customHeight="1">
      <c r="A727" s="73"/>
      <c r="B727" s="73"/>
      <c r="C727" s="73"/>
      <c r="D727" s="73"/>
      <c r="E727" s="73"/>
      <c r="F727" s="72"/>
    </row>
    <row r="728" ht="14.25" customHeight="1">
      <c r="A728" s="73"/>
      <c r="B728" s="73"/>
      <c r="C728" s="73"/>
      <c r="D728" s="73"/>
      <c r="E728" s="73"/>
      <c r="F728" s="72"/>
    </row>
    <row r="729" ht="14.25" customHeight="1">
      <c r="A729" s="73"/>
      <c r="B729" s="73"/>
      <c r="C729" s="73"/>
      <c r="D729" s="73"/>
      <c r="E729" s="73"/>
      <c r="F729" s="72"/>
    </row>
    <row r="730" ht="14.25" customHeight="1">
      <c r="A730" s="73"/>
      <c r="B730" s="73"/>
      <c r="C730" s="73"/>
      <c r="D730" s="73"/>
      <c r="E730" s="73"/>
      <c r="F730" s="72"/>
    </row>
    <row r="731" ht="14.25" customHeight="1">
      <c r="A731" s="73"/>
      <c r="B731" s="73"/>
      <c r="C731" s="73"/>
      <c r="D731" s="73"/>
      <c r="E731" s="73"/>
      <c r="F731" s="72"/>
    </row>
    <row r="732" ht="14.25" customHeight="1">
      <c r="A732" s="73"/>
      <c r="B732" s="73"/>
      <c r="C732" s="73"/>
      <c r="D732" s="73"/>
      <c r="E732" s="73"/>
      <c r="F732" s="72"/>
    </row>
    <row r="733" ht="14.25" customHeight="1">
      <c r="A733" s="73"/>
      <c r="B733" s="73"/>
      <c r="C733" s="73"/>
      <c r="D733" s="73"/>
      <c r="E733" s="73"/>
      <c r="F733" s="72"/>
    </row>
    <row r="734" ht="14.25" customHeight="1">
      <c r="A734" s="73"/>
      <c r="B734" s="73"/>
      <c r="C734" s="73"/>
      <c r="D734" s="73"/>
      <c r="E734" s="73"/>
      <c r="F734" s="72"/>
    </row>
    <row r="735" ht="14.25" customHeight="1">
      <c r="A735" s="73"/>
      <c r="B735" s="73"/>
      <c r="C735" s="73"/>
      <c r="D735" s="73"/>
      <c r="E735" s="73"/>
      <c r="F735" s="72"/>
    </row>
    <row r="736" ht="14.25" customHeight="1">
      <c r="A736" s="73"/>
      <c r="B736" s="73"/>
      <c r="C736" s="73"/>
      <c r="D736" s="73"/>
      <c r="E736" s="73"/>
      <c r="F736" s="72"/>
    </row>
    <row r="737" ht="14.25" customHeight="1">
      <c r="A737" s="73"/>
      <c r="B737" s="73"/>
      <c r="C737" s="73"/>
      <c r="D737" s="73"/>
      <c r="E737" s="73"/>
      <c r="F737" s="72"/>
    </row>
    <row r="738" ht="14.25" customHeight="1">
      <c r="A738" s="73"/>
      <c r="B738" s="73"/>
      <c r="C738" s="73"/>
      <c r="D738" s="73"/>
      <c r="E738" s="73"/>
      <c r="F738" s="72"/>
    </row>
    <row r="739" ht="14.25" customHeight="1">
      <c r="A739" s="73"/>
      <c r="B739" s="73"/>
      <c r="C739" s="73"/>
      <c r="D739" s="73"/>
      <c r="E739" s="73"/>
      <c r="F739" s="72"/>
    </row>
    <row r="740" ht="14.25" customHeight="1">
      <c r="A740" s="73"/>
      <c r="B740" s="73"/>
      <c r="C740" s="73"/>
      <c r="D740" s="73"/>
      <c r="E740" s="73"/>
      <c r="F740" s="72"/>
    </row>
    <row r="741" ht="14.25" customHeight="1">
      <c r="A741" s="73"/>
      <c r="B741" s="73"/>
      <c r="C741" s="73"/>
      <c r="D741" s="73"/>
      <c r="E741" s="73"/>
      <c r="F741" s="72"/>
    </row>
    <row r="742" ht="14.25" customHeight="1">
      <c r="A742" s="73"/>
      <c r="B742" s="73"/>
      <c r="C742" s="73"/>
      <c r="D742" s="73"/>
      <c r="E742" s="73"/>
      <c r="F742" s="72"/>
    </row>
    <row r="743" ht="14.25" customHeight="1">
      <c r="A743" s="73"/>
      <c r="B743" s="73"/>
      <c r="C743" s="73"/>
      <c r="D743" s="73"/>
      <c r="E743" s="73"/>
      <c r="F743" s="72"/>
    </row>
    <row r="744" ht="14.25" customHeight="1">
      <c r="A744" s="73"/>
      <c r="B744" s="73"/>
      <c r="C744" s="73"/>
      <c r="D744" s="73"/>
      <c r="E744" s="73"/>
      <c r="F744" s="72"/>
    </row>
    <row r="745" ht="14.25" customHeight="1">
      <c r="A745" s="73"/>
      <c r="B745" s="73"/>
      <c r="C745" s="73"/>
      <c r="D745" s="73"/>
      <c r="E745" s="73"/>
      <c r="F745" s="72"/>
    </row>
    <row r="746" ht="14.25" customHeight="1">
      <c r="A746" s="73"/>
      <c r="B746" s="73"/>
      <c r="C746" s="73"/>
      <c r="D746" s="73"/>
      <c r="E746" s="73"/>
      <c r="F746" s="72"/>
    </row>
    <row r="747" ht="14.25" customHeight="1">
      <c r="A747" s="73"/>
      <c r="B747" s="73"/>
      <c r="C747" s="73"/>
      <c r="D747" s="73"/>
      <c r="E747" s="73"/>
      <c r="F747" s="72"/>
    </row>
    <row r="748" ht="14.25" customHeight="1">
      <c r="A748" s="73"/>
      <c r="B748" s="73"/>
      <c r="C748" s="73"/>
      <c r="D748" s="73"/>
      <c r="E748" s="73"/>
      <c r="F748" s="72"/>
    </row>
    <row r="749" ht="14.25" customHeight="1">
      <c r="A749" s="73"/>
      <c r="B749" s="73"/>
      <c r="C749" s="73"/>
      <c r="D749" s="73"/>
      <c r="E749" s="73"/>
      <c r="F749" s="72"/>
    </row>
    <row r="750" ht="14.25" customHeight="1">
      <c r="A750" s="73"/>
      <c r="B750" s="73"/>
      <c r="C750" s="73"/>
      <c r="D750" s="73"/>
      <c r="E750" s="73"/>
      <c r="F750" s="72"/>
    </row>
    <row r="751" ht="14.25" customHeight="1">
      <c r="A751" s="73"/>
      <c r="B751" s="73"/>
      <c r="C751" s="73"/>
      <c r="D751" s="73"/>
      <c r="E751" s="73"/>
      <c r="F751" s="72"/>
    </row>
    <row r="752" ht="14.25" customHeight="1">
      <c r="A752" s="73"/>
      <c r="B752" s="73"/>
      <c r="C752" s="73"/>
      <c r="D752" s="73"/>
      <c r="E752" s="73"/>
      <c r="F752" s="72"/>
    </row>
    <row r="753" ht="14.25" customHeight="1">
      <c r="A753" s="73"/>
      <c r="B753" s="73"/>
      <c r="C753" s="73"/>
      <c r="D753" s="73"/>
      <c r="E753" s="73"/>
      <c r="F753" s="72"/>
    </row>
    <row r="754" ht="14.25" customHeight="1">
      <c r="A754" s="73"/>
      <c r="B754" s="73"/>
      <c r="C754" s="73"/>
      <c r="D754" s="73"/>
      <c r="E754" s="73"/>
      <c r="F754" s="72"/>
    </row>
    <row r="755" ht="14.25" customHeight="1">
      <c r="A755" s="73"/>
      <c r="B755" s="73"/>
      <c r="C755" s="73"/>
      <c r="D755" s="73"/>
      <c r="E755" s="73"/>
      <c r="F755" s="72"/>
    </row>
    <row r="756" ht="14.25" customHeight="1">
      <c r="A756" s="73"/>
      <c r="B756" s="73"/>
      <c r="C756" s="73"/>
      <c r="D756" s="73"/>
      <c r="E756" s="73"/>
      <c r="F756" s="72"/>
    </row>
    <row r="757" ht="14.25" customHeight="1">
      <c r="A757" s="73"/>
      <c r="B757" s="73"/>
      <c r="C757" s="73"/>
      <c r="D757" s="73"/>
      <c r="E757" s="73"/>
      <c r="F757" s="72"/>
    </row>
    <row r="758" ht="14.25" customHeight="1">
      <c r="A758" s="73"/>
      <c r="B758" s="73"/>
      <c r="C758" s="73"/>
      <c r="D758" s="73"/>
      <c r="E758" s="73"/>
      <c r="F758" s="72"/>
    </row>
    <row r="759" ht="14.25" customHeight="1">
      <c r="A759" s="73"/>
      <c r="B759" s="73"/>
      <c r="C759" s="73"/>
      <c r="D759" s="73"/>
      <c r="E759" s="73"/>
      <c r="F759" s="72"/>
    </row>
    <row r="760" ht="14.25" customHeight="1">
      <c r="A760" s="73"/>
      <c r="B760" s="73"/>
      <c r="C760" s="73"/>
      <c r="D760" s="73"/>
      <c r="E760" s="73"/>
      <c r="F760" s="72"/>
    </row>
    <row r="761" ht="14.25" customHeight="1">
      <c r="A761" s="73"/>
      <c r="B761" s="73"/>
      <c r="C761" s="73"/>
      <c r="D761" s="73"/>
      <c r="E761" s="73"/>
      <c r="F761" s="72"/>
    </row>
    <row r="762" ht="14.25" customHeight="1">
      <c r="A762" s="73"/>
      <c r="B762" s="73"/>
      <c r="C762" s="73"/>
      <c r="D762" s="73"/>
      <c r="E762" s="73"/>
      <c r="F762" s="72"/>
    </row>
    <row r="763" ht="14.25" customHeight="1">
      <c r="A763" s="73"/>
      <c r="B763" s="73"/>
      <c r="C763" s="73"/>
      <c r="D763" s="73"/>
      <c r="E763" s="73"/>
      <c r="F763" s="72"/>
    </row>
    <row r="764" ht="14.25" customHeight="1">
      <c r="A764" s="73"/>
      <c r="B764" s="73"/>
      <c r="C764" s="73"/>
      <c r="D764" s="73"/>
      <c r="E764" s="73"/>
      <c r="F764" s="72"/>
    </row>
    <row r="765" ht="14.25" customHeight="1">
      <c r="A765" s="73"/>
      <c r="B765" s="73"/>
      <c r="C765" s="73"/>
      <c r="D765" s="73"/>
      <c r="E765" s="73"/>
      <c r="F765" s="72"/>
    </row>
    <row r="766" ht="14.25" customHeight="1">
      <c r="A766" s="73"/>
      <c r="B766" s="73"/>
      <c r="C766" s="73"/>
      <c r="D766" s="73"/>
      <c r="E766" s="73"/>
      <c r="F766" s="72"/>
    </row>
    <row r="767" ht="14.25" customHeight="1">
      <c r="A767" s="73"/>
      <c r="B767" s="73"/>
      <c r="C767" s="73"/>
      <c r="D767" s="73"/>
      <c r="E767" s="73"/>
      <c r="F767" s="72"/>
    </row>
    <row r="768" ht="14.25" customHeight="1">
      <c r="A768" s="73"/>
      <c r="B768" s="73"/>
      <c r="C768" s="73"/>
      <c r="D768" s="73"/>
      <c r="E768" s="73"/>
      <c r="F768" s="72"/>
    </row>
    <row r="769" ht="14.25" customHeight="1">
      <c r="A769" s="73"/>
      <c r="B769" s="73"/>
      <c r="C769" s="73"/>
      <c r="D769" s="73"/>
      <c r="E769" s="73"/>
      <c r="F769" s="72"/>
    </row>
    <row r="770" ht="14.25" customHeight="1">
      <c r="A770" s="73"/>
      <c r="B770" s="73"/>
      <c r="C770" s="73"/>
      <c r="D770" s="73"/>
      <c r="E770" s="73"/>
      <c r="F770" s="72"/>
    </row>
    <row r="771" ht="14.25" customHeight="1">
      <c r="A771" s="73"/>
      <c r="B771" s="73"/>
      <c r="C771" s="73"/>
      <c r="D771" s="73"/>
      <c r="E771" s="73"/>
      <c r="F771" s="72"/>
    </row>
    <row r="772" ht="14.25" customHeight="1">
      <c r="A772" s="73"/>
      <c r="B772" s="73"/>
      <c r="C772" s="73"/>
      <c r="D772" s="73"/>
      <c r="E772" s="73"/>
      <c r="F772" s="72"/>
    </row>
    <row r="773" ht="14.25" customHeight="1">
      <c r="A773" s="73"/>
      <c r="B773" s="73"/>
      <c r="C773" s="73"/>
      <c r="D773" s="73"/>
      <c r="E773" s="73"/>
      <c r="F773" s="72"/>
    </row>
    <row r="774" ht="14.25" customHeight="1">
      <c r="A774" s="73"/>
      <c r="B774" s="73"/>
      <c r="C774" s="73"/>
      <c r="D774" s="73"/>
      <c r="E774" s="73"/>
      <c r="F774" s="72"/>
    </row>
    <row r="775" ht="14.25" customHeight="1">
      <c r="A775" s="73"/>
      <c r="B775" s="73"/>
      <c r="C775" s="73"/>
      <c r="D775" s="73"/>
      <c r="E775" s="73"/>
      <c r="F775" s="72"/>
    </row>
    <row r="776" ht="14.25" customHeight="1">
      <c r="A776" s="73"/>
      <c r="B776" s="73"/>
      <c r="C776" s="73"/>
      <c r="D776" s="73"/>
      <c r="E776" s="73"/>
      <c r="F776" s="72"/>
    </row>
    <row r="777" ht="14.25" customHeight="1">
      <c r="A777" s="73"/>
      <c r="B777" s="73"/>
      <c r="C777" s="73"/>
      <c r="D777" s="73"/>
      <c r="E777" s="73"/>
      <c r="F777" s="72"/>
    </row>
    <row r="778" ht="14.25" customHeight="1">
      <c r="A778" s="73"/>
      <c r="B778" s="73"/>
      <c r="C778" s="73"/>
      <c r="D778" s="73"/>
      <c r="E778" s="73"/>
      <c r="F778" s="72"/>
    </row>
    <row r="779" ht="14.25" customHeight="1">
      <c r="A779" s="73"/>
      <c r="B779" s="73"/>
      <c r="C779" s="73"/>
      <c r="D779" s="73"/>
      <c r="E779" s="73"/>
      <c r="F779" s="72"/>
    </row>
    <row r="780" ht="14.25" customHeight="1">
      <c r="A780" s="73"/>
      <c r="B780" s="73"/>
      <c r="C780" s="73"/>
      <c r="D780" s="73"/>
      <c r="E780" s="73"/>
      <c r="F780" s="72"/>
    </row>
    <row r="781" ht="14.25" customHeight="1">
      <c r="A781" s="73"/>
      <c r="B781" s="73"/>
      <c r="C781" s="73"/>
      <c r="D781" s="73"/>
      <c r="E781" s="73"/>
      <c r="F781" s="72"/>
    </row>
    <row r="782" ht="14.25" customHeight="1">
      <c r="A782" s="73"/>
      <c r="B782" s="73"/>
      <c r="C782" s="73"/>
      <c r="D782" s="73"/>
      <c r="E782" s="73"/>
      <c r="F782" s="72"/>
    </row>
    <row r="783" ht="14.25" customHeight="1">
      <c r="A783" s="73"/>
      <c r="B783" s="73"/>
      <c r="C783" s="73"/>
      <c r="D783" s="73"/>
      <c r="E783" s="73"/>
      <c r="F783" s="72"/>
    </row>
    <row r="784" ht="14.25" customHeight="1">
      <c r="A784" s="73"/>
      <c r="B784" s="73"/>
      <c r="C784" s="73"/>
      <c r="D784" s="73"/>
      <c r="E784" s="73"/>
      <c r="F784" s="72"/>
    </row>
    <row r="785" ht="14.25" customHeight="1">
      <c r="A785" s="73"/>
      <c r="B785" s="73"/>
      <c r="C785" s="73"/>
      <c r="D785" s="73"/>
      <c r="E785" s="73"/>
      <c r="F785" s="72"/>
    </row>
    <row r="786" ht="14.25" customHeight="1">
      <c r="A786" s="73"/>
      <c r="B786" s="73"/>
      <c r="C786" s="73"/>
      <c r="D786" s="73"/>
      <c r="E786" s="73"/>
      <c r="F786" s="72"/>
    </row>
    <row r="787" ht="14.25" customHeight="1">
      <c r="A787" s="73"/>
      <c r="B787" s="73"/>
      <c r="C787" s="73"/>
      <c r="D787" s="73"/>
      <c r="E787" s="73"/>
      <c r="F787" s="72"/>
    </row>
    <row r="788" ht="14.25" customHeight="1">
      <c r="A788" s="73"/>
      <c r="B788" s="73"/>
      <c r="C788" s="73"/>
      <c r="D788" s="73"/>
      <c r="E788" s="73"/>
      <c r="F788" s="72"/>
    </row>
    <row r="789" ht="14.25" customHeight="1">
      <c r="A789" s="73"/>
      <c r="B789" s="73"/>
      <c r="C789" s="73"/>
      <c r="D789" s="73"/>
      <c r="E789" s="73"/>
      <c r="F789" s="72"/>
    </row>
    <row r="790" ht="14.25" customHeight="1">
      <c r="A790" s="73"/>
      <c r="B790" s="73"/>
      <c r="C790" s="73"/>
      <c r="D790" s="73"/>
      <c r="E790" s="73"/>
      <c r="F790" s="72"/>
    </row>
    <row r="791" ht="14.25" customHeight="1">
      <c r="A791" s="73"/>
      <c r="B791" s="73"/>
      <c r="C791" s="73"/>
      <c r="D791" s="73"/>
      <c r="E791" s="73"/>
      <c r="F791" s="72"/>
    </row>
    <row r="792" ht="14.25" customHeight="1">
      <c r="A792" s="73"/>
      <c r="B792" s="73"/>
      <c r="C792" s="73"/>
      <c r="D792" s="73"/>
      <c r="E792" s="73"/>
      <c r="F792" s="72"/>
    </row>
    <row r="793" ht="14.25" customHeight="1">
      <c r="A793" s="73"/>
      <c r="B793" s="73"/>
      <c r="C793" s="73"/>
      <c r="D793" s="73"/>
      <c r="E793" s="73"/>
      <c r="F793" s="72"/>
    </row>
    <row r="794" ht="14.25" customHeight="1">
      <c r="A794" s="73"/>
      <c r="B794" s="73"/>
      <c r="C794" s="73"/>
      <c r="D794" s="73"/>
      <c r="E794" s="73"/>
      <c r="F794" s="72"/>
    </row>
    <row r="795" ht="14.25" customHeight="1">
      <c r="A795" s="73"/>
      <c r="B795" s="73"/>
      <c r="C795" s="73"/>
      <c r="D795" s="73"/>
      <c r="E795" s="73"/>
      <c r="F795" s="72"/>
    </row>
    <row r="796" ht="14.25" customHeight="1">
      <c r="A796" s="73"/>
      <c r="B796" s="73"/>
      <c r="C796" s="73"/>
      <c r="D796" s="73"/>
      <c r="E796" s="73"/>
      <c r="F796" s="72"/>
    </row>
    <row r="797" ht="14.25" customHeight="1">
      <c r="A797" s="73"/>
      <c r="B797" s="73"/>
      <c r="C797" s="73"/>
      <c r="D797" s="73"/>
      <c r="E797" s="73"/>
      <c r="F797" s="72"/>
    </row>
    <row r="798" ht="14.25" customHeight="1">
      <c r="A798" s="73"/>
      <c r="B798" s="73"/>
      <c r="C798" s="73"/>
      <c r="D798" s="73"/>
      <c r="E798" s="73"/>
      <c r="F798" s="72"/>
    </row>
    <row r="799" ht="14.25" customHeight="1">
      <c r="A799" s="73"/>
      <c r="B799" s="73"/>
      <c r="C799" s="73"/>
      <c r="D799" s="73"/>
      <c r="E799" s="73"/>
      <c r="F799" s="72"/>
    </row>
    <row r="800" ht="14.25" customHeight="1">
      <c r="A800" s="73"/>
      <c r="B800" s="73"/>
      <c r="C800" s="73"/>
      <c r="D800" s="73"/>
      <c r="E800" s="73"/>
      <c r="F800" s="72"/>
    </row>
    <row r="801" ht="14.25" customHeight="1">
      <c r="A801" s="73"/>
      <c r="B801" s="73"/>
      <c r="C801" s="73"/>
      <c r="D801" s="73"/>
      <c r="E801" s="73"/>
      <c r="F801" s="72"/>
    </row>
    <row r="802" ht="14.25" customHeight="1">
      <c r="A802" s="73"/>
      <c r="B802" s="73"/>
      <c r="C802" s="73"/>
      <c r="D802" s="73"/>
      <c r="E802" s="73"/>
      <c r="F802" s="72"/>
    </row>
    <row r="803" ht="14.25" customHeight="1">
      <c r="A803" s="73"/>
      <c r="B803" s="73"/>
      <c r="C803" s="73"/>
      <c r="D803" s="73"/>
      <c r="E803" s="73"/>
      <c r="F803" s="72"/>
    </row>
    <row r="804" ht="14.25" customHeight="1">
      <c r="A804" s="73"/>
      <c r="B804" s="73"/>
      <c r="C804" s="73"/>
      <c r="D804" s="73"/>
      <c r="E804" s="73"/>
      <c r="F804" s="72"/>
    </row>
    <row r="805" ht="14.25" customHeight="1">
      <c r="A805" s="73"/>
      <c r="B805" s="73"/>
      <c r="C805" s="73"/>
      <c r="D805" s="73"/>
      <c r="E805" s="73"/>
      <c r="F805" s="72"/>
    </row>
    <row r="806" ht="14.25" customHeight="1">
      <c r="A806" s="73"/>
      <c r="B806" s="73"/>
      <c r="C806" s="73"/>
      <c r="D806" s="73"/>
      <c r="E806" s="73"/>
      <c r="F806" s="72"/>
    </row>
    <row r="807" ht="14.25" customHeight="1">
      <c r="A807" s="73"/>
      <c r="B807" s="73"/>
      <c r="C807" s="73"/>
      <c r="D807" s="73"/>
      <c r="E807" s="73"/>
      <c r="F807" s="72"/>
    </row>
    <row r="808" ht="14.25" customHeight="1">
      <c r="A808" s="73"/>
      <c r="B808" s="73"/>
      <c r="C808" s="73"/>
      <c r="D808" s="73"/>
      <c r="E808" s="73"/>
      <c r="F808" s="72"/>
    </row>
    <row r="809" ht="14.25" customHeight="1">
      <c r="A809" s="73"/>
      <c r="B809" s="73"/>
      <c r="C809" s="73"/>
      <c r="D809" s="73"/>
      <c r="E809" s="73"/>
      <c r="F809" s="72"/>
    </row>
    <row r="810" ht="14.25" customHeight="1">
      <c r="A810" s="73"/>
      <c r="B810" s="73"/>
      <c r="C810" s="73"/>
      <c r="D810" s="73"/>
      <c r="E810" s="73"/>
      <c r="F810" s="72"/>
    </row>
    <row r="811" ht="14.25" customHeight="1">
      <c r="A811" s="73"/>
      <c r="B811" s="73"/>
      <c r="C811" s="73"/>
      <c r="D811" s="73"/>
      <c r="E811" s="73"/>
      <c r="F811" s="72"/>
    </row>
    <row r="812" ht="14.25" customHeight="1">
      <c r="A812" s="73"/>
      <c r="B812" s="73"/>
      <c r="C812" s="73"/>
      <c r="D812" s="73"/>
      <c r="E812" s="73"/>
      <c r="F812" s="72"/>
    </row>
    <row r="813" ht="14.25" customHeight="1">
      <c r="A813" s="73"/>
      <c r="B813" s="73"/>
      <c r="C813" s="73"/>
      <c r="D813" s="73"/>
      <c r="E813" s="73"/>
      <c r="F813" s="72"/>
    </row>
    <row r="814" ht="14.25" customHeight="1">
      <c r="A814" s="73"/>
      <c r="B814" s="73"/>
      <c r="C814" s="73"/>
      <c r="D814" s="73"/>
      <c r="E814" s="73"/>
      <c r="F814" s="72"/>
    </row>
    <row r="815" ht="14.25" customHeight="1">
      <c r="A815" s="73"/>
      <c r="B815" s="73"/>
      <c r="C815" s="73"/>
      <c r="D815" s="73"/>
      <c r="E815" s="73"/>
      <c r="F815" s="72"/>
    </row>
    <row r="816" ht="14.25" customHeight="1">
      <c r="A816" s="73"/>
      <c r="B816" s="73"/>
      <c r="C816" s="73"/>
      <c r="D816" s="73"/>
      <c r="E816" s="73"/>
      <c r="F816" s="72"/>
    </row>
    <row r="817" ht="14.25" customHeight="1">
      <c r="A817" s="73"/>
      <c r="B817" s="73"/>
      <c r="C817" s="73"/>
      <c r="D817" s="73"/>
      <c r="E817" s="73"/>
      <c r="F817" s="72"/>
    </row>
    <row r="818" ht="14.25" customHeight="1">
      <c r="A818" s="73"/>
      <c r="B818" s="73"/>
      <c r="C818" s="73"/>
      <c r="D818" s="73"/>
      <c r="E818" s="73"/>
      <c r="F818" s="72"/>
    </row>
    <row r="819" ht="14.25" customHeight="1">
      <c r="A819" s="73"/>
      <c r="B819" s="73"/>
      <c r="C819" s="73"/>
      <c r="D819" s="73"/>
      <c r="E819" s="73"/>
      <c r="F819" s="72"/>
    </row>
    <row r="820" ht="14.25" customHeight="1">
      <c r="A820" s="73"/>
      <c r="B820" s="73"/>
      <c r="C820" s="73"/>
      <c r="D820" s="73"/>
      <c r="E820" s="73"/>
      <c r="F820" s="72"/>
    </row>
    <row r="821" ht="14.25" customHeight="1">
      <c r="A821" s="73"/>
      <c r="B821" s="73"/>
      <c r="C821" s="73"/>
      <c r="D821" s="73"/>
      <c r="E821" s="73"/>
      <c r="F821" s="72"/>
    </row>
    <row r="822" ht="14.25" customHeight="1">
      <c r="A822" s="73"/>
      <c r="B822" s="73"/>
      <c r="C822" s="73"/>
      <c r="D822" s="73"/>
      <c r="E822" s="73"/>
      <c r="F822" s="72"/>
    </row>
    <row r="823" ht="14.25" customHeight="1">
      <c r="A823" s="73"/>
      <c r="B823" s="73"/>
      <c r="C823" s="73"/>
      <c r="D823" s="73"/>
      <c r="E823" s="73"/>
      <c r="F823" s="72"/>
    </row>
    <row r="824" ht="14.25" customHeight="1">
      <c r="A824" s="73"/>
      <c r="B824" s="73"/>
      <c r="C824" s="73"/>
      <c r="D824" s="73"/>
      <c r="E824" s="73"/>
      <c r="F824" s="72"/>
    </row>
    <row r="825" ht="14.25" customHeight="1">
      <c r="A825" s="73"/>
      <c r="B825" s="73"/>
      <c r="C825" s="73"/>
      <c r="D825" s="73"/>
      <c r="E825" s="73"/>
      <c r="F825" s="72"/>
    </row>
    <row r="826" ht="14.25" customHeight="1">
      <c r="A826" s="73"/>
      <c r="B826" s="73"/>
      <c r="C826" s="73"/>
      <c r="D826" s="73"/>
      <c r="E826" s="73"/>
      <c r="F826" s="72"/>
    </row>
    <row r="827" ht="14.25" customHeight="1">
      <c r="A827" s="73"/>
      <c r="B827" s="73"/>
      <c r="C827" s="73"/>
      <c r="D827" s="73"/>
      <c r="E827" s="73"/>
      <c r="F827" s="72"/>
    </row>
    <row r="828" ht="14.25" customHeight="1">
      <c r="A828" s="73"/>
      <c r="B828" s="73"/>
      <c r="C828" s="73"/>
      <c r="D828" s="73"/>
      <c r="E828" s="73"/>
      <c r="F828" s="72"/>
    </row>
    <row r="829" ht="14.25" customHeight="1">
      <c r="A829" s="73"/>
      <c r="B829" s="73"/>
      <c r="C829" s="73"/>
      <c r="D829" s="73"/>
      <c r="E829" s="73"/>
      <c r="F829" s="72"/>
    </row>
    <row r="830" ht="14.25" customHeight="1">
      <c r="A830" s="73"/>
      <c r="B830" s="73"/>
      <c r="C830" s="73"/>
      <c r="D830" s="73"/>
      <c r="E830" s="73"/>
      <c r="F830" s="72"/>
    </row>
    <row r="831" ht="14.25" customHeight="1">
      <c r="A831" s="73"/>
      <c r="B831" s="73"/>
      <c r="C831" s="73"/>
      <c r="D831" s="73"/>
      <c r="E831" s="73"/>
      <c r="F831" s="72"/>
    </row>
    <row r="832" ht="14.25" customHeight="1">
      <c r="A832" s="73"/>
      <c r="B832" s="73"/>
      <c r="C832" s="73"/>
      <c r="D832" s="73"/>
      <c r="E832" s="73"/>
      <c r="F832" s="72"/>
    </row>
    <row r="833" ht="14.25" customHeight="1">
      <c r="A833" s="73"/>
      <c r="B833" s="73"/>
      <c r="C833" s="73"/>
      <c r="D833" s="73"/>
      <c r="E833" s="73"/>
      <c r="F833" s="72"/>
    </row>
    <row r="834" ht="14.25" customHeight="1">
      <c r="A834" s="73"/>
      <c r="B834" s="73"/>
      <c r="C834" s="73"/>
      <c r="D834" s="73"/>
      <c r="E834" s="73"/>
      <c r="F834" s="72"/>
    </row>
    <row r="835" ht="14.25" customHeight="1">
      <c r="A835" s="73"/>
      <c r="B835" s="73"/>
      <c r="C835" s="73"/>
      <c r="D835" s="73"/>
      <c r="E835" s="73"/>
      <c r="F835" s="72"/>
    </row>
    <row r="836" ht="14.25" customHeight="1">
      <c r="A836" s="73"/>
      <c r="B836" s="73"/>
      <c r="C836" s="73"/>
      <c r="D836" s="73"/>
      <c r="E836" s="73"/>
      <c r="F836" s="72"/>
    </row>
    <row r="837" ht="14.25" customHeight="1">
      <c r="A837" s="73"/>
      <c r="B837" s="73"/>
      <c r="C837" s="73"/>
      <c r="D837" s="73"/>
      <c r="E837" s="73"/>
      <c r="F837" s="72"/>
    </row>
    <row r="838" ht="14.25" customHeight="1">
      <c r="A838" s="73"/>
      <c r="B838" s="73"/>
      <c r="C838" s="73"/>
      <c r="D838" s="73"/>
      <c r="E838" s="73"/>
      <c r="F838" s="72"/>
    </row>
    <row r="839" ht="14.25" customHeight="1">
      <c r="A839" s="73"/>
      <c r="B839" s="73"/>
      <c r="C839" s="73"/>
      <c r="D839" s="73"/>
      <c r="E839" s="73"/>
      <c r="F839" s="72"/>
    </row>
    <row r="840" ht="14.25" customHeight="1">
      <c r="A840" s="73"/>
      <c r="B840" s="73"/>
      <c r="C840" s="73"/>
      <c r="D840" s="73"/>
      <c r="E840" s="73"/>
      <c r="F840" s="72"/>
    </row>
    <row r="841" ht="14.25" customHeight="1">
      <c r="A841" s="73"/>
      <c r="B841" s="73"/>
      <c r="C841" s="73"/>
      <c r="D841" s="73"/>
      <c r="E841" s="73"/>
      <c r="F841" s="72"/>
    </row>
    <row r="842" ht="14.25" customHeight="1">
      <c r="A842" s="73"/>
      <c r="B842" s="73"/>
      <c r="C842" s="73"/>
      <c r="D842" s="73"/>
      <c r="E842" s="73"/>
      <c r="F842" s="72"/>
    </row>
    <row r="843" ht="14.25" customHeight="1">
      <c r="A843" s="73"/>
      <c r="B843" s="73"/>
      <c r="C843" s="73"/>
      <c r="D843" s="73"/>
      <c r="E843" s="73"/>
      <c r="F843" s="72"/>
    </row>
    <row r="844" ht="14.25" customHeight="1">
      <c r="A844" s="73"/>
      <c r="B844" s="73"/>
      <c r="C844" s="73"/>
      <c r="D844" s="73"/>
      <c r="E844" s="73"/>
      <c r="F844" s="72"/>
    </row>
    <row r="845" ht="14.25" customHeight="1">
      <c r="A845" s="73"/>
      <c r="B845" s="73"/>
      <c r="C845" s="73"/>
      <c r="D845" s="73"/>
      <c r="E845" s="73"/>
      <c r="F845" s="72"/>
    </row>
    <row r="846" ht="14.25" customHeight="1">
      <c r="A846" s="73"/>
      <c r="B846" s="73"/>
      <c r="C846" s="73"/>
      <c r="D846" s="73"/>
      <c r="E846" s="73"/>
      <c r="F846" s="72"/>
    </row>
    <row r="847" ht="14.25" customHeight="1">
      <c r="A847" s="73"/>
      <c r="B847" s="73"/>
      <c r="C847" s="73"/>
      <c r="D847" s="73"/>
      <c r="E847" s="73"/>
      <c r="F847" s="72"/>
    </row>
    <row r="848" ht="14.25" customHeight="1">
      <c r="A848" s="73"/>
      <c r="B848" s="73"/>
      <c r="C848" s="73"/>
      <c r="D848" s="73"/>
      <c r="E848" s="73"/>
      <c r="F848" s="72"/>
    </row>
    <row r="849" ht="14.25" customHeight="1">
      <c r="A849" s="73"/>
      <c r="B849" s="73"/>
      <c r="C849" s="73"/>
      <c r="D849" s="73"/>
      <c r="E849" s="73"/>
      <c r="F849" s="72"/>
    </row>
    <row r="850" ht="14.25" customHeight="1">
      <c r="A850" s="73"/>
      <c r="B850" s="73"/>
      <c r="C850" s="73"/>
      <c r="D850" s="73"/>
      <c r="E850" s="73"/>
      <c r="F850" s="72"/>
    </row>
    <row r="851" ht="14.25" customHeight="1">
      <c r="A851" s="73"/>
      <c r="B851" s="73"/>
      <c r="C851" s="73"/>
      <c r="D851" s="73"/>
      <c r="E851" s="73"/>
      <c r="F851" s="72"/>
    </row>
    <row r="852" ht="14.25" customHeight="1">
      <c r="A852" s="73"/>
      <c r="B852" s="73"/>
      <c r="C852" s="73"/>
      <c r="D852" s="73"/>
      <c r="E852" s="73"/>
      <c r="F852" s="72"/>
    </row>
    <row r="853" ht="14.25" customHeight="1">
      <c r="A853" s="73"/>
      <c r="B853" s="73"/>
      <c r="C853" s="73"/>
      <c r="D853" s="73"/>
      <c r="E853" s="73"/>
      <c r="F853" s="72"/>
    </row>
    <row r="854" ht="14.25" customHeight="1">
      <c r="A854" s="73"/>
      <c r="B854" s="73"/>
      <c r="C854" s="73"/>
      <c r="D854" s="73"/>
      <c r="E854" s="73"/>
      <c r="F854" s="72"/>
    </row>
    <row r="855" ht="14.25" customHeight="1">
      <c r="A855" s="73"/>
      <c r="B855" s="73"/>
      <c r="C855" s="73"/>
      <c r="D855" s="73"/>
      <c r="E855" s="73"/>
      <c r="F855" s="72"/>
    </row>
    <row r="856" ht="14.25" customHeight="1">
      <c r="A856" s="73"/>
      <c r="B856" s="73"/>
      <c r="C856" s="73"/>
      <c r="D856" s="73"/>
      <c r="E856" s="73"/>
      <c r="F856" s="72"/>
    </row>
    <row r="857" ht="14.25" customHeight="1">
      <c r="A857" s="73"/>
      <c r="B857" s="73"/>
      <c r="C857" s="73"/>
      <c r="D857" s="73"/>
      <c r="E857" s="73"/>
      <c r="F857" s="72"/>
    </row>
    <row r="858" ht="14.25" customHeight="1">
      <c r="A858" s="73"/>
      <c r="B858" s="73"/>
      <c r="C858" s="73"/>
      <c r="D858" s="73"/>
      <c r="E858" s="73"/>
      <c r="F858" s="72"/>
    </row>
    <row r="859" ht="14.25" customHeight="1">
      <c r="A859" s="73"/>
      <c r="B859" s="73"/>
      <c r="C859" s="73"/>
      <c r="D859" s="73"/>
      <c r="E859" s="73"/>
      <c r="F859" s="72"/>
    </row>
    <row r="860" ht="14.25" customHeight="1">
      <c r="A860" s="73"/>
      <c r="B860" s="73"/>
      <c r="C860" s="73"/>
      <c r="D860" s="73"/>
      <c r="E860" s="73"/>
      <c r="F860" s="72"/>
    </row>
    <row r="861" ht="14.25" customHeight="1">
      <c r="A861" s="73"/>
      <c r="B861" s="73"/>
      <c r="C861" s="73"/>
      <c r="D861" s="73"/>
      <c r="E861" s="73"/>
      <c r="F861" s="72"/>
    </row>
    <row r="862" ht="14.25" customHeight="1">
      <c r="A862" s="73"/>
      <c r="B862" s="73"/>
      <c r="C862" s="73"/>
      <c r="D862" s="73"/>
      <c r="E862" s="73"/>
      <c r="F862" s="72"/>
    </row>
    <row r="863" ht="14.25" customHeight="1">
      <c r="A863" s="73"/>
      <c r="B863" s="73"/>
      <c r="C863" s="73"/>
      <c r="D863" s="73"/>
      <c r="E863" s="73"/>
      <c r="F863" s="72"/>
    </row>
    <row r="864" ht="14.25" customHeight="1">
      <c r="A864" s="73"/>
      <c r="B864" s="73"/>
      <c r="C864" s="73"/>
      <c r="D864" s="73"/>
      <c r="E864" s="73"/>
      <c r="F864" s="72"/>
    </row>
    <row r="865" ht="14.25" customHeight="1">
      <c r="A865" s="73"/>
      <c r="B865" s="73"/>
      <c r="C865" s="73"/>
      <c r="D865" s="73"/>
      <c r="E865" s="73"/>
      <c r="F865" s="72"/>
    </row>
    <row r="866" ht="14.25" customHeight="1">
      <c r="A866" s="73"/>
      <c r="B866" s="73"/>
      <c r="C866" s="73"/>
      <c r="D866" s="73"/>
      <c r="E866" s="73"/>
      <c r="F866" s="72"/>
    </row>
    <row r="867" ht="14.25" customHeight="1">
      <c r="A867" s="73"/>
      <c r="B867" s="73"/>
      <c r="C867" s="73"/>
      <c r="D867" s="73"/>
      <c r="E867" s="73"/>
      <c r="F867" s="72"/>
    </row>
    <row r="868" ht="14.25" customHeight="1">
      <c r="A868" s="73"/>
      <c r="B868" s="73"/>
      <c r="C868" s="73"/>
      <c r="D868" s="73"/>
      <c r="E868" s="73"/>
      <c r="F868" s="72"/>
    </row>
    <row r="869" ht="14.25" customHeight="1">
      <c r="A869" s="73"/>
      <c r="B869" s="73"/>
      <c r="C869" s="73"/>
      <c r="D869" s="73"/>
      <c r="E869" s="73"/>
      <c r="F869" s="72"/>
    </row>
    <row r="870" ht="14.25" customHeight="1">
      <c r="A870" s="73"/>
      <c r="B870" s="73"/>
      <c r="C870" s="73"/>
      <c r="D870" s="73"/>
      <c r="E870" s="73"/>
      <c r="F870" s="72"/>
    </row>
    <row r="871" ht="14.25" customHeight="1">
      <c r="A871" s="73"/>
      <c r="B871" s="73"/>
      <c r="C871" s="73"/>
      <c r="D871" s="73"/>
      <c r="E871" s="73"/>
      <c r="F871" s="72"/>
    </row>
    <row r="872" ht="14.25" customHeight="1">
      <c r="A872" s="73"/>
      <c r="B872" s="73"/>
      <c r="C872" s="73"/>
      <c r="D872" s="73"/>
      <c r="E872" s="73"/>
      <c r="F872" s="72"/>
    </row>
    <row r="873" ht="14.25" customHeight="1">
      <c r="A873" s="73"/>
      <c r="B873" s="73"/>
      <c r="C873" s="73"/>
      <c r="D873" s="73"/>
      <c r="E873" s="73"/>
      <c r="F873" s="72"/>
    </row>
    <row r="874" ht="14.25" customHeight="1">
      <c r="A874" s="73"/>
      <c r="B874" s="73"/>
      <c r="C874" s="73"/>
      <c r="D874" s="73"/>
      <c r="E874" s="73"/>
      <c r="F874" s="72"/>
    </row>
    <row r="875" ht="14.25" customHeight="1">
      <c r="A875" s="73"/>
      <c r="B875" s="73"/>
      <c r="C875" s="73"/>
      <c r="D875" s="73"/>
      <c r="E875" s="73"/>
      <c r="F875" s="72"/>
    </row>
    <row r="876" ht="14.25" customHeight="1">
      <c r="A876" s="73"/>
      <c r="B876" s="73"/>
      <c r="C876" s="73"/>
      <c r="D876" s="73"/>
      <c r="E876" s="73"/>
      <c r="F876" s="72"/>
    </row>
    <row r="877" ht="14.25" customHeight="1">
      <c r="A877" s="73"/>
      <c r="B877" s="73"/>
      <c r="C877" s="73"/>
      <c r="D877" s="73"/>
      <c r="E877" s="73"/>
      <c r="F877" s="72"/>
    </row>
    <row r="878" ht="14.25" customHeight="1">
      <c r="A878" s="73"/>
      <c r="B878" s="73"/>
      <c r="C878" s="73"/>
      <c r="D878" s="73"/>
      <c r="E878" s="73"/>
      <c r="F878" s="72"/>
    </row>
    <row r="879" ht="14.25" customHeight="1">
      <c r="A879" s="73"/>
      <c r="B879" s="73"/>
      <c r="C879" s="73"/>
      <c r="D879" s="73"/>
      <c r="E879" s="73"/>
      <c r="F879" s="72"/>
    </row>
    <row r="880" ht="14.25" customHeight="1">
      <c r="A880" s="73"/>
      <c r="B880" s="73"/>
      <c r="C880" s="73"/>
      <c r="D880" s="73"/>
      <c r="E880" s="73"/>
      <c r="F880" s="72"/>
    </row>
    <row r="881" ht="14.25" customHeight="1">
      <c r="A881" s="73"/>
      <c r="B881" s="73"/>
      <c r="C881" s="73"/>
      <c r="D881" s="73"/>
      <c r="E881" s="73"/>
      <c r="F881" s="72"/>
    </row>
    <row r="882" ht="14.25" customHeight="1">
      <c r="A882" s="73"/>
      <c r="B882" s="73"/>
      <c r="C882" s="73"/>
      <c r="D882" s="73"/>
      <c r="E882" s="73"/>
      <c r="F882" s="72"/>
    </row>
    <row r="883" ht="14.25" customHeight="1">
      <c r="A883" s="73"/>
      <c r="B883" s="73"/>
      <c r="C883" s="73"/>
      <c r="D883" s="73"/>
      <c r="E883" s="73"/>
      <c r="F883" s="72"/>
    </row>
    <row r="884" ht="14.25" customHeight="1">
      <c r="A884" s="73"/>
      <c r="B884" s="73"/>
      <c r="C884" s="73"/>
      <c r="D884" s="73"/>
      <c r="E884" s="73"/>
      <c r="F884" s="72"/>
    </row>
    <row r="885" ht="14.25" customHeight="1">
      <c r="A885" s="73"/>
      <c r="B885" s="73"/>
      <c r="C885" s="73"/>
      <c r="D885" s="73"/>
      <c r="E885" s="73"/>
      <c r="F885" s="72"/>
    </row>
    <row r="886" ht="14.25" customHeight="1">
      <c r="A886" s="73"/>
      <c r="B886" s="73"/>
      <c r="C886" s="73"/>
      <c r="D886" s="73"/>
      <c r="E886" s="73"/>
      <c r="F886" s="72"/>
    </row>
    <row r="887" ht="14.25" customHeight="1">
      <c r="A887" s="73"/>
      <c r="B887" s="73"/>
      <c r="C887" s="73"/>
      <c r="D887" s="73"/>
      <c r="E887" s="73"/>
      <c r="F887" s="72"/>
    </row>
    <row r="888" ht="14.25" customHeight="1">
      <c r="A888" s="73"/>
      <c r="B888" s="73"/>
      <c r="C888" s="73"/>
      <c r="D888" s="73"/>
      <c r="E888" s="73"/>
      <c r="F888" s="72"/>
    </row>
    <row r="889" ht="14.25" customHeight="1">
      <c r="A889" s="73"/>
      <c r="B889" s="73"/>
      <c r="C889" s="73"/>
      <c r="D889" s="73"/>
      <c r="E889" s="73"/>
      <c r="F889" s="72"/>
    </row>
    <row r="890" ht="14.25" customHeight="1">
      <c r="A890" s="73"/>
      <c r="B890" s="73"/>
      <c r="C890" s="73"/>
      <c r="D890" s="73"/>
      <c r="E890" s="73"/>
      <c r="F890" s="72"/>
    </row>
    <row r="891" ht="14.25" customHeight="1">
      <c r="A891" s="73"/>
      <c r="B891" s="73"/>
      <c r="C891" s="73"/>
      <c r="D891" s="73"/>
      <c r="E891" s="73"/>
      <c r="F891" s="72"/>
    </row>
    <row r="892" ht="14.25" customHeight="1">
      <c r="A892" s="73"/>
      <c r="B892" s="73"/>
      <c r="C892" s="73"/>
      <c r="D892" s="73"/>
      <c r="E892" s="73"/>
      <c r="F892" s="72"/>
    </row>
    <row r="893" ht="14.25" customHeight="1">
      <c r="A893" s="73"/>
      <c r="B893" s="73"/>
      <c r="C893" s="73"/>
      <c r="D893" s="73"/>
      <c r="E893" s="73"/>
      <c r="F893" s="72"/>
    </row>
    <row r="894" ht="14.25" customHeight="1">
      <c r="A894" s="73"/>
      <c r="B894" s="73"/>
      <c r="C894" s="73"/>
      <c r="D894" s="73"/>
      <c r="E894" s="73"/>
      <c r="F894" s="72"/>
    </row>
    <row r="895" ht="14.25" customHeight="1">
      <c r="A895" s="73"/>
      <c r="B895" s="73"/>
      <c r="C895" s="73"/>
      <c r="D895" s="73"/>
      <c r="E895" s="73"/>
      <c r="F895" s="72"/>
    </row>
    <row r="896" ht="14.25" customHeight="1">
      <c r="A896" s="73"/>
      <c r="B896" s="73"/>
      <c r="C896" s="73"/>
      <c r="D896" s="73"/>
      <c r="E896" s="73"/>
      <c r="F896" s="72"/>
    </row>
    <row r="897" ht="14.25" customHeight="1">
      <c r="A897" s="73"/>
      <c r="B897" s="73"/>
      <c r="C897" s="73"/>
      <c r="D897" s="73"/>
      <c r="E897" s="73"/>
      <c r="F897" s="72"/>
    </row>
    <row r="898" ht="14.25" customHeight="1">
      <c r="A898" s="73"/>
      <c r="B898" s="73"/>
      <c r="C898" s="73"/>
      <c r="D898" s="73"/>
      <c r="E898" s="73"/>
      <c r="F898" s="72"/>
    </row>
    <row r="899" ht="14.25" customHeight="1">
      <c r="A899" s="73"/>
      <c r="B899" s="73"/>
      <c r="C899" s="73"/>
      <c r="D899" s="73"/>
      <c r="E899" s="73"/>
      <c r="F899" s="72"/>
    </row>
    <row r="900" ht="14.25" customHeight="1">
      <c r="A900" s="73"/>
      <c r="B900" s="73"/>
      <c r="C900" s="73"/>
      <c r="D900" s="73"/>
      <c r="E900" s="73"/>
      <c r="F900" s="72"/>
    </row>
    <row r="901" ht="14.25" customHeight="1">
      <c r="A901" s="73"/>
      <c r="B901" s="73"/>
      <c r="C901" s="73"/>
      <c r="D901" s="73"/>
      <c r="E901" s="73"/>
      <c r="F901" s="72"/>
    </row>
    <row r="902" ht="14.25" customHeight="1">
      <c r="A902" s="73"/>
      <c r="B902" s="73"/>
      <c r="C902" s="73"/>
      <c r="D902" s="73"/>
      <c r="E902" s="73"/>
      <c r="F902" s="72"/>
    </row>
    <row r="903" ht="14.25" customHeight="1">
      <c r="A903" s="73"/>
      <c r="B903" s="73"/>
      <c r="C903" s="73"/>
      <c r="D903" s="73"/>
      <c r="E903" s="73"/>
      <c r="F903" s="72"/>
    </row>
    <row r="904" ht="14.25" customHeight="1">
      <c r="A904" s="73"/>
      <c r="B904" s="73"/>
      <c r="C904" s="73"/>
      <c r="D904" s="73"/>
      <c r="E904" s="73"/>
      <c r="F904" s="72"/>
    </row>
    <row r="905" ht="14.25" customHeight="1">
      <c r="A905" s="73"/>
      <c r="B905" s="73"/>
      <c r="C905" s="73"/>
      <c r="D905" s="73"/>
      <c r="E905" s="73"/>
      <c r="F905" s="72"/>
    </row>
    <row r="906" ht="14.25" customHeight="1">
      <c r="A906" s="73"/>
      <c r="B906" s="73"/>
      <c r="C906" s="73"/>
      <c r="D906" s="73"/>
      <c r="E906" s="73"/>
      <c r="F906" s="72"/>
    </row>
    <row r="907" ht="14.25" customHeight="1">
      <c r="A907" s="73"/>
      <c r="B907" s="73"/>
      <c r="C907" s="73"/>
      <c r="D907" s="73"/>
      <c r="E907" s="73"/>
      <c r="F907" s="72"/>
    </row>
    <row r="908" ht="14.25" customHeight="1">
      <c r="A908" s="73"/>
      <c r="B908" s="73"/>
      <c r="C908" s="73"/>
      <c r="D908" s="73"/>
      <c r="E908" s="73"/>
      <c r="F908" s="72"/>
    </row>
    <row r="909" ht="14.25" customHeight="1">
      <c r="A909" s="73"/>
      <c r="B909" s="73"/>
      <c r="C909" s="73"/>
      <c r="D909" s="73"/>
      <c r="E909" s="73"/>
      <c r="F909" s="72"/>
    </row>
    <row r="910" ht="14.25" customHeight="1">
      <c r="A910" s="73"/>
      <c r="B910" s="73"/>
      <c r="C910" s="73"/>
      <c r="D910" s="73"/>
      <c r="E910" s="73"/>
      <c r="F910" s="72"/>
    </row>
    <row r="911" ht="14.25" customHeight="1">
      <c r="A911" s="73"/>
      <c r="B911" s="73"/>
      <c r="C911" s="73"/>
      <c r="D911" s="73"/>
      <c r="E911" s="73"/>
      <c r="F911" s="72"/>
    </row>
    <row r="912" ht="14.25" customHeight="1">
      <c r="A912" s="73"/>
      <c r="B912" s="73"/>
      <c r="C912" s="73"/>
      <c r="D912" s="73"/>
      <c r="E912" s="73"/>
      <c r="F912" s="72"/>
    </row>
    <row r="913" ht="14.25" customHeight="1">
      <c r="A913" s="73"/>
      <c r="B913" s="73"/>
      <c r="C913" s="73"/>
      <c r="D913" s="73"/>
      <c r="E913" s="73"/>
      <c r="F913" s="72"/>
    </row>
    <row r="914" ht="14.25" customHeight="1">
      <c r="A914" s="73"/>
      <c r="B914" s="73"/>
      <c r="C914" s="73"/>
      <c r="D914" s="73"/>
      <c r="E914" s="73"/>
      <c r="F914" s="72"/>
    </row>
    <row r="915" ht="14.25" customHeight="1">
      <c r="A915" s="73"/>
      <c r="B915" s="73"/>
      <c r="C915" s="73"/>
      <c r="D915" s="73"/>
      <c r="E915" s="73"/>
      <c r="F915" s="72"/>
    </row>
    <row r="916" ht="14.25" customHeight="1">
      <c r="A916" s="73"/>
      <c r="B916" s="73"/>
      <c r="C916" s="73"/>
      <c r="D916" s="73"/>
      <c r="E916" s="73"/>
      <c r="F916" s="72"/>
    </row>
    <row r="917" ht="14.25" customHeight="1">
      <c r="A917" s="73"/>
      <c r="B917" s="73"/>
      <c r="C917" s="73"/>
      <c r="D917" s="73"/>
      <c r="E917" s="73"/>
      <c r="F917" s="72"/>
    </row>
    <row r="918" ht="14.25" customHeight="1">
      <c r="A918" s="73"/>
      <c r="B918" s="73"/>
      <c r="C918" s="73"/>
      <c r="D918" s="73"/>
      <c r="E918" s="73"/>
      <c r="F918" s="72"/>
    </row>
    <row r="919" ht="14.25" customHeight="1">
      <c r="A919" s="73"/>
      <c r="B919" s="73"/>
      <c r="C919" s="73"/>
      <c r="D919" s="73"/>
      <c r="E919" s="73"/>
      <c r="F919" s="72"/>
    </row>
    <row r="920" ht="14.25" customHeight="1">
      <c r="A920" s="73"/>
      <c r="B920" s="73"/>
      <c r="C920" s="73"/>
      <c r="D920" s="73"/>
      <c r="E920" s="73"/>
      <c r="F920" s="72"/>
    </row>
    <row r="921" ht="14.25" customHeight="1">
      <c r="A921" s="73"/>
      <c r="B921" s="73"/>
      <c r="C921" s="73"/>
      <c r="D921" s="73"/>
      <c r="E921" s="73"/>
      <c r="F921" s="72"/>
    </row>
    <row r="922" ht="14.25" customHeight="1">
      <c r="A922" s="73"/>
      <c r="B922" s="73"/>
      <c r="C922" s="73"/>
      <c r="D922" s="73"/>
      <c r="E922" s="73"/>
      <c r="F922" s="72"/>
    </row>
    <row r="923" ht="14.25" customHeight="1">
      <c r="A923" s="73"/>
      <c r="B923" s="73"/>
      <c r="C923" s="73"/>
      <c r="D923" s="73"/>
      <c r="E923" s="73"/>
      <c r="F923" s="72"/>
    </row>
    <row r="924" ht="14.25" customHeight="1">
      <c r="A924" s="73"/>
      <c r="B924" s="73"/>
      <c r="C924" s="73"/>
      <c r="D924" s="73"/>
      <c r="E924" s="73"/>
      <c r="F924" s="72"/>
    </row>
    <row r="925" ht="14.25" customHeight="1">
      <c r="A925" s="73"/>
      <c r="B925" s="73"/>
      <c r="C925" s="73"/>
      <c r="D925" s="73"/>
      <c r="E925" s="73"/>
      <c r="F925" s="72"/>
    </row>
    <row r="926" ht="14.25" customHeight="1">
      <c r="A926" s="73"/>
      <c r="B926" s="73"/>
      <c r="C926" s="73"/>
      <c r="D926" s="73"/>
      <c r="E926" s="73"/>
      <c r="F926" s="72"/>
    </row>
    <row r="927" ht="14.25" customHeight="1">
      <c r="A927" s="73"/>
      <c r="B927" s="73"/>
      <c r="C927" s="73"/>
      <c r="D927" s="73"/>
      <c r="E927" s="73"/>
      <c r="F927" s="72"/>
    </row>
    <row r="928" ht="14.25" customHeight="1">
      <c r="A928" s="73"/>
      <c r="B928" s="73"/>
      <c r="C928" s="73"/>
      <c r="D928" s="73"/>
      <c r="E928" s="73"/>
      <c r="F928" s="72"/>
    </row>
    <row r="929" ht="14.25" customHeight="1">
      <c r="A929" s="73"/>
      <c r="B929" s="73"/>
      <c r="C929" s="73"/>
      <c r="D929" s="73"/>
      <c r="E929" s="73"/>
      <c r="F929" s="72"/>
    </row>
    <row r="930" ht="14.25" customHeight="1">
      <c r="A930" s="73"/>
      <c r="B930" s="73"/>
      <c r="C930" s="73"/>
      <c r="D930" s="73"/>
      <c r="E930" s="73"/>
      <c r="F930" s="72"/>
    </row>
    <row r="931" ht="14.25" customHeight="1">
      <c r="A931" s="73"/>
      <c r="B931" s="73"/>
      <c r="C931" s="73"/>
      <c r="D931" s="73"/>
      <c r="E931" s="73"/>
      <c r="F931" s="72"/>
    </row>
    <row r="932" ht="14.25" customHeight="1">
      <c r="A932" s="73"/>
      <c r="B932" s="73"/>
      <c r="C932" s="73"/>
      <c r="D932" s="73"/>
      <c r="E932" s="73"/>
      <c r="F932" s="72"/>
    </row>
    <row r="933" ht="14.25" customHeight="1">
      <c r="A933" s="73"/>
      <c r="B933" s="73"/>
      <c r="C933" s="73"/>
      <c r="D933" s="73"/>
      <c r="E933" s="73"/>
      <c r="F933" s="72"/>
    </row>
    <row r="934" ht="14.25" customHeight="1">
      <c r="A934" s="73"/>
      <c r="B934" s="73"/>
      <c r="C934" s="73"/>
      <c r="D934" s="73"/>
      <c r="E934" s="73"/>
      <c r="F934" s="72"/>
    </row>
    <row r="935" ht="14.25" customHeight="1">
      <c r="A935" s="73"/>
      <c r="B935" s="73"/>
      <c r="C935" s="73"/>
      <c r="D935" s="73"/>
      <c r="E935" s="73"/>
      <c r="F935" s="72"/>
    </row>
    <row r="936" ht="14.25" customHeight="1">
      <c r="A936" s="73"/>
      <c r="B936" s="73"/>
      <c r="C936" s="73"/>
      <c r="D936" s="73"/>
      <c r="E936" s="73"/>
      <c r="F936" s="72"/>
    </row>
    <row r="937" ht="14.25" customHeight="1">
      <c r="A937" s="73"/>
      <c r="B937" s="73"/>
      <c r="C937" s="73"/>
      <c r="D937" s="73"/>
      <c r="E937" s="73"/>
      <c r="F937" s="72"/>
    </row>
    <row r="938" ht="14.25" customHeight="1">
      <c r="A938" s="73"/>
      <c r="B938" s="73"/>
      <c r="C938" s="73"/>
      <c r="D938" s="73"/>
      <c r="E938" s="73"/>
      <c r="F938" s="72"/>
    </row>
    <row r="939" ht="14.25" customHeight="1">
      <c r="A939" s="73"/>
      <c r="B939" s="73"/>
      <c r="C939" s="73"/>
      <c r="D939" s="73"/>
      <c r="E939" s="73"/>
      <c r="F939" s="72"/>
    </row>
    <row r="940" ht="14.25" customHeight="1">
      <c r="A940" s="73"/>
      <c r="B940" s="73"/>
      <c r="C940" s="73"/>
      <c r="D940" s="73"/>
      <c r="E940" s="73"/>
      <c r="F940" s="72"/>
    </row>
    <row r="941" ht="14.25" customHeight="1">
      <c r="A941" s="73"/>
      <c r="B941" s="73"/>
      <c r="C941" s="73"/>
      <c r="D941" s="73"/>
      <c r="E941" s="73"/>
      <c r="F941" s="72"/>
    </row>
    <row r="942" ht="14.25" customHeight="1">
      <c r="A942" s="73"/>
      <c r="B942" s="73"/>
      <c r="C942" s="73"/>
      <c r="D942" s="73"/>
      <c r="E942" s="73"/>
      <c r="F942" s="72"/>
    </row>
    <row r="943" ht="14.25" customHeight="1">
      <c r="A943" s="73"/>
      <c r="B943" s="73"/>
      <c r="C943" s="73"/>
      <c r="D943" s="73"/>
      <c r="E943" s="73"/>
      <c r="F943" s="72"/>
    </row>
    <row r="944" ht="14.25" customHeight="1">
      <c r="A944" s="73"/>
      <c r="B944" s="73"/>
      <c r="C944" s="73"/>
      <c r="D944" s="73"/>
      <c r="E944" s="73"/>
      <c r="F944" s="72"/>
    </row>
    <row r="945" ht="14.25" customHeight="1">
      <c r="A945" s="73"/>
      <c r="B945" s="73"/>
      <c r="C945" s="73"/>
      <c r="D945" s="73"/>
      <c r="E945" s="73"/>
      <c r="F945" s="72"/>
    </row>
    <row r="946" ht="14.25" customHeight="1">
      <c r="A946" s="73"/>
      <c r="B946" s="73"/>
      <c r="C946" s="73"/>
      <c r="D946" s="73"/>
      <c r="E946" s="73"/>
      <c r="F946" s="72"/>
    </row>
    <row r="947" ht="14.25" customHeight="1">
      <c r="A947" s="73"/>
      <c r="B947" s="73"/>
      <c r="C947" s="73"/>
      <c r="D947" s="73"/>
      <c r="E947" s="73"/>
      <c r="F947" s="72"/>
    </row>
    <row r="948" ht="14.25" customHeight="1">
      <c r="A948" s="73"/>
      <c r="B948" s="73"/>
      <c r="C948" s="73"/>
      <c r="D948" s="73"/>
      <c r="E948" s="73"/>
      <c r="F948" s="72"/>
    </row>
    <row r="949" ht="14.25" customHeight="1">
      <c r="A949" s="73"/>
      <c r="B949" s="73"/>
      <c r="C949" s="73"/>
      <c r="D949" s="73"/>
      <c r="E949" s="73"/>
      <c r="F949" s="72"/>
    </row>
    <row r="950" ht="14.25" customHeight="1">
      <c r="A950" s="73"/>
      <c r="B950" s="73"/>
      <c r="C950" s="73"/>
      <c r="D950" s="73"/>
      <c r="E950" s="73"/>
      <c r="F950" s="72"/>
    </row>
    <row r="951" ht="14.25" customHeight="1">
      <c r="A951" s="73"/>
      <c r="B951" s="73"/>
      <c r="C951" s="73"/>
      <c r="D951" s="73"/>
      <c r="E951" s="73"/>
      <c r="F951" s="72"/>
    </row>
    <row r="952" ht="14.25" customHeight="1">
      <c r="A952" s="73"/>
      <c r="B952" s="73"/>
      <c r="C952" s="73"/>
      <c r="D952" s="73"/>
      <c r="E952" s="73"/>
      <c r="F952" s="72"/>
    </row>
    <row r="953" ht="14.25" customHeight="1">
      <c r="A953" s="73"/>
      <c r="B953" s="73"/>
      <c r="C953" s="73"/>
      <c r="D953" s="73"/>
      <c r="E953" s="73"/>
      <c r="F953" s="72"/>
    </row>
    <row r="954" ht="14.25" customHeight="1">
      <c r="A954" s="73"/>
      <c r="B954" s="73"/>
      <c r="C954" s="73"/>
      <c r="D954" s="73"/>
      <c r="E954" s="73"/>
      <c r="F954" s="72"/>
    </row>
    <row r="955" ht="14.25" customHeight="1">
      <c r="A955" s="73"/>
      <c r="B955" s="73"/>
      <c r="C955" s="73"/>
      <c r="D955" s="73"/>
      <c r="E955" s="73"/>
      <c r="F955" s="72"/>
    </row>
    <row r="956" ht="14.25" customHeight="1">
      <c r="A956" s="73"/>
      <c r="B956" s="73"/>
      <c r="C956" s="73"/>
      <c r="D956" s="73"/>
      <c r="E956" s="73"/>
      <c r="F956" s="72"/>
    </row>
    <row r="957" ht="14.25" customHeight="1">
      <c r="A957" s="73"/>
      <c r="B957" s="73"/>
      <c r="C957" s="73"/>
      <c r="D957" s="73"/>
      <c r="E957" s="73"/>
      <c r="F957" s="72"/>
    </row>
    <row r="958" ht="14.25" customHeight="1">
      <c r="A958" s="73"/>
      <c r="B958" s="73"/>
      <c r="C958" s="73"/>
      <c r="D958" s="73"/>
      <c r="E958" s="73"/>
      <c r="F958" s="72"/>
    </row>
    <row r="959" ht="14.25" customHeight="1">
      <c r="A959" s="73"/>
      <c r="B959" s="73"/>
      <c r="C959" s="73"/>
      <c r="D959" s="73"/>
      <c r="E959" s="73"/>
      <c r="F959" s="72"/>
    </row>
    <row r="960" ht="14.25" customHeight="1">
      <c r="A960" s="73"/>
      <c r="B960" s="73"/>
      <c r="C960" s="73"/>
      <c r="D960" s="73"/>
      <c r="E960" s="73"/>
      <c r="F960" s="72"/>
    </row>
    <row r="961" ht="14.25" customHeight="1">
      <c r="A961" s="73"/>
      <c r="B961" s="73"/>
      <c r="C961" s="73"/>
      <c r="D961" s="73"/>
      <c r="E961" s="73"/>
      <c r="F961" s="72"/>
    </row>
    <row r="962" ht="14.25" customHeight="1">
      <c r="A962" s="73"/>
      <c r="B962" s="73"/>
      <c r="C962" s="73"/>
      <c r="D962" s="73"/>
      <c r="E962" s="73"/>
      <c r="F962" s="72"/>
    </row>
    <row r="963" ht="14.25" customHeight="1">
      <c r="A963" s="73"/>
      <c r="B963" s="73"/>
      <c r="C963" s="73"/>
      <c r="D963" s="73"/>
      <c r="E963" s="73"/>
      <c r="F963" s="72"/>
    </row>
    <row r="964" ht="14.25" customHeight="1">
      <c r="A964" s="73"/>
      <c r="B964" s="73"/>
      <c r="C964" s="73"/>
      <c r="D964" s="73"/>
      <c r="E964" s="73"/>
      <c r="F964" s="72"/>
    </row>
    <row r="965" ht="14.25" customHeight="1">
      <c r="A965" s="73"/>
      <c r="B965" s="73"/>
      <c r="C965" s="73"/>
      <c r="D965" s="73"/>
      <c r="E965" s="73"/>
      <c r="F965" s="72"/>
    </row>
    <row r="966" ht="14.25" customHeight="1">
      <c r="A966" s="73"/>
      <c r="B966" s="73"/>
      <c r="C966" s="73"/>
      <c r="D966" s="73"/>
      <c r="E966" s="73"/>
      <c r="F966" s="72"/>
    </row>
    <row r="967" ht="14.25" customHeight="1">
      <c r="A967" s="73"/>
      <c r="B967" s="73"/>
      <c r="C967" s="73"/>
      <c r="D967" s="73"/>
      <c r="E967" s="73"/>
      <c r="F967" s="72"/>
    </row>
    <row r="968" ht="14.25" customHeight="1">
      <c r="A968" s="73"/>
      <c r="B968" s="73"/>
      <c r="C968" s="73"/>
      <c r="D968" s="73"/>
      <c r="E968" s="73"/>
      <c r="F968" s="72"/>
    </row>
    <row r="969" ht="14.25" customHeight="1">
      <c r="A969" s="73"/>
      <c r="B969" s="73"/>
      <c r="C969" s="73"/>
      <c r="D969" s="73"/>
      <c r="E969" s="73"/>
      <c r="F969" s="72"/>
    </row>
    <row r="970" ht="14.25" customHeight="1">
      <c r="A970" s="73"/>
      <c r="B970" s="73"/>
      <c r="C970" s="73"/>
      <c r="D970" s="73"/>
      <c r="E970" s="73"/>
      <c r="F970" s="72"/>
    </row>
    <row r="971" ht="14.25" customHeight="1">
      <c r="A971" s="73"/>
      <c r="B971" s="73"/>
      <c r="C971" s="73"/>
      <c r="D971" s="73"/>
      <c r="E971" s="73"/>
      <c r="F971" s="72"/>
    </row>
    <row r="972" ht="14.25" customHeight="1">
      <c r="A972" s="73"/>
      <c r="B972" s="73"/>
      <c r="C972" s="73"/>
      <c r="D972" s="73"/>
      <c r="E972" s="73"/>
      <c r="F972" s="72"/>
    </row>
    <row r="973" ht="14.25" customHeight="1">
      <c r="A973" s="73"/>
      <c r="B973" s="73"/>
      <c r="C973" s="73"/>
      <c r="D973" s="73"/>
      <c r="E973" s="73"/>
      <c r="F973" s="72"/>
    </row>
    <row r="974" ht="14.25" customHeight="1">
      <c r="A974" s="73"/>
      <c r="B974" s="73"/>
      <c r="C974" s="73"/>
      <c r="D974" s="73"/>
      <c r="E974" s="73"/>
      <c r="F974" s="72"/>
    </row>
    <row r="975" ht="14.25" customHeight="1">
      <c r="A975" s="73"/>
      <c r="B975" s="73"/>
      <c r="C975" s="73"/>
      <c r="D975" s="73"/>
      <c r="E975" s="73"/>
      <c r="F975" s="72"/>
    </row>
    <row r="976" ht="14.25" customHeight="1">
      <c r="A976" s="73"/>
      <c r="B976" s="73"/>
      <c r="C976" s="73"/>
      <c r="D976" s="73"/>
      <c r="E976" s="73"/>
      <c r="F976" s="72"/>
    </row>
    <row r="977" ht="14.25" customHeight="1">
      <c r="A977" s="73"/>
      <c r="B977" s="73"/>
      <c r="C977" s="73"/>
      <c r="D977" s="73"/>
      <c r="E977" s="73"/>
      <c r="F977" s="72"/>
    </row>
    <row r="978" ht="14.25" customHeight="1">
      <c r="A978" s="73"/>
      <c r="B978" s="73"/>
      <c r="C978" s="73"/>
      <c r="D978" s="73"/>
      <c r="E978" s="73"/>
      <c r="F978" s="72"/>
    </row>
    <row r="979" ht="14.25" customHeight="1">
      <c r="A979" s="73"/>
      <c r="B979" s="73"/>
      <c r="C979" s="73"/>
      <c r="D979" s="73"/>
      <c r="E979" s="73"/>
      <c r="F979" s="72"/>
    </row>
    <row r="980" ht="14.25" customHeight="1">
      <c r="A980" s="73"/>
      <c r="B980" s="73"/>
      <c r="C980" s="73"/>
      <c r="D980" s="73"/>
      <c r="E980" s="73"/>
      <c r="F980" s="72"/>
    </row>
    <row r="981" ht="14.25" customHeight="1">
      <c r="A981" s="73"/>
      <c r="B981" s="73"/>
      <c r="C981" s="73"/>
      <c r="D981" s="73"/>
      <c r="E981" s="73"/>
      <c r="F981" s="72"/>
    </row>
    <row r="982" ht="14.25" customHeight="1">
      <c r="A982" s="73"/>
      <c r="B982" s="73"/>
      <c r="C982" s="73"/>
      <c r="D982" s="73"/>
      <c r="E982" s="73"/>
      <c r="F982" s="72"/>
    </row>
    <row r="983" ht="14.25" customHeight="1">
      <c r="A983" s="73"/>
      <c r="B983" s="73"/>
      <c r="C983" s="73"/>
      <c r="D983" s="73"/>
      <c r="E983" s="73"/>
      <c r="F983" s="72"/>
    </row>
    <row r="984" ht="14.25" customHeight="1">
      <c r="A984" s="73"/>
      <c r="B984" s="73"/>
      <c r="C984" s="73"/>
      <c r="D984" s="73"/>
      <c r="E984" s="73"/>
      <c r="F984" s="72"/>
    </row>
    <row r="985" ht="14.25" customHeight="1">
      <c r="A985" s="73"/>
      <c r="B985" s="73"/>
      <c r="C985" s="73"/>
      <c r="D985" s="73"/>
      <c r="E985" s="73"/>
      <c r="F985" s="72"/>
    </row>
    <row r="986" ht="14.25" customHeight="1">
      <c r="A986" s="73"/>
      <c r="B986" s="73"/>
      <c r="C986" s="73"/>
      <c r="D986" s="73"/>
      <c r="E986" s="73"/>
      <c r="F986" s="72"/>
    </row>
    <row r="987" ht="14.25" customHeight="1">
      <c r="A987" s="73"/>
      <c r="B987" s="73"/>
      <c r="C987" s="73"/>
      <c r="D987" s="73"/>
      <c r="E987" s="73"/>
      <c r="F987" s="72"/>
    </row>
    <row r="988" ht="14.25" customHeight="1">
      <c r="A988" s="73"/>
      <c r="B988" s="73"/>
      <c r="C988" s="73"/>
      <c r="D988" s="73"/>
      <c r="E988" s="73"/>
      <c r="F988" s="72"/>
    </row>
    <row r="989" ht="14.25" customHeight="1">
      <c r="A989" s="73"/>
      <c r="B989" s="73"/>
      <c r="C989" s="73"/>
      <c r="D989" s="73"/>
      <c r="E989" s="73"/>
      <c r="F989" s="72"/>
    </row>
    <row r="990" ht="14.25" customHeight="1">
      <c r="A990" s="73"/>
      <c r="B990" s="73"/>
      <c r="C990" s="73"/>
      <c r="D990" s="73"/>
      <c r="E990" s="73"/>
      <c r="F990" s="72"/>
    </row>
    <row r="991" ht="14.25" customHeight="1">
      <c r="A991" s="73"/>
      <c r="B991" s="73"/>
      <c r="C991" s="73"/>
      <c r="D991" s="73"/>
      <c r="E991" s="73"/>
      <c r="F991" s="72"/>
    </row>
    <row r="992" ht="14.25" customHeight="1">
      <c r="A992" s="73"/>
      <c r="B992" s="73"/>
      <c r="C992" s="73"/>
      <c r="D992" s="73"/>
      <c r="E992" s="73"/>
      <c r="F992" s="72"/>
    </row>
    <row r="993" ht="14.25" customHeight="1">
      <c r="A993" s="73"/>
      <c r="B993" s="73"/>
      <c r="C993" s="73"/>
      <c r="D993" s="73"/>
      <c r="E993" s="73"/>
      <c r="F993" s="72"/>
    </row>
    <row r="994" ht="14.25" customHeight="1">
      <c r="A994" s="73"/>
      <c r="B994" s="73"/>
      <c r="C994" s="73"/>
      <c r="D994" s="73"/>
      <c r="E994" s="73"/>
      <c r="F994" s="72"/>
    </row>
    <row r="995" ht="14.25" customHeight="1">
      <c r="A995" s="73"/>
      <c r="B995" s="73"/>
      <c r="C995" s="73"/>
      <c r="D995" s="73"/>
      <c r="E995" s="73"/>
      <c r="F995" s="72"/>
    </row>
    <row r="996" ht="14.25" customHeight="1">
      <c r="A996" s="73"/>
      <c r="B996" s="73"/>
      <c r="C996" s="73"/>
      <c r="D996" s="73"/>
      <c r="E996" s="73"/>
      <c r="F996" s="72"/>
    </row>
    <row r="997" ht="14.25" customHeight="1">
      <c r="A997" s="73"/>
      <c r="B997" s="73"/>
      <c r="C997" s="73"/>
      <c r="D997" s="73"/>
      <c r="E997" s="73"/>
      <c r="F997" s="72"/>
    </row>
    <row r="998" ht="14.25" customHeight="1">
      <c r="A998" s="73"/>
      <c r="B998" s="73"/>
      <c r="C998" s="73"/>
      <c r="D998" s="73"/>
      <c r="E998" s="73"/>
      <c r="F998" s="72"/>
    </row>
    <row r="999" ht="14.25" customHeight="1">
      <c r="A999" s="73"/>
      <c r="B999" s="73"/>
      <c r="C999" s="73"/>
      <c r="D999" s="73"/>
      <c r="E999" s="73"/>
      <c r="F999" s="72"/>
    </row>
    <row r="1000" ht="14.25" customHeight="1">
      <c r="A1000" s="73"/>
      <c r="B1000" s="73"/>
      <c r="C1000" s="73"/>
      <c r="D1000" s="73"/>
      <c r="E1000" s="73"/>
      <c r="F1000" s="72"/>
    </row>
  </sheetData>
  <mergeCells count="136">
    <mergeCell ref="B32:B33"/>
    <mergeCell ref="A41:B42"/>
    <mergeCell ref="C41:C42"/>
    <mergeCell ref="D41:D42"/>
    <mergeCell ref="E41:E42"/>
    <mergeCell ref="F41:F42"/>
    <mergeCell ref="A45:A46"/>
    <mergeCell ref="A50:E50"/>
    <mergeCell ref="B45:B46"/>
    <mergeCell ref="C45:C46"/>
    <mergeCell ref="A55:B56"/>
    <mergeCell ref="C55:C56"/>
    <mergeCell ref="D55:D56"/>
    <mergeCell ref="E55:E56"/>
    <mergeCell ref="F55:F56"/>
    <mergeCell ref="A74:E74"/>
    <mergeCell ref="G75:H75"/>
    <mergeCell ref="I75:J75"/>
    <mergeCell ref="K75:L75"/>
    <mergeCell ref="M75:N75"/>
    <mergeCell ref="O75:P75"/>
    <mergeCell ref="Q75:R75"/>
    <mergeCell ref="S75:T75"/>
    <mergeCell ref="C57:C63"/>
    <mergeCell ref="A64:E64"/>
    <mergeCell ref="A68:B69"/>
    <mergeCell ref="C68:C69"/>
    <mergeCell ref="D68:D69"/>
    <mergeCell ref="E68:E69"/>
    <mergeCell ref="F68:F69"/>
    <mergeCell ref="P2:R2"/>
    <mergeCell ref="S2:U2"/>
    <mergeCell ref="V2:X2"/>
    <mergeCell ref="Y2:Y3"/>
    <mergeCell ref="AC6:AF6"/>
    <mergeCell ref="AI6:AK6"/>
    <mergeCell ref="AK8:AK10"/>
    <mergeCell ref="AC13:AF26"/>
    <mergeCell ref="A1:Z1"/>
    <mergeCell ref="A2:B3"/>
    <mergeCell ref="C2:C3"/>
    <mergeCell ref="D2:D3"/>
    <mergeCell ref="E2:E3"/>
    <mergeCell ref="F2:F3"/>
    <mergeCell ref="G2:I2"/>
    <mergeCell ref="Z2:Z3"/>
    <mergeCell ref="J2:L2"/>
    <mergeCell ref="M2:O2"/>
    <mergeCell ref="B4:B5"/>
    <mergeCell ref="C4:C5"/>
    <mergeCell ref="B6:B7"/>
    <mergeCell ref="C6:C7"/>
    <mergeCell ref="B13:B14"/>
    <mergeCell ref="B19:B22"/>
    <mergeCell ref="C19:C22"/>
    <mergeCell ref="C26:C27"/>
    <mergeCell ref="B29:B31"/>
    <mergeCell ref="C29:C31"/>
    <mergeCell ref="A36:E36"/>
    <mergeCell ref="A40:Z40"/>
    <mergeCell ref="Z41:Z42"/>
    <mergeCell ref="AC44:AF44"/>
    <mergeCell ref="G41:I41"/>
    <mergeCell ref="J41:L41"/>
    <mergeCell ref="M41:O41"/>
    <mergeCell ref="P41:R41"/>
    <mergeCell ref="S41:U41"/>
    <mergeCell ref="V41:X41"/>
    <mergeCell ref="Y41:Y42"/>
    <mergeCell ref="Y55:Y56"/>
    <mergeCell ref="Z55:Z56"/>
    <mergeCell ref="AC57:AF57"/>
    <mergeCell ref="A54:Z54"/>
    <mergeCell ref="G55:I55"/>
    <mergeCell ref="J55:L55"/>
    <mergeCell ref="M55:O55"/>
    <mergeCell ref="P55:R55"/>
    <mergeCell ref="S55:U55"/>
    <mergeCell ref="V55:X55"/>
    <mergeCell ref="S68:T68"/>
    <mergeCell ref="V68:V69"/>
    <mergeCell ref="W68:W69"/>
    <mergeCell ref="A67:W67"/>
    <mergeCell ref="G68:H68"/>
    <mergeCell ref="I68:J68"/>
    <mergeCell ref="K68:L68"/>
    <mergeCell ref="M68:N68"/>
    <mergeCell ref="O68:P68"/>
    <mergeCell ref="Q68:R68"/>
    <mergeCell ref="I84:J84"/>
    <mergeCell ref="K84:L84"/>
    <mergeCell ref="M84:N84"/>
    <mergeCell ref="O84:P84"/>
    <mergeCell ref="Q84:R84"/>
    <mergeCell ref="S84:T84"/>
    <mergeCell ref="D130:F130"/>
    <mergeCell ref="D131:E131"/>
    <mergeCell ref="D132:E132"/>
    <mergeCell ref="D133:E133"/>
    <mergeCell ref="G103:G104"/>
    <mergeCell ref="H103:H104"/>
    <mergeCell ref="B121:E121"/>
    <mergeCell ref="D122:E122"/>
    <mergeCell ref="D123:D126"/>
    <mergeCell ref="E123:E126"/>
    <mergeCell ref="B129:F129"/>
    <mergeCell ref="A83:Z83"/>
    <mergeCell ref="A84:B85"/>
    <mergeCell ref="C84:C85"/>
    <mergeCell ref="D84:D85"/>
    <mergeCell ref="E84:E85"/>
    <mergeCell ref="F84:F85"/>
    <mergeCell ref="G84:H84"/>
    <mergeCell ref="W84:W85"/>
    <mergeCell ref="M98:N98"/>
    <mergeCell ref="O98:P98"/>
    <mergeCell ref="Q98:R98"/>
    <mergeCell ref="S98:T98"/>
    <mergeCell ref="U84:U85"/>
    <mergeCell ref="V84:V85"/>
    <mergeCell ref="A86:A96"/>
    <mergeCell ref="B86:B96"/>
    <mergeCell ref="C86:C96"/>
    <mergeCell ref="C97:F98"/>
    <mergeCell ref="G98:H98"/>
    <mergeCell ref="I103:I104"/>
    <mergeCell ref="J103:J104"/>
    <mergeCell ref="K103:K104"/>
    <mergeCell ref="L103:L104"/>
    <mergeCell ref="I98:J98"/>
    <mergeCell ref="K98:L98"/>
    <mergeCell ref="A103:B104"/>
    <mergeCell ref="C103:C104"/>
    <mergeCell ref="D103:D104"/>
    <mergeCell ref="E103:E104"/>
    <mergeCell ref="F103:F104"/>
  </mergeCells>
  <conditionalFormatting sqref="Y4:Y35">
    <cfRule type="cellIs" dxfId="0" priority="1" operator="lessThan">
      <formula>-1</formula>
    </cfRule>
  </conditionalFormatting>
  <conditionalFormatting sqref="Y36">
    <cfRule type="cellIs" dxfId="1" priority="2" operator="greaterThan">
      <formula>0</formula>
    </cfRule>
  </conditionalFormatting>
  <conditionalFormatting sqref="Y43:Y49">
    <cfRule type="cellIs" dxfId="0" priority="3" operator="lessThan">
      <formula>0</formula>
    </cfRule>
  </conditionalFormatting>
  <conditionalFormatting sqref="Z4">
    <cfRule type="cellIs" dxfId="0" priority="4" operator="greaterThan">
      <formula>$F$4</formula>
    </cfRule>
  </conditionalFormatting>
  <conditionalFormatting sqref="Z5">
    <cfRule type="cellIs" dxfId="0" priority="5" operator="greaterThan">
      <formula>$F$5</formula>
    </cfRule>
  </conditionalFormatting>
  <conditionalFormatting sqref="Z6">
    <cfRule type="cellIs" dxfId="0" priority="6" operator="greaterThan">
      <formula>$F$6</formula>
    </cfRule>
  </conditionalFormatting>
  <conditionalFormatting sqref="Z7">
    <cfRule type="cellIs" dxfId="0" priority="7" operator="greaterThan">
      <formula>$F$7</formula>
    </cfRule>
  </conditionalFormatting>
  <conditionalFormatting sqref="Z8">
    <cfRule type="cellIs" dxfId="0" priority="8" operator="greaterThan">
      <formula>$F$8</formula>
    </cfRule>
  </conditionalFormatting>
  <conditionalFormatting sqref="Z9">
    <cfRule type="cellIs" dxfId="0" priority="9" operator="greaterThan">
      <formula>$F$9</formula>
    </cfRule>
  </conditionalFormatting>
  <conditionalFormatting sqref="Z10">
    <cfRule type="cellIs" dxfId="0" priority="10" operator="greaterThan">
      <formula>$F$10</formula>
    </cfRule>
  </conditionalFormatting>
  <conditionalFormatting sqref="Z11">
    <cfRule type="cellIs" dxfId="0" priority="11" operator="greaterThan">
      <formula>$F$11</formula>
    </cfRule>
  </conditionalFormatting>
  <conditionalFormatting sqref="Z12">
    <cfRule type="cellIs" dxfId="0" priority="12" operator="greaterThan">
      <formula>$F$12</formula>
    </cfRule>
  </conditionalFormatting>
  <conditionalFormatting sqref="Z13">
    <cfRule type="cellIs" dxfId="0" priority="13" operator="greaterThan">
      <formula>$F$13</formula>
    </cfRule>
  </conditionalFormatting>
  <conditionalFormatting sqref="Z14">
    <cfRule type="cellIs" dxfId="0" priority="14" operator="greaterThan">
      <formula>$F$14</formula>
    </cfRule>
  </conditionalFormatting>
  <conditionalFormatting sqref="Z15">
    <cfRule type="cellIs" dxfId="0" priority="15" operator="greaterThan">
      <formula>$F$15</formula>
    </cfRule>
  </conditionalFormatting>
  <conditionalFormatting sqref="Z16">
    <cfRule type="cellIs" dxfId="0" priority="16" operator="greaterThan">
      <formula>$F$16</formula>
    </cfRule>
  </conditionalFormatting>
  <conditionalFormatting sqref="Z17">
    <cfRule type="cellIs" dxfId="0" priority="17" operator="greaterThan">
      <formula>$F$17</formula>
    </cfRule>
  </conditionalFormatting>
  <conditionalFormatting sqref="Z18">
    <cfRule type="cellIs" dxfId="0" priority="18" operator="greaterThan">
      <formula>$F$18</formula>
    </cfRule>
  </conditionalFormatting>
  <conditionalFormatting sqref="Z19">
    <cfRule type="cellIs" dxfId="0" priority="19" operator="greaterThan">
      <formula>$F$19</formula>
    </cfRule>
  </conditionalFormatting>
  <conditionalFormatting sqref="Z20">
    <cfRule type="cellIs" dxfId="0" priority="20" operator="greaterThan">
      <formula>$F$20</formula>
    </cfRule>
  </conditionalFormatting>
  <conditionalFormatting sqref="Z23">
    <cfRule type="cellIs" dxfId="0" priority="21" operator="greaterThan">
      <formula>$F$23</formula>
    </cfRule>
  </conditionalFormatting>
  <conditionalFormatting sqref="Z24">
    <cfRule type="cellIs" dxfId="0" priority="22" operator="greaterThan">
      <formula>$F$24</formula>
    </cfRule>
  </conditionalFormatting>
  <conditionalFormatting sqref="Z25">
    <cfRule type="cellIs" dxfId="0" priority="23" operator="greaterThan">
      <formula>$F$25</formula>
    </cfRule>
  </conditionalFormatting>
  <conditionalFormatting sqref="Z26">
    <cfRule type="cellIs" dxfId="0" priority="24" operator="greaterThan">
      <formula>$F$26</formula>
    </cfRule>
  </conditionalFormatting>
  <conditionalFormatting sqref="Z27">
    <cfRule type="cellIs" dxfId="0" priority="25" operator="greaterThan">
      <formula>$F$27</formula>
    </cfRule>
  </conditionalFormatting>
  <conditionalFormatting sqref="Z28">
    <cfRule type="cellIs" dxfId="0" priority="26" operator="greaterThan">
      <formula>$F$28</formula>
    </cfRule>
  </conditionalFormatting>
  <conditionalFormatting sqref="Z29">
    <cfRule type="cellIs" dxfId="0" priority="27" operator="greaterThan">
      <formula>$F$29</formula>
    </cfRule>
  </conditionalFormatting>
  <conditionalFormatting sqref="Z30">
    <cfRule type="cellIs" dxfId="0" priority="28" operator="greaterThan">
      <formula>$F$30</formula>
    </cfRule>
  </conditionalFormatting>
  <conditionalFormatting sqref="Z31">
    <cfRule type="cellIs" dxfId="0" priority="29" operator="greaterThan">
      <formula>$F$31</formula>
    </cfRule>
  </conditionalFormatting>
  <conditionalFormatting sqref="Z32">
    <cfRule type="cellIs" dxfId="0" priority="30" operator="greaterThan">
      <formula>$F$32</formula>
    </cfRule>
  </conditionalFormatting>
  <conditionalFormatting sqref="Z33:Z34">
    <cfRule type="cellIs" dxfId="0" priority="31" operator="greaterThan">
      <formula>$F$33</formula>
    </cfRule>
  </conditionalFormatting>
  <conditionalFormatting sqref="Z35">
    <cfRule type="cellIs" dxfId="0" priority="32" operator="greaterThan">
      <formula>$F$35</formula>
    </cfRule>
  </conditionalFormatting>
  <conditionalFormatting sqref="Z36">
    <cfRule type="cellIs" dxfId="1" priority="33" operator="lessThan">
      <formula>46700</formula>
    </cfRule>
  </conditionalFormatting>
  <printOptions/>
  <pageMargins bottom="0.75" footer="0.0" header="0.0" left="0.25" right="0.25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34.75"/>
    <col customWidth="1" min="3" max="3" width="36.88"/>
    <col customWidth="1" min="4" max="4" width="32.38"/>
    <col customWidth="1" min="5" max="5" width="24.75"/>
    <col customWidth="1" min="6" max="6" width="21.5"/>
    <col customWidth="1" min="7" max="7" width="15.75"/>
    <col customWidth="1" min="8" max="8" width="17.0"/>
    <col customWidth="1" min="9" max="9" width="15.63"/>
    <col customWidth="1" min="10" max="10" width="14.25"/>
    <col customWidth="1" min="11" max="11" width="15.25"/>
    <col customWidth="1" min="12" max="12" width="16.5"/>
    <col customWidth="1" min="13" max="13" width="16.75"/>
    <col customWidth="1" min="14" max="14" width="21.63"/>
    <col customWidth="1" min="15" max="15" width="14.5"/>
    <col customWidth="1" min="16" max="16" width="19.0"/>
    <col customWidth="1" min="17" max="17" width="15.63"/>
    <col customWidth="1" min="18" max="18" width="14.88"/>
    <col customWidth="1" min="19" max="19" width="13.63"/>
    <col customWidth="1" min="20" max="20" width="18.25"/>
    <col customWidth="1" min="21" max="21" width="10.63"/>
    <col customWidth="1" min="22" max="22" width="16.63"/>
    <col customWidth="1" min="23" max="23" width="14.25"/>
    <col customWidth="1" min="24" max="24" width="10.63"/>
    <col customWidth="1" min="25" max="25" width="19.13"/>
    <col customWidth="1" min="26" max="26" width="18.63"/>
    <col customWidth="1" min="27" max="28" width="10.63"/>
    <col customWidth="1" min="29" max="29" width="21.38"/>
    <col customWidth="1" min="30" max="30" width="16.5"/>
    <col customWidth="1" min="31" max="31" width="21.0"/>
    <col customWidth="1" min="32" max="32" width="18.25"/>
    <col customWidth="1" min="33" max="33" width="10.63"/>
    <col customWidth="1" min="34" max="34" width="15.63"/>
    <col customWidth="1" min="35" max="53" width="10.63"/>
  </cols>
  <sheetData>
    <row r="1" ht="14.2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8">
        <v>46202.0</v>
      </c>
      <c r="H2" s="2"/>
      <c r="I2" s="3"/>
      <c r="J2" s="8">
        <v>46203.0</v>
      </c>
      <c r="K2" s="2"/>
      <c r="L2" s="3"/>
      <c r="M2" s="8">
        <v>46204.0</v>
      </c>
      <c r="N2" s="2"/>
      <c r="O2" s="3"/>
      <c r="P2" s="8">
        <v>46205.0</v>
      </c>
      <c r="Q2" s="2"/>
      <c r="R2" s="3"/>
      <c r="S2" s="8">
        <v>46206.0</v>
      </c>
      <c r="T2" s="2"/>
      <c r="U2" s="3"/>
      <c r="V2" s="8">
        <v>46207.0</v>
      </c>
      <c r="W2" s="2"/>
      <c r="X2" s="3"/>
      <c r="Y2" s="9" t="s">
        <v>7</v>
      </c>
      <c r="Z2" s="7" t="s">
        <v>8</v>
      </c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13" t="s">
        <v>10</v>
      </c>
      <c r="I3" s="13" t="s">
        <v>11</v>
      </c>
      <c r="J3" s="13" t="s">
        <v>9</v>
      </c>
      <c r="K3" s="13" t="s">
        <v>10</v>
      </c>
      <c r="L3" s="13" t="s">
        <v>12</v>
      </c>
      <c r="M3" s="13" t="s">
        <v>9</v>
      </c>
      <c r="N3" s="13" t="s">
        <v>10</v>
      </c>
      <c r="O3" s="13" t="s">
        <v>12</v>
      </c>
      <c r="P3" s="13" t="s">
        <v>9</v>
      </c>
      <c r="Q3" s="13" t="s">
        <v>10</v>
      </c>
      <c r="R3" s="13" t="s">
        <v>12</v>
      </c>
      <c r="S3" s="13" t="s">
        <v>9</v>
      </c>
      <c r="T3" s="13" t="s">
        <v>10</v>
      </c>
      <c r="U3" s="13" t="s">
        <v>11</v>
      </c>
      <c r="V3" s="13" t="s">
        <v>9</v>
      </c>
      <c r="W3" s="13" t="s">
        <v>10</v>
      </c>
      <c r="X3" s="13" t="s">
        <v>11</v>
      </c>
      <c r="Y3" s="12"/>
      <c r="Z3" s="12"/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>
        <f t="shared" ref="Y4:Y17" si="1">F4-(G4+H4+J4+K4+M4+N4+P4+Q4+S4+T4+V4+W4+U4+O4+I4+L4+R4+X4)</f>
        <v>1200</v>
      </c>
      <c r="Z4" s="18">
        <f t="shared" ref="Z4:Z16" si="2">SUM(G4:X4)</f>
        <v>0</v>
      </c>
      <c r="AA4" s="20">
        <f t="shared" ref="AA4:AA38" si="3">SUM(G4:X4)</f>
        <v>0</v>
      </c>
      <c r="AV4" s="19"/>
      <c r="AW4" s="19"/>
      <c r="AX4" s="19"/>
      <c r="AY4" s="19"/>
      <c r="AZ4" s="19"/>
      <c r="BA4" s="19"/>
    </row>
    <row r="5" ht="14.25" customHeight="1">
      <c r="A5" s="14">
        <v>2.0</v>
      </c>
      <c r="B5" s="12"/>
      <c r="C5" s="12"/>
      <c r="D5" s="21" t="s">
        <v>17</v>
      </c>
      <c r="E5" s="21"/>
      <c r="F5" s="22">
        <v>500.0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>
        <f t="shared" si="1"/>
        <v>500</v>
      </c>
      <c r="Z5" s="18">
        <f t="shared" si="2"/>
        <v>0</v>
      </c>
      <c r="AA5" s="20">
        <f t="shared" si="3"/>
        <v>0</v>
      </c>
      <c r="AV5" s="19"/>
      <c r="AW5" s="19"/>
      <c r="AX5" s="19"/>
      <c r="AY5" s="19"/>
      <c r="AZ5" s="19"/>
      <c r="BA5" s="19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3">
        <v>1572.82</v>
      </c>
      <c r="H6" s="24"/>
      <c r="I6" s="24"/>
      <c r="J6" s="24"/>
      <c r="K6" s="24"/>
      <c r="L6" s="24"/>
      <c r="M6" s="30">
        <v>1345.15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18">
        <f t="shared" si="1"/>
        <v>-417.97</v>
      </c>
      <c r="Z6" s="18">
        <f t="shared" si="2"/>
        <v>2917.97</v>
      </c>
      <c r="AA6" s="20">
        <f t="shared" si="3"/>
        <v>2917.97</v>
      </c>
      <c r="AB6" s="34">
        <v>2917.97</v>
      </c>
      <c r="AC6" s="31" t="s">
        <v>22</v>
      </c>
      <c r="AD6" s="2"/>
      <c r="AE6" s="2"/>
      <c r="AF6" s="3"/>
      <c r="AH6" s="32"/>
    </row>
    <row r="7" ht="14.25" customHeight="1">
      <c r="A7" s="25">
        <v>4.0</v>
      </c>
      <c r="B7" s="12"/>
      <c r="C7" s="12"/>
      <c r="D7" s="27" t="s">
        <v>17</v>
      </c>
      <c r="E7" s="27"/>
      <c r="F7" s="28">
        <v>500.0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18">
        <f t="shared" si="1"/>
        <v>500</v>
      </c>
      <c r="Z7" s="18">
        <f t="shared" si="2"/>
        <v>0</v>
      </c>
      <c r="AA7" s="20">
        <f t="shared" si="3"/>
        <v>0</v>
      </c>
      <c r="AC7" s="35" t="s">
        <v>25</v>
      </c>
      <c r="AD7" s="35" t="s">
        <v>26</v>
      </c>
      <c r="AE7" s="35" t="s">
        <v>27</v>
      </c>
      <c r="AF7" s="35" t="s">
        <v>28</v>
      </c>
      <c r="AH7" s="32">
        <f>S39+P39+M39+M52+AH8</f>
        <v>15193.26</v>
      </c>
    </row>
    <row r="8" ht="14.25" customHeight="1">
      <c r="A8" s="25">
        <v>5.0</v>
      </c>
      <c r="B8" s="27" t="s">
        <v>30</v>
      </c>
      <c r="C8" s="27" t="s">
        <v>19</v>
      </c>
      <c r="D8" s="27" t="s">
        <v>31</v>
      </c>
      <c r="E8" s="27" t="s">
        <v>32</v>
      </c>
      <c r="F8" s="28">
        <v>2500.0</v>
      </c>
      <c r="G8" s="23">
        <v>1167.5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18">
        <f t="shared" si="1"/>
        <v>1332.5</v>
      </c>
      <c r="Z8" s="18">
        <f t="shared" si="2"/>
        <v>1167.5</v>
      </c>
      <c r="AA8" s="20">
        <f t="shared" si="3"/>
        <v>1167.5</v>
      </c>
      <c r="AB8" s="34">
        <v>1167.5</v>
      </c>
      <c r="AC8" s="37" t="s">
        <v>9</v>
      </c>
      <c r="AD8" s="38">
        <f t="shared" ref="AD8:AD9" si="4">AF8/AE8</f>
        <v>1314.991263</v>
      </c>
      <c r="AE8" s="39">
        <v>22.89</v>
      </c>
      <c r="AF8" s="40">
        <f>G39+J39+M39+P39+S39+V39</f>
        <v>30100.15</v>
      </c>
    </row>
    <row r="9" ht="14.25" customHeight="1">
      <c r="A9" s="25">
        <v>6.0</v>
      </c>
      <c r="B9" s="27" t="s">
        <v>35</v>
      </c>
      <c r="C9" s="27" t="s">
        <v>19</v>
      </c>
      <c r="D9" s="27" t="s">
        <v>31</v>
      </c>
      <c r="E9" s="27" t="s">
        <v>36</v>
      </c>
      <c r="F9" s="28">
        <v>1500.0</v>
      </c>
      <c r="G9" s="24"/>
      <c r="H9" s="24"/>
      <c r="I9" s="24"/>
      <c r="J9" s="24"/>
      <c r="K9" s="24"/>
      <c r="L9" s="24"/>
      <c r="M9" s="30">
        <v>759.56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18">
        <f t="shared" si="1"/>
        <v>740.44</v>
      </c>
      <c r="Z9" s="18">
        <f t="shared" si="2"/>
        <v>759.56</v>
      </c>
      <c r="AA9" s="20">
        <f t="shared" si="3"/>
        <v>759.56</v>
      </c>
      <c r="AB9" s="34">
        <v>759.56</v>
      </c>
      <c r="AC9" s="37" t="s">
        <v>10</v>
      </c>
      <c r="AD9" s="38">
        <f t="shared" si="4"/>
        <v>576.6854522</v>
      </c>
      <c r="AE9" s="39">
        <v>22.89</v>
      </c>
      <c r="AF9" s="43">
        <f>H39+K39+N39+Q39+T39+W39</f>
        <v>13200.33</v>
      </c>
    </row>
    <row r="10" ht="14.25" customHeight="1">
      <c r="A10" s="25">
        <v>7.0</v>
      </c>
      <c r="B10" s="27" t="s">
        <v>39</v>
      </c>
      <c r="C10" s="27" t="s">
        <v>19</v>
      </c>
      <c r="D10" s="27"/>
      <c r="E10" s="27"/>
      <c r="F10" s="28">
        <v>1500.0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18">
        <f t="shared" si="1"/>
        <v>1500</v>
      </c>
      <c r="Z10" s="18">
        <f t="shared" si="2"/>
        <v>0</v>
      </c>
      <c r="AA10" s="20">
        <f t="shared" si="3"/>
        <v>0</v>
      </c>
      <c r="AC10" s="37" t="s">
        <v>11</v>
      </c>
      <c r="AD10" s="39"/>
      <c r="AE10" s="39"/>
      <c r="AF10" s="40">
        <f>R39+U39+O39</f>
        <v>0</v>
      </c>
    </row>
    <row r="11" ht="14.25" customHeight="1">
      <c r="A11" s="14">
        <v>8.0</v>
      </c>
      <c r="B11" s="21" t="s">
        <v>41</v>
      </c>
      <c r="C11" s="21" t="s">
        <v>42</v>
      </c>
      <c r="D11" s="21" t="s">
        <v>43</v>
      </c>
      <c r="E11" s="21" t="s">
        <v>44</v>
      </c>
      <c r="F11" s="22">
        <v>700.0</v>
      </c>
      <c r="G11" s="18"/>
      <c r="H11" s="18"/>
      <c r="I11" s="18"/>
      <c r="J11" s="18"/>
      <c r="K11" s="18"/>
      <c r="L11" s="18">
        <v>700.0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>
        <f t="shared" si="1"/>
        <v>0</v>
      </c>
      <c r="Z11" s="18">
        <f t="shared" si="2"/>
        <v>700</v>
      </c>
      <c r="AA11" s="20">
        <f t="shared" si="3"/>
        <v>700</v>
      </c>
      <c r="AU11" s="19"/>
      <c r="AV11" s="19"/>
      <c r="AW11" s="19"/>
      <c r="AX11" s="19"/>
      <c r="AY11" s="19"/>
      <c r="AZ11" s="19"/>
      <c r="BA11" s="19"/>
    </row>
    <row r="12" ht="14.25" customHeight="1">
      <c r="A12" s="14">
        <v>9.0</v>
      </c>
      <c r="B12" s="21" t="s">
        <v>45</v>
      </c>
      <c r="C12" s="21" t="s">
        <v>46</v>
      </c>
      <c r="D12" s="21" t="s">
        <v>47</v>
      </c>
      <c r="E12" s="21" t="s">
        <v>48</v>
      </c>
      <c r="F12" s="22">
        <v>1500.0</v>
      </c>
      <c r="G12" s="18"/>
      <c r="H12" s="18"/>
      <c r="I12" s="18">
        <v>1581.3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>
        <f t="shared" si="1"/>
        <v>-81.3</v>
      </c>
      <c r="Z12" s="18">
        <f t="shared" si="2"/>
        <v>1581.3</v>
      </c>
      <c r="AA12" s="20">
        <f t="shared" si="3"/>
        <v>1581.3</v>
      </c>
      <c r="AB12" s="34">
        <v>1581.3</v>
      </c>
      <c r="AU12" s="19"/>
      <c r="AV12" s="19"/>
      <c r="AW12" s="19"/>
      <c r="AX12" s="19"/>
      <c r="AY12" s="19"/>
      <c r="AZ12" s="19"/>
      <c r="BA12" s="19"/>
    </row>
    <row r="13" ht="14.25" customHeight="1">
      <c r="A13" s="25">
        <v>10.0</v>
      </c>
      <c r="B13" s="26" t="s">
        <v>50</v>
      </c>
      <c r="C13" s="27" t="s">
        <v>51</v>
      </c>
      <c r="D13" s="27" t="s">
        <v>52</v>
      </c>
      <c r="E13" s="27" t="s">
        <v>53</v>
      </c>
      <c r="F13" s="28">
        <v>1500.0</v>
      </c>
      <c r="G13" s="24"/>
      <c r="H13" s="24"/>
      <c r="I13" s="24"/>
      <c r="J13" s="24"/>
      <c r="K13" s="24"/>
      <c r="L13" s="24"/>
      <c r="M13" s="30">
        <v>1500.0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18">
        <f t="shared" si="1"/>
        <v>0</v>
      </c>
      <c r="Z13" s="18">
        <f t="shared" si="2"/>
        <v>1500</v>
      </c>
      <c r="AA13" s="20">
        <f t="shared" si="3"/>
        <v>1500</v>
      </c>
      <c r="AB13" s="34">
        <v>1500.0</v>
      </c>
      <c r="AC13" s="34" t="s">
        <v>62</v>
      </c>
      <c r="AD13" s="48" t="s">
        <v>67</v>
      </c>
      <c r="AE13" s="3"/>
      <c r="AF13" s="53"/>
      <c r="AG13" s="53"/>
      <c r="AH13" s="53"/>
    </row>
    <row r="14" ht="14.25" customHeight="1">
      <c r="A14" s="25">
        <v>11.0</v>
      </c>
      <c r="B14" s="12"/>
      <c r="C14" s="27" t="s">
        <v>54</v>
      </c>
      <c r="D14" s="27" t="s">
        <v>17</v>
      </c>
      <c r="E14" s="27"/>
      <c r="F14" s="28">
        <v>500.0</v>
      </c>
      <c r="G14" s="23">
        <v>400.0</v>
      </c>
      <c r="H14" s="24"/>
      <c r="I14" s="24"/>
      <c r="J14" s="24"/>
      <c r="K14" s="24"/>
      <c r="L14" s="24"/>
      <c r="M14" s="24"/>
      <c r="N14" s="24"/>
      <c r="O14" s="24"/>
      <c r="P14" s="30">
        <v>500.0</v>
      </c>
      <c r="Q14" s="24"/>
      <c r="R14" s="24"/>
      <c r="S14" s="24"/>
      <c r="T14" s="24"/>
      <c r="U14" s="24"/>
      <c r="V14" s="24"/>
      <c r="W14" s="24"/>
      <c r="X14" s="24"/>
      <c r="Y14" s="18">
        <f t="shared" si="1"/>
        <v>-400</v>
      </c>
      <c r="Z14" s="18">
        <f t="shared" si="2"/>
        <v>900</v>
      </c>
      <c r="AA14" s="20">
        <f t="shared" si="3"/>
        <v>900</v>
      </c>
      <c r="AB14" s="34">
        <v>900.0</v>
      </c>
      <c r="AD14" s="53" t="s">
        <v>73</v>
      </c>
      <c r="AE14" s="56">
        <f>G39+J39+G52+J52</f>
        <v>19398.13</v>
      </c>
      <c r="AF14" s="56">
        <v>21393.52</v>
      </c>
      <c r="AG14" s="56">
        <v>1995.39</v>
      </c>
      <c r="AH14" s="53"/>
    </row>
    <row r="15" ht="14.25" customHeight="1">
      <c r="A15" s="25">
        <v>12.0</v>
      </c>
      <c r="B15" s="27" t="s">
        <v>57</v>
      </c>
      <c r="C15" s="27" t="s">
        <v>51</v>
      </c>
      <c r="D15" s="27" t="s">
        <v>58</v>
      </c>
      <c r="E15" s="27" t="s">
        <v>59</v>
      </c>
      <c r="F15" s="28">
        <v>1500.0</v>
      </c>
      <c r="G15" s="23">
        <v>1500.0</v>
      </c>
      <c r="H15" s="24"/>
      <c r="I15" s="24"/>
      <c r="J15" s="24"/>
      <c r="K15" s="24"/>
      <c r="L15" s="24"/>
      <c r="M15" s="24"/>
      <c r="N15" s="24"/>
      <c r="O15" s="24"/>
      <c r="P15" s="30">
        <v>2000.0</v>
      </c>
      <c r="Q15" s="24"/>
      <c r="R15" s="24"/>
      <c r="S15" s="24"/>
      <c r="T15" s="24"/>
      <c r="U15" s="24"/>
      <c r="V15" s="24"/>
      <c r="W15" s="24"/>
      <c r="X15" s="24"/>
      <c r="Y15" s="18">
        <f t="shared" si="1"/>
        <v>-2000</v>
      </c>
      <c r="Z15" s="18">
        <f t="shared" si="2"/>
        <v>3500</v>
      </c>
      <c r="AA15" s="20">
        <f t="shared" si="3"/>
        <v>3500</v>
      </c>
      <c r="AB15" s="34">
        <v>3500.0</v>
      </c>
      <c r="AD15" s="53" t="s">
        <v>79</v>
      </c>
      <c r="AE15" s="54">
        <f>S53+P53+M53</f>
        <v>15793.26</v>
      </c>
      <c r="AF15" s="56"/>
      <c r="AG15" s="53">
        <f>I66+L66</f>
        <v>27000.25</v>
      </c>
      <c r="AH15" s="61">
        <f>AE15+AF15+AG15</f>
        <v>42793.51</v>
      </c>
    </row>
    <row r="16" ht="14.25" customHeight="1">
      <c r="A16" s="14">
        <v>13.0</v>
      </c>
      <c r="B16" s="55" t="s">
        <v>61</v>
      </c>
      <c r="C16" s="21" t="s">
        <v>63</v>
      </c>
      <c r="D16" s="21" t="s">
        <v>65</v>
      </c>
      <c r="E16" s="21" t="s">
        <v>66</v>
      </c>
      <c r="F16" s="22">
        <v>2500.0</v>
      </c>
      <c r="G16" s="18"/>
      <c r="H16" s="62">
        <v>1001.17</v>
      </c>
      <c r="I16" s="30" t="s">
        <v>85</v>
      </c>
      <c r="J16" s="18"/>
      <c r="K16" s="18"/>
      <c r="L16" s="18"/>
      <c r="M16" s="18"/>
      <c r="N16" s="62">
        <v>947.87</v>
      </c>
      <c r="O16" s="30" t="s">
        <v>87</v>
      </c>
      <c r="P16" s="18"/>
      <c r="Q16" s="18"/>
      <c r="R16" s="18"/>
      <c r="S16" s="18"/>
      <c r="T16" s="18"/>
      <c r="U16" s="18"/>
      <c r="V16" s="18"/>
      <c r="W16" s="62">
        <v>551.0</v>
      </c>
      <c r="X16" s="30" t="s">
        <v>88</v>
      </c>
      <c r="Y16" s="18" t="str">
        <f t="shared" si="1"/>
        <v>#VALUE!</v>
      </c>
      <c r="Z16" s="18">
        <f t="shared" si="2"/>
        <v>2500.04</v>
      </c>
      <c r="AA16" s="20">
        <f t="shared" si="3"/>
        <v>2500.04</v>
      </c>
      <c r="AB16" s="34">
        <v>2500.0</v>
      </c>
      <c r="AD16" s="53"/>
      <c r="AE16" s="56">
        <f>SUM(AE14:AE15)</f>
        <v>35191.39</v>
      </c>
      <c r="AF16" s="53"/>
      <c r="AG16" s="53"/>
      <c r="AH16" s="53"/>
      <c r="AT16" s="19"/>
      <c r="AU16" s="19"/>
      <c r="AV16" s="19"/>
      <c r="AW16" s="19"/>
      <c r="AX16" s="19"/>
      <c r="AY16" s="19"/>
      <c r="AZ16" s="19"/>
      <c r="BA16" s="19"/>
    </row>
    <row r="17" ht="14.25" customHeight="1">
      <c r="A17" s="14"/>
      <c r="B17" s="12"/>
      <c r="C17" s="21" t="s">
        <v>63</v>
      </c>
      <c r="D17" s="21" t="s">
        <v>17</v>
      </c>
      <c r="E17" s="21"/>
      <c r="F17" s="22">
        <v>300.0</v>
      </c>
      <c r="G17" s="18"/>
      <c r="H17" s="18"/>
      <c r="I17" s="18"/>
      <c r="J17" s="18"/>
      <c r="K17" s="18"/>
      <c r="L17" s="18"/>
      <c r="M17" s="18"/>
      <c r="N17" s="62">
        <v>300.0</v>
      </c>
      <c r="O17" s="64" t="s">
        <v>95</v>
      </c>
      <c r="P17" s="18"/>
      <c r="Q17" s="18"/>
      <c r="R17" s="18"/>
      <c r="S17" s="18"/>
      <c r="T17" s="62">
        <v>600.0</v>
      </c>
      <c r="U17" s="30" t="s">
        <v>101</v>
      </c>
      <c r="V17" s="18"/>
      <c r="W17" s="18"/>
      <c r="X17" s="18"/>
      <c r="Y17" s="18" t="str">
        <f t="shared" si="1"/>
        <v>#VALUE!</v>
      </c>
      <c r="Z17" s="18"/>
      <c r="AA17" s="20">
        <f t="shared" si="3"/>
        <v>900</v>
      </c>
      <c r="AB17" s="34">
        <v>900.0</v>
      </c>
      <c r="AT17" s="19"/>
      <c r="AU17" s="19"/>
      <c r="AV17" s="19"/>
      <c r="AW17" s="19"/>
      <c r="AX17" s="19"/>
      <c r="AY17" s="19"/>
      <c r="AZ17" s="19"/>
      <c r="BA17" s="19"/>
    </row>
    <row r="18" ht="14.25" customHeight="1">
      <c r="A18" s="14">
        <v>14.0</v>
      </c>
      <c r="B18" s="21" t="s">
        <v>68</v>
      </c>
      <c r="C18" s="21" t="s">
        <v>63</v>
      </c>
      <c r="D18" s="21" t="s">
        <v>69</v>
      </c>
      <c r="E18" s="21" t="s">
        <v>70</v>
      </c>
      <c r="F18" s="22">
        <v>2500.0</v>
      </c>
      <c r="G18" s="19"/>
      <c r="H18" s="62">
        <v>920.03</v>
      </c>
      <c r="I18" s="30" t="s">
        <v>103</v>
      </c>
      <c r="J18" s="18"/>
      <c r="K18" s="18"/>
      <c r="L18" s="18"/>
      <c r="M18" s="18"/>
      <c r="N18" s="62">
        <v>1580.0</v>
      </c>
      <c r="O18" s="12"/>
      <c r="P18" s="18"/>
      <c r="Q18" s="18"/>
      <c r="R18" s="18"/>
      <c r="S18" s="18"/>
      <c r="T18" s="18"/>
      <c r="U18" s="18"/>
      <c r="V18" s="18"/>
      <c r="W18" s="18"/>
      <c r="X18" s="18"/>
      <c r="Y18" s="18" t="str">
        <f>F18-(H18+#REF!+J18+K18+M18+N18+P18+Q18+S18+T18+V18+W18+U18+O18+I18+L18+R18+X18)</f>
        <v>#REF!</v>
      </c>
      <c r="Z18" s="18">
        <f>SUM(H18:X18)</f>
        <v>2500.03</v>
      </c>
      <c r="AA18" s="20">
        <f t="shared" si="3"/>
        <v>2500.03</v>
      </c>
      <c r="AB18" s="34">
        <v>2500.03</v>
      </c>
      <c r="AT18" s="19"/>
      <c r="AU18" s="19"/>
      <c r="AV18" s="19"/>
      <c r="AW18" s="19"/>
      <c r="AX18" s="19"/>
      <c r="AY18" s="19"/>
      <c r="AZ18" s="19"/>
      <c r="BA18" s="19"/>
    </row>
    <row r="19" ht="14.25" customHeight="1">
      <c r="A19" s="14">
        <v>15.0</v>
      </c>
      <c r="B19" s="21" t="s">
        <v>71</v>
      </c>
      <c r="C19" s="21" t="s">
        <v>63</v>
      </c>
      <c r="D19" s="21" t="s">
        <v>58</v>
      </c>
      <c r="E19" s="21" t="s">
        <v>72</v>
      </c>
      <c r="F19" s="22">
        <v>4000.0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62">
        <v>2300.26</v>
      </c>
      <c r="U19" s="30" t="s">
        <v>108</v>
      </c>
      <c r="V19" s="18"/>
      <c r="W19" s="18"/>
      <c r="X19" s="18"/>
      <c r="Y19" s="18" t="str">
        <f t="shared" ref="Y19:Y23" si="5">F19-(G19+H19+J19+K19+M19+N19+P19+Q19+S19+T19+V19+W19+U19+O19+I19+L19+R19+X19)</f>
        <v>#VALUE!</v>
      </c>
      <c r="Z19" s="18">
        <f t="shared" ref="Z19:Z34" si="6">SUM(G19:X19)</f>
        <v>2300.26</v>
      </c>
      <c r="AA19" s="20">
        <f t="shared" si="3"/>
        <v>2300.26</v>
      </c>
      <c r="AB19" s="34">
        <v>2300.26</v>
      </c>
      <c r="AT19" s="19"/>
      <c r="AU19" s="19"/>
      <c r="AV19" s="19"/>
      <c r="AW19" s="19"/>
      <c r="AX19" s="19"/>
      <c r="AY19" s="19"/>
      <c r="AZ19" s="19"/>
      <c r="BA19" s="19"/>
    </row>
    <row r="20" ht="14.25" customHeight="1">
      <c r="A20" s="25">
        <v>16.0</v>
      </c>
      <c r="B20" s="26" t="s">
        <v>74</v>
      </c>
      <c r="C20" s="26" t="s">
        <v>75</v>
      </c>
      <c r="D20" s="27" t="s">
        <v>65</v>
      </c>
      <c r="E20" s="27" t="s">
        <v>76</v>
      </c>
      <c r="F20" s="28">
        <v>2500.0</v>
      </c>
      <c r="G20" s="23">
        <v>1457.73</v>
      </c>
      <c r="H20" s="24"/>
      <c r="I20" s="24"/>
      <c r="J20" s="24"/>
      <c r="K20" s="24"/>
      <c r="L20" s="24"/>
      <c r="M20" s="24"/>
      <c r="N20" s="24"/>
      <c r="O20" s="24"/>
      <c r="P20" s="30">
        <v>1042.0</v>
      </c>
      <c r="Q20" s="24"/>
      <c r="R20" s="24"/>
      <c r="S20" s="24"/>
      <c r="T20" s="24"/>
      <c r="U20" s="24"/>
      <c r="V20" s="24"/>
      <c r="W20" s="24"/>
      <c r="X20" s="24"/>
      <c r="Y20" s="18">
        <f t="shared" si="5"/>
        <v>0.27</v>
      </c>
      <c r="Z20" s="18">
        <f t="shared" si="6"/>
        <v>2499.73</v>
      </c>
      <c r="AA20" s="20">
        <f t="shared" si="3"/>
        <v>2499.73</v>
      </c>
      <c r="AB20" s="34">
        <v>2499.73</v>
      </c>
    </row>
    <row r="21" ht="14.25" customHeight="1">
      <c r="A21" s="25">
        <v>17.0</v>
      </c>
      <c r="B21" s="44"/>
      <c r="C21" s="44"/>
      <c r="D21" s="27" t="s">
        <v>77</v>
      </c>
      <c r="E21" s="27"/>
      <c r="F21" s="57">
        <v>1000.0</v>
      </c>
      <c r="G21" s="23">
        <v>1000.0</v>
      </c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18">
        <f t="shared" si="5"/>
        <v>0</v>
      </c>
      <c r="Z21" s="18">
        <f t="shared" si="6"/>
        <v>1000</v>
      </c>
      <c r="AA21" s="20">
        <f t="shared" si="3"/>
        <v>1000</v>
      </c>
      <c r="AB21" s="34">
        <v>1000.0</v>
      </c>
    </row>
    <row r="22" ht="14.25" customHeight="1">
      <c r="A22" s="25">
        <v>18.0</v>
      </c>
      <c r="B22" s="44"/>
      <c r="C22" s="44"/>
      <c r="D22" s="27" t="s">
        <v>78</v>
      </c>
      <c r="E22" s="27"/>
      <c r="F22" s="57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18">
        <f t="shared" si="5"/>
        <v>0</v>
      </c>
      <c r="Z22" s="18">
        <f t="shared" si="6"/>
        <v>0</v>
      </c>
      <c r="AA22" s="20">
        <f t="shared" si="3"/>
        <v>0</v>
      </c>
      <c r="AD22" s="67">
        <f>G39+J39+G52+J52</f>
        <v>19398.13</v>
      </c>
    </row>
    <row r="23" ht="14.25" customHeight="1">
      <c r="A23" s="25">
        <v>19.0</v>
      </c>
      <c r="B23" s="12"/>
      <c r="C23" s="12"/>
      <c r="D23" s="27" t="s">
        <v>81</v>
      </c>
      <c r="E23" s="27"/>
      <c r="F23" s="57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18">
        <f t="shared" si="5"/>
        <v>0</v>
      </c>
      <c r="Z23" s="18">
        <f t="shared" si="6"/>
        <v>0</v>
      </c>
      <c r="AA23" s="20">
        <f t="shared" si="3"/>
        <v>0</v>
      </c>
      <c r="AD23" s="34">
        <f>19398.13+1995.39</f>
        <v>21393.52</v>
      </c>
      <c r="AF23" s="34">
        <f>15193.26-1995.39</f>
        <v>13197.87</v>
      </c>
      <c r="AG23" s="71">
        <f>AF23+AG15</f>
        <v>40198.12</v>
      </c>
      <c r="AH23" s="34" t="s">
        <v>126</v>
      </c>
    </row>
    <row r="24" ht="14.25" customHeight="1">
      <c r="A24" s="25">
        <v>20.0</v>
      </c>
      <c r="B24" s="27" t="s">
        <v>82</v>
      </c>
      <c r="C24" s="27" t="s">
        <v>75</v>
      </c>
      <c r="D24" s="27" t="s">
        <v>65</v>
      </c>
      <c r="E24" s="27" t="s">
        <v>83</v>
      </c>
      <c r="F24" s="28">
        <v>1500.0</v>
      </c>
      <c r="G24" s="24"/>
      <c r="H24" s="24"/>
      <c r="I24" s="24"/>
      <c r="J24" s="24"/>
      <c r="K24" s="24"/>
      <c r="L24" s="24"/>
      <c r="M24" s="30">
        <v>1500.0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18">
        <f t="shared" ref="Y24:Y26" si="7">F24-(G24+H24+J24+K24+M24+N24+P24+Q24+S24+T24+V24+W24+O24+R24+U24+I24+L24+X24)</f>
        <v>0</v>
      </c>
      <c r="Z24" s="18">
        <f t="shared" si="6"/>
        <v>1500</v>
      </c>
      <c r="AA24" s="20">
        <f t="shared" si="3"/>
        <v>1500</v>
      </c>
      <c r="AB24" s="34">
        <v>1500.0</v>
      </c>
    </row>
    <row r="25" ht="14.25" customHeight="1">
      <c r="A25" s="25">
        <v>21.0</v>
      </c>
      <c r="B25" s="27" t="s">
        <v>89</v>
      </c>
      <c r="C25" s="27" t="s">
        <v>75</v>
      </c>
      <c r="D25" s="27" t="s">
        <v>58</v>
      </c>
      <c r="E25" s="27" t="s">
        <v>90</v>
      </c>
      <c r="F25" s="28">
        <v>3000.0</v>
      </c>
      <c r="G25" s="23">
        <v>3000.0</v>
      </c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18">
        <f t="shared" si="7"/>
        <v>0</v>
      </c>
      <c r="Z25" s="18">
        <f t="shared" si="6"/>
        <v>3000</v>
      </c>
      <c r="AA25" s="20">
        <f t="shared" si="3"/>
        <v>3000</v>
      </c>
      <c r="AB25" s="34">
        <v>3000.0</v>
      </c>
    </row>
    <row r="26" ht="14.25" customHeight="1">
      <c r="A26" s="25">
        <v>22.0</v>
      </c>
      <c r="B26" s="27" t="s">
        <v>93</v>
      </c>
      <c r="C26" s="27" t="s">
        <v>75</v>
      </c>
      <c r="D26" s="27" t="s">
        <v>69</v>
      </c>
      <c r="E26" s="27" t="s">
        <v>94</v>
      </c>
      <c r="F26" s="28">
        <v>2500.0</v>
      </c>
      <c r="G26" s="23">
        <v>944.69</v>
      </c>
      <c r="H26" s="24"/>
      <c r="I26" s="24"/>
      <c r="J26" s="24"/>
      <c r="K26" s="24"/>
      <c r="L26" s="24"/>
      <c r="M26" s="24"/>
      <c r="N26" s="24"/>
      <c r="O26" s="24"/>
      <c r="P26" s="30">
        <v>1555.31</v>
      </c>
      <c r="Q26" s="24"/>
      <c r="R26" s="24"/>
      <c r="S26" s="24"/>
      <c r="T26" s="24"/>
      <c r="U26" s="24"/>
      <c r="V26" s="24"/>
      <c r="W26" s="24"/>
      <c r="X26" s="24"/>
      <c r="Y26" s="18">
        <f t="shared" si="7"/>
        <v>0</v>
      </c>
      <c r="Z26" s="18">
        <f t="shared" si="6"/>
        <v>2500</v>
      </c>
      <c r="AA26" s="20">
        <f t="shared" si="3"/>
        <v>2500</v>
      </c>
      <c r="AB26" s="34">
        <v>2500.0</v>
      </c>
    </row>
    <row r="27" ht="14.25" customHeight="1">
      <c r="A27" s="14">
        <v>23.0</v>
      </c>
      <c r="B27" s="21" t="s">
        <v>96</v>
      </c>
      <c r="C27" s="55" t="s">
        <v>98</v>
      </c>
      <c r="D27" s="21" t="s">
        <v>99</v>
      </c>
      <c r="E27" s="21" t="s">
        <v>100</v>
      </c>
      <c r="F27" s="22">
        <v>2500.0</v>
      </c>
      <c r="G27" s="18"/>
      <c r="H27" s="62"/>
      <c r="I27" s="29" t="s">
        <v>132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62">
        <v>1000.0</v>
      </c>
      <c r="U27" s="80" t="s">
        <v>133</v>
      </c>
      <c r="V27" s="18"/>
      <c r="W27" s="18"/>
      <c r="X27" s="18"/>
      <c r="Y27" s="18" t="str">
        <f>F27-(G27+H27+J27+K27+M27+N27+P27+Q27+S27+T27+V27+W27+O27+R27+U29+I27+L27+X27)</f>
        <v>#VALUE!</v>
      </c>
      <c r="Z27" s="18">
        <f t="shared" si="6"/>
        <v>1000</v>
      </c>
      <c r="AA27" s="20">
        <f t="shared" si="3"/>
        <v>1000</v>
      </c>
      <c r="AB27" s="34">
        <v>2000.0</v>
      </c>
    </row>
    <row r="28" ht="14.25" customHeight="1">
      <c r="A28" s="14">
        <v>24.0</v>
      </c>
      <c r="B28" s="21" t="s">
        <v>102</v>
      </c>
      <c r="C28" s="12"/>
      <c r="D28" s="21" t="s">
        <v>17</v>
      </c>
      <c r="E28" s="21"/>
      <c r="F28" s="22">
        <v>1000.0</v>
      </c>
      <c r="G28" s="18"/>
      <c r="H28" s="18"/>
      <c r="I28" s="81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>
        <f>F28-(G28+H28+J28+K28+M28+N28+P28+Q28+S28+T28+V28+W28+O28+R28+U28+I28+L28+X28)</f>
        <v>1000</v>
      </c>
      <c r="Z28" s="18">
        <f t="shared" si="6"/>
        <v>0</v>
      </c>
      <c r="AA28" s="20">
        <f t="shared" si="3"/>
        <v>0</v>
      </c>
    </row>
    <row r="29" ht="14.25" customHeight="1">
      <c r="A29" s="25">
        <v>25.0</v>
      </c>
      <c r="B29" s="27" t="s">
        <v>104</v>
      </c>
      <c r="C29" s="27" t="s">
        <v>105</v>
      </c>
      <c r="D29" s="27" t="s">
        <v>20</v>
      </c>
      <c r="E29" s="27" t="s">
        <v>106</v>
      </c>
      <c r="F29" s="28">
        <v>2500.0</v>
      </c>
      <c r="G29" s="23">
        <v>2157.8</v>
      </c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62">
        <v>1000.0</v>
      </c>
      <c r="U29" s="30" t="s">
        <v>149</v>
      </c>
      <c r="V29" s="24"/>
      <c r="W29" s="24"/>
      <c r="X29" s="24"/>
      <c r="Y29" s="18" t="str">
        <f>F29-(G29+H29+J29+K29+M29+N29+P29+Q29+S29+T29+V29+W29+O29+R29+#REF!+I29+L29+X29)</f>
        <v>#REF!</v>
      </c>
      <c r="Z29" s="18">
        <f t="shared" si="6"/>
        <v>3157.8</v>
      </c>
      <c r="AA29" s="20">
        <f t="shared" si="3"/>
        <v>3157.8</v>
      </c>
      <c r="AB29" s="34">
        <v>3157.0</v>
      </c>
      <c r="AD29" s="20">
        <f>H39+N39+Q39+T39+W39</f>
        <v>13200.33</v>
      </c>
    </row>
    <row r="30" ht="14.25" customHeight="1">
      <c r="A30" s="25">
        <v>26.0</v>
      </c>
      <c r="B30" s="26" t="s">
        <v>107</v>
      </c>
      <c r="C30" s="26" t="s">
        <v>105</v>
      </c>
      <c r="D30" s="27" t="s">
        <v>109</v>
      </c>
      <c r="E30" s="27" t="s">
        <v>110</v>
      </c>
      <c r="F30" s="28">
        <v>1000.0</v>
      </c>
      <c r="G30" s="23">
        <v>800.0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30">
        <v>200.0</v>
      </c>
      <c r="T30" s="24"/>
      <c r="U30" s="24"/>
      <c r="V30" s="24"/>
      <c r="W30" s="24"/>
      <c r="X30" s="24"/>
      <c r="Y30" s="18">
        <f t="shared" ref="Y30:Y38" si="8">F30-(G30+H30+J30+K30+M30+N30+P30+Q30+S30+T30+V30+W30+O30+R30+U30+I30+L30+X30)</f>
        <v>0</v>
      </c>
      <c r="Z30" s="18">
        <f t="shared" si="6"/>
        <v>1000</v>
      </c>
      <c r="AA30" s="20">
        <f t="shared" si="3"/>
        <v>1000</v>
      </c>
      <c r="AB30" s="34">
        <v>1000.0</v>
      </c>
    </row>
    <row r="31" ht="14.25" customHeight="1">
      <c r="A31" s="25">
        <v>27.0</v>
      </c>
      <c r="B31" s="44"/>
      <c r="C31" s="44"/>
      <c r="D31" s="27" t="s">
        <v>111</v>
      </c>
      <c r="E31" s="27"/>
      <c r="F31" s="28">
        <v>500.0</v>
      </c>
      <c r="G31" s="23">
        <v>500.0</v>
      </c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30">
        <v>500.0</v>
      </c>
      <c r="T31" s="24"/>
      <c r="U31" s="24"/>
      <c r="V31" s="24"/>
      <c r="W31" s="24"/>
      <c r="X31" s="24"/>
      <c r="Y31" s="18">
        <f t="shared" si="8"/>
        <v>-500</v>
      </c>
      <c r="Z31" s="18">
        <f t="shared" si="6"/>
        <v>1000</v>
      </c>
      <c r="AA31" s="20">
        <f t="shared" si="3"/>
        <v>1000</v>
      </c>
      <c r="AB31" s="34">
        <v>1000.0</v>
      </c>
    </row>
    <row r="32" ht="14.25" customHeight="1">
      <c r="A32" s="25">
        <v>28.0</v>
      </c>
      <c r="B32" s="12"/>
      <c r="C32" s="12"/>
      <c r="D32" s="27" t="s">
        <v>111</v>
      </c>
      <c r="E32" s="27"/>
      <c r="F32" s="28">
        <v>500.0</v>
      </c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18">
        <f t="shared" si="8"/>
        <v>500</v>
      </c>
      <c r="Z32" s="18">
        <f t="shared" si="6"/>
        <v>0</v>
      </c>
      <c r="AA32" s="20">
        <f t="shared" si="3"/>
        <v>0</v>
      </c>
    </row>
    <row r="33" ht="14.25" customHeight="1">
      <c r="A33" s="25">
        <v>29.0</v>
      </c>
      <c r="B33" s="26" t="s">
        <v>114</v>
      </c>
      <c r="C33" s="27"/>
      <c r="D33" s="27"/>
      <c r="E33" s="27" t="s">
        <v>115</v>
      </c>
      <c r="F33" s="28">
        <v>1000.0</v>
      </c>
      <c r="G33" s="23">
        <v>800.0</v>
      </c>
      <c r="H33" s="24"/>
      <c r="I33" s="24"/>
      <c r="J33" s="24"/>
      <c r="K33" s="24"/>
      <c r="L33" s="24"/>
      <c r="M33" s="24"/>
      <c r="N33" s="24"/>
      <c r="O33" s="24"/>
      <c r="P33" s="30">
        <v>800.0</v>
      </c>
      <c r="Q33" s="24"/>
      <c r="R33" s="24"/>
      <c r="S33" s="24"/>
      <c r="T33" s="24"/>
      <c r="U33" s="24"/>
      <c r="V33" s="24"/>
      <c r="W33" s="24"/>
      <c r="X33" s="24"/>
      <c r="Y33" s="18">
        <f t="shared" si="8"/>
        <v>-600</v>
      </c>
      <c r="Z33" s="18">
        <f t="shared" si="6"/>
        <v>1600</v>
      </c>
      <c r="AA33" s="20">
        <f t="shared" si="3"/>
        <v>1600</v>
      </c>
      <c r="AB33" s="34">
        <v>1600.0</v>
      </c>
    </row>
    <row r="34" ht="14.25" customHeight="1">
      <c r="A34" s="25">
        <v>30.0</v>
      </c>
      <c r="B34" s="12"/>
      <c r="C34" s="27"/>
      <c r="D34" s="27" t="s">
        <v>17</v>
      </c>
      <c r="E34" s="27"/>
      <c r="F34" s="28">
        <v>500.0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18">
        <f t="shared" si="8"/>
        <v>500</v>
      </c>
      <c r="Z34" s="18">
        <f t="shared" si="6"/>
        <v>0</v>
      </c>
      <c r="AA34" s="20">
        <f t="shared" si="3"/>
        <v>0</v>
      </c>
    </row>
    <row r="35" ht="14.25" customHeight="1">
      <c r="A35" s="25">
        <v>31.0</v>
      </c>
      <c r="B35" s="27" t="s">
        <v>135</v>
      </c>
      <c r="C35" s="27" t="s">
        <v>136</v>
      </c>
      <c r="D35" s="27"/>
      <c r="E35" s="27" t="s">
        <v>137</v>
      </c>
      <c r="F35" s="28">
        <v>1500.0</v>
      </c>
      <c r="G35" s="23">
        <v>747.24</v>
      </c>
      <c r="H35" s="24"/>
      <c r="I35" s="24"/>
      <c r="J35" s="24"/>
      <c r="K35" s="24"/>
      <c r="L35" s="24"/>
      <c r="M35" s="24"/>
      <c r="N35" s="24"/>
      <c r="O35" s="24"/>
      <c r="P35" s="30">
        <v>700.0</v>
      </c>
      <c r="Q35" s="24"/>
      <c r="R35" s="24"/>
      <c r="S35" s="24"/>
      <c r="T35" s="24"/>
      <c r="U35" s="24"/>
      <c r="V35" s="24"/>
      <c r="W35" s="24"/>
      <c r="X35" s="24"/>
      <c r="Y35" s="18">
        <f t="shared" si="8"/>
        <v>52.76</v>
      </c>
      <c r="Z35" s="18"/>
      <c r="AA35" s="20">
        <f t="shared" si="3"/>
        <v>1447.24</v>
      </c>
      <c r="AB35" s="34">
        <v>1447.24</v>
      </c>
    </row>
    <row r="36" ht="14.25" customHeight="1">
      <c r="A36" s="25">
        <v>32.0</v>
      </c>
      <c r="B36" s="27" t="s">
        <v>142</v>
      </c>
      <c r="C36" s="27" t="s">
        <v>143</v>
      </c>
      <c r="D36" s="27" t="s">
        <v>20</v>
      </c>
      <c r="E36" s="27" t="s">
        <v>144</v>
      </c>
      <c r="F36" s="28">
        <v>1500.0</v>
      </c>
      <c r="G36" s="23">
        <v>950.35</v>
      </c>
      <c r="H36" s="24"/>
      <c r="I36" s="24"/>
      <c r="J36" s="24"/>
      <c r="K36" s="24"/>
      <c r="L36" s="24">
        <v>1100.0</v>
      </c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18">
        <f t="shared" si="8"/>
        <v>-550.35</v>
      </c>
      <c r="Z36" s="18"/>
      <c r="AA36" s="20">
        <f t="shared" si="3"/>
        <v>2050.35</v>
      </c>
      <c r="AB36" s="34">
        <v>2050.35</v>
      </c>
    </row>
    <row r="37" ht="14.25" customHeight="1">
      <c r="A37" s="25"/>
      <c r="B37" s="27" t="s">
        <v>145</v>
      </c>
      <c r="C37" s="27" t="s">
        <v>146</v>
      </c>
      <c r="D37" s="27" t="s">
        <v>43</v>
      </c>
      <c r="E37" s="27"/>
      <c r="F37" s="28">
        <v>700.0</v>
      </c>
      <c r="G37" s="23">
        <v>700.0</v>
      </c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18">
        <f t="shared" si="8"/>
        <v>0</v>
      </c>
      <c r="Z37" s="18"/>
      <c r="AA37" s="20">
        <f t="shared" si="3"/>
        <v>700</v>
      </c>
      <c r="AB37" s="34">
        <v>700.0</v>
      </c>
    </row>
    <row r="38" ht="14.25" customHeight="1">
      <c r="A38" s="25">
        <v>33.0</v>
      </c>
      <c r="B38" s="27" t="s">
        <v>118</v>
      </c>
      <c r="C38" s="27"/>
      <c r="D38" s="27" t="s">
        <v>119</v>
      </c>
      <c r="E38" s="27" t="s">
        <v>120</v>
      </c>
      <c r="F38" s="28">
        <v>3000.0</v>
      </c>
      <c r="G38" s="24"/>
      <c r="H38" s="62">
        <v>1200.0</v>
      </c>
      <c r="I38" s="30" t="s">
        <v>174</v>
      </c>
      <c r="J38" s="24"/>
      <c r="K38" s="24"/>
      <c r="L38" s="24"/>
      <c r="M38" s="24"/>
      <c r="N38" s="62">
        <v>1200.0</v>
      </c>
      <c r="O38" s="30" t="s">
        <v>175</v>
      </c>
      <c r="P38" s="24"/>
      <c r="Q38" s="62">
        <v>600.0</v>
      </c>
      <c r="R38" s="30" t="s">
        <v>176</v>
      </c>
      <c r="S38" s="24"/>
      <c r="T38" s="24"/>
      <c r="U38" s="24"/>
      <c r="V38" s="24"/>
      <c r="W38" s="24"/>
      <c r="X38" s="24"/>
      <c r="Y38" s="18" t="str">
        <f t="shared" si="8"/>
        <v>#VALUE!</v>
      </c>
      <c r="Z38" s="18">
        <f>SUM(G38:X38)</f>
        <v>3000</v>
      </c>
      <c r="AA38" s="20">
        <f t="shared" si="3"/>
        <v>3000</v>
      </c>
      <c r="AB38" s="34">
        <v>3000.0</v>
      </c>
    </row>
    <row r="39" ht="14.25" customHeight="1">
      <c r="A39" s="68" t="s">
        <v>122</v>
      </c>
      <c r="B39" s="2"/>
      <c r="C39" s="2"/>
      <c r="D39" s="2"/>
      <c r="E39" s="3"/>
      <c r="F39" s="69">
        <f t="shared" ref="F39:Z39" si="9">SUM(F4:F38)</f>
        <v>51900</v>
      </c>
      <c r="G39" s="70">
        <f t="shared" si="9"/>
        <v>17698.13</v>
      </c>
      <c r="H39" s="70">
        <f t="shared" si="9"/>
        <v>3121.2</v>
      </c>
      <c r="I39" s="70">
        <f t="shared" si="9"/>
        <v>1581.3</v>
      </c>
      <c r="J39" s="70">
        <f t="shared" si="9"/>
        <v>0</v>
      </c>
      <c r="K39" s="70">
        <f t="shared" si="9"/>
        <v>0</v>
      </c>
      <c r="L39" s="70">
        <f t="shared" si="9"/>
        <v>1800</v>
      </c>
      <c r="M39" s="70">
        <f t="shared" si="9"/>
        <v>5104.71</v>
      </c>
      <c r="N39" s="70">
        <f t="shared" si="9"/>
        <v>4027.87</v>
      </c>
      <c r="O39" s="70">
        <f t="shared" si="9"/>
        <v>0</v>
      </c>
      <c r="P39" s="70">
        <f t="shared" si="9"/>
        <v>6597.31</v>
      </c>
      <c r="Q39" s="70">
        <f t="shared" si="9"/>
        <v>600</v>
      </c>
      <c r="R39" s="70">
        <f t="shared" si="9"/>
        <v>0</v>
      </c>
      <c r="S39" s="70">
        <f t="shared" si="9"/>
        <v>700</v>
      </c>
      <c r="T39" s="70">
        <f t="shared" si="9"/>
        <v>4900.26</v>
      </c>
      <c r="U39" s="70">
        <f t="shared" si="9"/>
        <v>0</v>
      </c>
      <c r="V39" s="70">
        <f t="shared" si="9"/>
        <v>0</v>
      </c>
      <c r="W39" s="70">
        <f t="shared" si="9"/>
        <v>551</v>
      </c>
      <c r="X39" s="70">
        <f t="shared" si="9"/>
        <v>0</v>
      </c>
      <c r="Y39" s="70" t="str">
        <f t="shared" si="9"/>
        <v>#VALUE!</v>
      </c>
      <c r="Z39" s="70">
        <f t="shared" si="9"/>
        <v>41584.19</v>
      </c>
    </row>
    <row r="40" ht="14.25" customHeight="1">
      <c r="A40" s="73"/>
      <c r="B40" s="73"/>
      <c r="C40" s="73"/>
      <c r="D40" s="73"/>
      <c r="E40" s="73"/>
      <c r="F40" s="72"/>
      <c r="Y40" s="20">
        <f>F39-Z39</f>
        <v>10315.81</v>
      </c>
      <c r="Z40" s="20">
        <f>G39+H39+J39+K39+M39+N39+O39+P39+Q39+R39+S39+T39+U39+V39+W39</f>
        <v>43300.48</v>
      </c>
    </row>
    <row r="41" ht="14.25" customHeight="1">
      <c r="A41" s="73"/>
      <c r="B41" s="73"/>
      <c r="C41" s="73"/>
      <c r="D41" s="73"/>
      <c r="E41" s="73"/>
      <c r="F41" s="72"/>
    </row>
    <row r="42" ht="14.25" customHeight="1">
      <c r="A42" s="77" t="s">
        <v>177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9"/>
    </row>
    <row r="43" ht="28.5" customHeight="1">
      <c r="A43" s="4" t="s">
        <v>2</v>
      </c>
      <c r="B43" s="5"/>
      <c r="C43" s="6" t="s">
        <v>3</v>
      </c>
      <c r="D43" s="6" t="s">
        <v>4</v>
      </c>
      <c r="E43" s="6" t="s">
        <v>5</v>
      </c>
      <c r="F43" s="7" t="s">
        <v>134</v>
      </c>
      <c r="G43" s="8">
        <v>46202.0</v>
      </c>
      <c r="H43" s="2"/>
      <c r="I43" s="3"/>
      <c r="J43" s="8">
        <v>46203.0</v>
      </c>
      <c r="K43" s="2"/>
      <c r="L43" s="3"/>
      <c r="M43" s="8">
        <v>46204.0</v>
      </c>
      <c r="N43" s="2"/>
      <c r="O43" s="3"/>
      <c r="P43" s="8">
        <v>46205.0</v>
      </c>
      <c r="Q43" s="2"/>
      <c r="R43" s="3"/>
      <c r="S43" s="8">
        <v>46206.0</v>
      </c>
      <c r="T43" s="2"/>
      <c r="U43" s="3"/>
      <c r="V43" s="8">
        <v>46207.0</v>
      </c>
      <c r="W43" s="2"/>
      <c r="X43" s="3"/>
      <c r="Y43" s="9" t="s">
        <v>7</v>
      </c>
      <c r="Z43" s="7" t="s">
        <v>8</v>
      </c>
    </row>
    <row r="44" ht="14.25" customHeight="1">
      <c r="A44" s="10"/>
      <c r="B44" s="11"/>
      <c r="C44" s="12"/>
      <c r="D44" s="12"/>
      <c r="E44" s="12"/>
      <c r="F44" s="12"/>
      <c r="G44" s="13" t="s">
        <v>9</v>
      </c>
      <c r="H44" s="13" t="s">
        <v>10</v>
      </c>
      <c r="I44" s="13" t="s">
        <v>12</v>
      </c>
      <c r="J44" s="13" t="s">
        <v>9</v>
      </c>
      <c r="K44" s="13" t="s">
        <v>10</v>
      </c>
      <c r="L44" s="13" t="s">
        <v>12</v>
      </c>
      <c r="M44" s="13" t="s">
        <v>9</v>
      </c>
      <c r="N44" s="13" t="s">
        <v>10</v>
      </c>
      <c r="O44" s="13" t="s">
        <v>12</v>
      </c>
      <c r="P44" s="13" t="s">
        <v>9</v>
      </c>
      <c r="Q44" s="13" t="s">
        <v>10</v>
      </c>
      <c r="R44" s="13" t="s">
        <v>12</v>
      </c>
      <c r="S44" s="13" t="s">
        <v>9</v>
      </c>
      <c r="T44" s="13" t="s">
        <v>10</v>
      </c>
      <c r="U44" s="13" t="s">
        <v>12</v>
      </c>
      <c r="V44" s="13" t="s">
        <v>9</v>
      </c>
      <c r="W44" s="13" t="s">
        <v>10</v>
      </c>
      <c r="X44" s="13" t="s">
        <v>12</v>
      </c>
      <c r="Y44" s="12"/>
      <c r="Z44" s="12"/>
    </row>
    <row r="45" ht="14.25" customHeight="1">
      <c r="A45" s="25">
        <v>1.0</v>
      </c>
      <c r="B45" s="27" t="s">
        <v>138</v>
      </c>
      <c r="C45" s="27" t="s">
        <v>139</v>
      </c>
      <c r="D45" s="27" t="s">
        <v>140</v>
      </c>
      <c r="E45" s="27" t="s">
        <v>141</v>
      </c>
      <c r="F45" s="28">
        <v>2500.0</v>
      </c>
      <c r="G45" s="24"/>
      <c r="H45" s="24"/>
      <c r="I45" s="24"/>
      <c r="J45" s="24"/>
      <c r="K45" s="24"/>
      <c r="L45" s="24"/>
      <c r="M45" s="30">
        <v>500.0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>
        <f t="shared" ref="Y45:Y49" si="10">F45-(G45+H45+J45+K45+M45+N45+P45+Q45+R45+S45+T45+V45+W45)</f>
        <v>2000</v>
      </c>
      <c r="Z45" s="24">
        <f t="shared" ref="Z45:Z49" si="11">(G45+H45+J45+K45+M45+N45+P45+Q45+R45+S45+T45+V45+W45)</f>
        <v>500</v>
      </c>
    </row>
    <row r="46" ht="14.25" customHeight="1">
      <c r="A46" s="25">
        <v>2.0</v>
      </c>
      <c r="B46" s="27" t="s">
        <v>147</v>
      </c>
      <c r="C46" s="27" t="s">
        <v>139</v>
      </c>
      <c r="D46" s="27" t="s">
        <v>119</v>
      </c>
      <c r="E46" s="27" t="s">
        <v>148</v>
      </c>
      <c r="F46" s="28">
        <v>1500.0</v>
      </c>
      <c r="G46" s="24"/>
      <c r="H46" s="24"/>
      <c r="I46" s="24"/>
      <c r="J46" s="23">
        <v>1700.0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47">
        <f t="shared" si="10"/>
        <v>-200</v>
      </c>
      <c r="Z46" s="24">
        <f t="shared" si="11"/>
        <v>1700</v>
      </c>
      <c r="AC46" s="31" t="s">
        <v>22</v>
      </c>
      <c r="AD46" s="2"/>
      <c r="AE46" s="2"/>
      <c r="AF46" s="3"/>
    </row>
    <row r="47" ht="14.25" customHeight="1">
      <c r="A47" s="84">
        <v>3.0</v>
      </c>
      <c r="B47" s="26" t="s">
        <v>157</v>
      </c>
      <c r="C47" s="26" t="s">
        <v>139</v>
      </c>
      <c r="D47" s="27" t="s">
        <v>158</v>
      </c>
      <c r="E47" s="27" t="s">
        <v>16</v>
      </c>
      <c r="F47" s="28">
        <v>2000.0</v>
      </c>
      <c r="G47" s="24"/>
      <c r="H47" s="24"/>
      <c r="I47" s="24"/>
      <c r="J47" s="24"/>
      <c r="K47" s="24"/>
      <c r="L47" s="24"/>
      <c r="M47" s="30">
        <v>1370.08</v>
      </c>
      <c r="N47" s="24"/>
      <c r="O47" s="24"/>
      <c r="P47" s="29">
        <v>600.0</v>
      </c>
      <c r="Q47" s="24"/>
      <c r="R47" s="24"/>
      <c r="S47" s="24"/>
      <c r="T47" s="24"/>
      <c r="U47" s="24"/>
      <c r="V47" s="24"/>
      <c r="W47" s="24"/>
      <c r="X47" s="24"/>
      <c r="Y47" s="24">
        <f t="shared" si="10"/>
        <v>29.92</v>
      </c>
      <c r="Z47" s="24">
        <f t="shared" si="11"/>
        <v>1970.08</v>
      </c>
      <c r="AC47" s="35" t="s">
        <v>25</v>
      </c>
      <c r="AD47" s="35" t="s">
        <v>26</v>
      </c>
      <c r="AE47" s="35" t="s">
        <v>27</v>
      </c>
      <c r="AF47" s="35" t="s">
        <v>28</v>
      </c>
    </row>
    <row r="48" ht="14.25" customHeight="1">
      <c r="A48" s="12"/>
      <c r="B48" s="12"/>
      <c r="C48" s="12"/>
      <c r="D48" s="27" t="s">
        <v>17</v>
      </c>
      <c r="E48" s="27"/>
      <c r="F48" s="28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47">
        <f t="shared" si="10"/>
        <v>0</v>
      </c>
      <c r="Z48" s="24">
        <f t="shared" si="11"/>
        <v>0</v>
      </c>
      <c r="AC48" s="37" t="s">
        <v>9</v>
      </c>
      <c r="AD48" s="85"/>
      <c r="AE48" s="85"/>
      <c r="AF48" s="24">
        <f>(G52+J52+M52+P52+S52+V52)</f>
        <v>5091.24</v>
      </c>
    </row>
    <row r="49" ht="14.25" customHeight="1">
      <c r="A49" s="25">
        <v>4.0</v>
      </c>
      <c r="B49" s="27" t="s">
        <v>165</v>
      </c>
      <c r="C49" s="27" t="s">
        <v>166</v>
      </c>
      <c r="D49" s="27" t="s">
        <v>119</v>
      </c>
      <c r="E49" s="27" t="s">
        <v>167</v>
      </c>
      <c r="F49" s="28">
        <v>1500.0</v>
      </c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>
        <f t="shared" si="10"/>
        <v>1500</v>
      </c>
      <c r="Z49" s="24">
        <f t="shared" si="11"/>
        <v>0</v>
      </c>
      <c r="AC49" s="37" t="s">
        <v>10</v>
      </c>
      <c r="AD49" s="85"/>
      <c r="AE49" s="85"/>
      <c r="AF49" s="24">
        <f>H52+K52+N52+Q52+T52+W52</f>
        <v>0</v>
      </c>
    </row>
    <row r="50" ht="14.25" customHeight="1">
      <c r="A50" s="25">
        <v>5.0</v>
      </c>
      <c r="B50" s="27" t="s">
        <v>168</v>
      </c>
      <c r="C50" s="27" t="s">
        <v>166</v>
      </c>
      <c r="D50" s="27" t="s">
        <v>119</v>
      </c>
      <c r="E50" s="27" t="s">
        <v>169</v>
      </c>
      <c r="F50" s="28">
        <v>1500.0</v>
      </c>
      <c r="H50" s="24"/>
      <c r="I50" s="24"/>
      <c r="J50" s="24"/>
      <c r="K50" s="24"/>
      <c r="L50" s="24"/>
      <c r="M50" s="30">
        <v>921.16</v>
      </c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 t="str">
        <f>F50-(M50+H50+J50+K50+#REF!+N50+P50+Q50+R50+S50+T50+V50+W50)</f>
        <v>#REF!</v>
      </c>
      <c r="Z50" s="24" t="str">
        <f>(M50+H50+J50+K50+#REF!+N50+P50+Q50+R50+S50+T50+V50+W50)</f>
        <v>#REF!</v>
      </c>
      <c r="AC50" s="37" t="s">
        <v>12</v>
      </c>
      <c r="AD50" s="85"/>
      <c r="AE50" s="85"/>
      <c r="AF50" s="85"/>
    </row>
    <row r="51" ht="14.25" customHeight="1">
      <c r="A51" s="25">
        <v>6.0</v>
      </c>
      <c r="B51" s="27" t="s">
        <v>170</v>
      </c>
      <c r="C51" s="27" t="s">
        <v>171</v>
      </c>
      <c r="D51" s="27" t="s">
        <v>158</v>
      </c>
      <c r="E51" s="27" t="s">
        <v>172</v>
      </c>
      <c r="F51" s="28">
        <v>2000.0</v>
      </c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>
        <f>F51-(G51+H51+J51+K51+M51+N51+P51+Q51+R51+S51+T51+V51+W51)</f>
        <v>2000</v>
      </c>
      <c r="Z51" s="24">
        <f>(G51+H51+J51+K51+M51+N51+P51+Q51+R51+S51+T51+V51+W51)</f>
        <v>0</v>
      </c>
    </row>
    <row r="52" ht="14.25" customHeight="1">
      <c r="A52" s="68" t="s">
        <v>122</v>
      </c>
      <c r="B52" s="2"/>
      <c r="C52" s="2"/>
      <c r="D52" s="2"/>
      <c r="E52" s="3"/>
      <c r="F52" s="69">
        <f t="shared" ref="F52:H52" si="12">SUM(F45:F51)</f>
        <v>11000</v>
      </c>
      <c r="G52" s="86">
        <f t="shared" si="12"/>
        <v>0</v>
      </c>
      <c r="H52" s="86">
        <f t="shared" si="12"/>
        <v>0</v>
      </c>
      <c r="I52" s="86"/>
      <c r="J52" s="86">
        <f t="shared" ref="J52:K52" si="13">SUM(J45:J51)</f>
        <v>1700</v>
      </c>
      <c r="K52" s="86">
        <f t="shared" si="13"/>
        <v>0</v>
      </c>
      <c r="L52" s="86"/>
      <c r="M52" s="86">
        <f t="shared" ref="M52:N52" si="14">SUM(M45:M51)</f>
        <v>2791.24</v>
      </c>
      <c r="N52" s="86">
        <f t="shared" si="14"/>
        <v>0</v>
      </c>
      <c r="O52" s="86"/>
      <c r="P52" s="86">
        <f t="shared" ref="P52:T52" si="15">SUM(P45:P51)</f>
        <v>600</v>
      </c>
      <c r="Q52" s="86">
        <f t="shared" si="15"/>
        <v>0</v>
      </c>
      <c r="R52" s="86">
        <f t="shared" si="15"/>
        <v>0</v>
      </c>
      <c r="S52" s="86">
        <f t="shared" si="15"/>
        <v>0</v>
      </c>
      <c r="T52" s="86">
        <f t="shared" si="15"/>
        <v>0</v>
      </c>
      <c r="U52" s="86"/>
      <c r="V52" s="86">
        <f t="shared" ref="V52:W52" si="16">SUM(V45:V51)</f>
        <v>0</v>
      </c>
      <c r="W52" s="86">
        <f t="shared" si="16"/>
        <v>0</v>
      </c>
      <c r="X52" s="86"/>
      <c r="Y52" s="70" t="str">
        <f t="shared" ref="Y52:Z52" si="17">SUM(Y45:Y51)</f>
        <v>#REF!</v>
      </c>
      <c r="Z52" s="70" t="str">
        <f t="shared" si="17"/>
        <v>#REF!</v>
      </c>
    </row>
    <row r="53" ht="14.25" customHeight="1">
      <c r="A53" s="73"/>
      <c r="B53" s="73"/>
      <c r="C53" s="73"/>
      <c r="D53" s="73"/>
      <c r="E53" s="73"/>
      <c r="F53" s="72"/>
      <c r="M53" s="105">
        <f>M52+M39</f>
        <v>7895.95</v>
      </c>
      <c r="P53" s="105">
        <f>P39+P52</f>
        <v>7197.31</v>
      </c>
      <c r="S53" s="105">
        <f>S39+S52</f>
        <v>700</v>
      </c>
    </row>
    <row r="54" ht="14.25" customHeight="1">
      <c r="A54" s="73"/>
      <c r="B54" s="73"/>
      <c r="C54" s="73"/>
      <c r="D54" s="73"/>
      <c r="E54" s="73"/>
      <c r="F54" s="72"/>
    </row>
    <row r="55" ht="14.25" customHeight="1">
      <c r="A55" s="73"/>
      <c r="B55" s="73"/>
      <c r="C55" s="73"/>
      <c r="D55" s="73"/>
      <c r="E55" s="73"/>
      <c r="F55" s="72"/>
    </row>
    <row r="56" ht="14.25" customHeight="1">
      <c r="A56" s="1" t="s">
        <v>214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ht="28.5" customHeight="1">
      <c r="A57" s="4" t="s">
        <v>2</v>
      </c>
      <c r="B57" s="5"/>
      <c r="C57" s="6" t="s">
        <v>3</v>
      </c>
      <c r="D57" s="6" t="s">
        <v>4</v>
      </c>
      <c r="E57" s="6" t="s">
        <v>5</v>
      </c>
      <c r="F57" s="7" t="s">
        <v>134</v>
      </c>
      <c r="G57" s="109">
        <v>46202.0</v>
      </c>
      <c r="H57" s="109">
        <v>46203.0</v>
      </c>
      <c r="I57" s="109">
        <v>46204.0</v>
      </c>
      <c r="J57" s="109">
        <v>46205.0</v>
      </c>
      <c r="K57" s="109">
        <v>46206.0</v>
      </c>
      <c r="L57" s="109">
        <v>46207.0</v>
      </c>
      <c r="M57" s="109">
        <v>46208.0</v>
      </c>
      <c r="N57" s="9" t="s">
        <v>7</v>
      </c>
      <c r="O57" s="7" t="s">
        <v>8</v>
      </c>
      <c r="R57" s="111"/>
      <c r="T57" s="111"/>
      <c r="U57" s="111"/>
      <c r="W57" s="111"/>
      <c r="X57" s="111"/>
    </row>
    <row r="58" ht="14.25" customHeight="1">
      <c r="A58" s="10"/>
      <c r="B58" s="11"/>
      <c r="C58" s="12"/>
      <c r="D58" s="12"/>
      <c r="E58" s="12"/>
      <c r="F58" s="12"/>
      <c r="G58" s="13" t="s">
        <v>9</v>
      </c>
      <c r="H58" s="13" t="s">
        <v>9</v>
      </c>
      <c r="I58" s="13" t="s">
        <v>9</v>
      </c>
      <c r="J58" s="13" t="s">
        <v>9</v>
      </c>
      <c r="K58" s="13" t="s">
        <v>9</v>
      </c>
      <c r="L58" s="13" t="s">
        <v>9</v>
      </c>
      <c r="M58" s="13" t="s">
        <v>9</v>
      </c>
      <c r="N58" s="12"/>
      <c r="O58" s="12"/>
      <c r="R58" s="112"/>
      <c r="S58" s="112"/>
      <c r="T58" s="112"/>
      <c r="U58" s="112"/>
      <c r="V58" s="112"/>
      <c r="W58" s="112"/>
      <c r="X58" s="112"/>
    </row>
    <row r="59" ht="14.25" customHeight="1">
      <c r="A59" s="25">
        <v>1.0</v>
      </c>
      <c r="B59" s="89" t="s">
        <v>178</v>
      </c>
      <c r="C59" s="84" t="s">
        <v>179</v>
      </c>
      <c r="D59" s="27"/>
      <c r="E59" s="90" t="s">
        <v>180</v>
      </c>
      <c r="F59" s="28"/>
      <c r="G59" s="85"/>
      <c r="H59" s="85"/>
      <c r="I59" s="85"/>
      <c r="J59" s="85"/>
      <c r="K59" s="85"/>
      <c r="L59" s="85"/>
      <c r="M59" s="85"/>
      <c r="N59" s="85"/>
      <c r="O59" s="24">
        <f t="shared" ref="O59:O65" si="18">SUM(G59:N59)</f>
        <v>0</v>
      </c>
      <c r="V59" s="92" t="s">
        <v>215</v>
      </c>
      <c r="W59" s="2"/>
      <c r="X59" s="2"/>
      <c r="Y59" s="3"/>
    </row>
    <row r="60" ht="14.25" customHeight="1">
      <c r="A60" s="25">
        <v>2.0</v>
      </c>
      <c r="B60" s="89" t="s">
        <v>183</v>
      </c>
      <c r="C60" s="44"/>
      <c r="D60" s="27"/>
      <c r="E60" s="90" t="s">
        <v>184</v>
      </c>
      <c r="F60" s="28"/>
      <c r="G60" s="85"/>
      <c r="H60" s="85"/>
      <c r="I60" s="85"/>
      <c r="J60" s="85"/>
      <c r="K60" s="85"/>
      <c r="L60" s="85">
        <v>10800.14</v>
      </c>
      <c r="M60" s="85"/>
      <c r="N60" s="85"/>
      <c r="O60" s="24">
        <f t="shared" si="18"/>
        <v>10800.14</v>
      </c>
      <c r="V60" s="35" t="s">
        <v>25</v>
      </c>
      <c r="W60" s="35" t="s">
        <v>26</v>
      </c>
      <c r="X60" s="35" t="s">
        <v>27</v>
      </c>
      <c r="Y60" s="35" t="s">
        <v>28</v>
      </c>
    </row>
    <row r="61" ht="14.25" customHeight="1">
      <c r="A61" s="25">
        <v>3.0</v>
      </c>
      <c r="B61" s="89" t="s">
        <v>185</v>
      </c>
      <c r="C61" s="44"/>
      <c r="D61" s="27"/>
      <c r="E61" s="90" t="s">
        <v>186</v>
      </c>
      <c r="F61" s="28"/>
      <c r="G61" s="85"/>
      <c r="H61" s="85"/>
      <c r="I61" s="85"/>
      <c r="J61" s="85"/>
      <c r="K61" s="85"/>
      <c r="L61" s="85"/>
      <c r="M61" s="85"/>
      <c r="N61" s="85"/>
      <c r="O61" s="24">
        <f t="shared" si="18"/>
        <v>0</v>
      </c>
      <c r="V61" s="27" t="s">
        <v>9</v>
      </c>
      <c r="W61" s="27"/>
      <c r="X61" s="27"/>
      <c r="Y61" s="28" t="str">
        <f>(G66+J66+#REF!+#REF!+S66+V66)</f>
        <v>#REF!</v>
      </c>
    </row>
    <row r="62" ht="14.25" customHeight="1">
      <c r="A62" s="25">
        <v>4.0</v>
      </c>
      <c r="B62" s="89" t="s">
        <v>185</v>
      </c>
      <c r="C62" s="44"/>
      <c r="D62" s="27"/>
      <c r="E62" s="90" t="s">
        <v>186</v>
      </c>
      <c r="F62" s="28"/>
      <c r="G62" s="85"/>
      <c r="H62" s="85"/>
      <c r="I62" s="85"/>
      <c r="J62" s="85"/>
      <c r="K62" s="85"/>
      <c r="L62" s="85"/>
      <c r="M62" s="85"/>
      <c r="N62" s="85"/>
      <c r="O62" s="24">
        <f t="shared" si="18"/>
        <v>0</v>
      </c>
      <c r="V62" s="27" t="s">
        <v>10</v>
      </c>
      <c r="W62" s="27"/>
      <c r="X62" s="27"/>
      <c r="Y62" s="27" t="str">
        <f>(H66+K66+#REF!+#REF!+T66+W66)</f>
        <v>#REF!</v>
      </c>
    </row>
    <row r="63" ht="14.25" customHeight="1">
      <c r="A63" s="25">
        <v>5.0</v>
      </c>
      <c r="B63" s="89" t="s">
        <v>187</v>
      </c>
      <c r="C63" s="44"/>
      <c r="D63" s="27"/>
      <c r="E63" s="90" t="s">
        <v>188</v>
      </c>
      <c r="F63" s="28"/>
      <c r="G63" s="85"/>
      <c r="H63" s="85"/>
      <c r="I63" s="85">
        <v>8100.11</v>
      </c>
      <c r="J63" s="85"/>
      <c r="K63" s="85"/>
      <c r="L63" s="85"/>
      <c r="M63" s="85"/>
      <c r="N63" s="85"/>
      <c r="O63" s="24">
        <f t="shared" si="18"/>
        <v>8100.11</v>
      </c>
      <c r="V63" s="27" t="s">
        <v>11</v>
      </c>
      <c r="W63" s="27"/>
      <c r="X63" s="27"/>
      <c r="Y63" s="27" t="str">
        <f>(I66+M66+#REF!+R66+U66+X66)</f>
        <v>#REF!</v>
      </c>
    </row>
    <row r="64" ht="14.25" customHeight="1">
      <c r="A64" s="25">
        <v>6.0</v>
      </c>
      <c r="B64" s="89" t="s">
        <v>189</v>
      </c>
      <c r="C64" s="44"/>
      <c r="D64" s="27"/>
      <c r="E64" s="90" t="s">
        <v>190</v>
      </c>
      <c r="F64" s="28"/>
      <c r="G64" s="85"/>
      <c r="H64" s="85"/>
      <c r="I64" s="85"/>
      <c r="J64" s="85"/>
      <c r="K64" s="85"/>
      <c r="L64" s="85"/>
      <c r="M64" s="85"/>
      <c r="N64" s="85"/>
      <c r="O64" s="24">
        <f t="shared" si="18"/>
        <v>0</v>
      </c>
    </row>
    <row r="65" ht="14.25" customHeight="1">
      <c r="A65" s="25">
        <v>7.0</v>
      </c>
      <c r="B65" s="89" t="s">
        <v>191</v>
      </c>
      <c r="C65" s="12"/>
      <c r="D65" s="27"/>
      <c r="E65" s="90" t="s">
        <v>192</v>
      </c>
      <c r="F65" s="28"/>
      <c r="G65" s="85"/>
      <c r="H65" s="85"/>
      <c r="I65" s="85"/>
      <c r="J65" s="85"/>
      <c r="K65" s="85"/>
      <c r="L65" s="85">
        <v>8100.0</v>
      </c>
      <c r="M65" s="85"/>
      <c r="N65" s="85"/>
      <c r="O65" s="24">
        <f t="shared" si="18"/>
        <v>8100</v>
      </c>
    </row>
    <row r="66" ht="14.25" customHeight="1">
      <c r="A66" s="68" t="s">
        <v>122</v>
      </c>
      <c r="B66" s="2"/>
      <c r="C66" s="2"/>
      <c r="D66" s="2"/>
      <c r="E66" s="3"/>
      <c r="F66" s="93"/>
      <c r="G66" s="85">
        <f t="shared" ref="G66:O66" si="19">SUM(G59:G65)</f>
        <v>0</v>
      </c>
      <c r="H66" s="85">
        <f t="shared" si="19"/>
        <v>0</v>
      </c>
      <c r="I66" s="85">
        <f t="shared" si="19"/>
        <v>8100.11</v>
      </c>
      <c r="J66" s="85">
        <f t="shared" si="19"/>
        <v>0</v>
      </c>
      <c r="K66" s="85">
        <f t="shared" si="19"/>
        <v>0</v>
      </c>
      <c r="L66" s="85">
        <f t="shared" si="19"/>
        <v>18900.14</v>
      </c>
      <c r="M66" s="85">
        <f t="shared" si="19"/>
        <v>0</v>
      </c>
      <c r="N66" s="85">
        <f t="shared" si="19"/>
        <v>0</v>
      </c>
      <c r="O66" s="24">
        <f t="shared" si="19"/>
        <v>27000.25</v>
      </c>
    </row>
    <row r="67" ht="14.25" customHeight="1">
      <c r="A67" s="73"/>
      <c r="B67" s="73"/>
      <c r="C67" s="73"/>
      <c r="D67" s="73"/>
      <c r="E67" s="73"/>
      <c r="F67" s="72"/>
    </row>
    <row r="68" ht="14.25" customHeight="1">
      <c r="A68" s="73"/>
      <c r="B68" s="73"/>
      <c r="C68" s="73"/>
      <c r="D68" s="73"/>
      <c r="E68" s="73"/>
      <c r="F68" s="72"/>
    </row>
    <row r="69" ht="14.25" customHeight="1">
      <c r="A69" s="1" t="s">
        <v>193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3"/>
    </row>
    <row r="70" ht="14.25" customHeight="1">
      <c r="A70" s="4" t="s">
        <v>2</v>
      </c>
      <c r="B70" s="5"/>
      <c r="C70" s="6" t="s">
        <v>194</v>
      </c>
      <c r="D70" s="6" t="s">
        <v>4</v>
      </c>
      <c r="E70" s="6" t="s">
        <v>219</v>
      </c>
      <c r="F70" s="7" t="s">
        <v>134</v>
      </c>
      <c r="G70" s="8">
        <v>46202.0</v>
      </c>
      <c r="H70" s="3"/>
      <c r="I70" s="8">
        <v>46203.0</v>
      </c>
      <c r="J70" s="3"/>
      <c r="K70" s="8">
        <v>46204.0</v>
      </c>
      <c r="L70" s="3"/>
      <c r="M70" s="8">
        <v>46205.0</v>
      </c>
      <c r="N70" s="3"/>
      <c r="O70" s="8">
        <v>46206.0</v>
      </c>
      <c r="P70" s="3"/>
      <c r="Q70" s="8">
        <v>46207.0</v>
      </c>
      <c r="R70" s="3"/>
      <c r="S70" s="8">
        <v>46208.0</v>
      </c>
      <c r="T70" s="3"/>
      <c r="U70" s="85"/>
      <c r="V70" s="85"/>
    </row>
    <row r="71" ht="14.25" customHeight="1">
      <c r="A71" s="10"/>
      <c r="B71" s="11"/>
      <c r="C71" s="12"/>
      <c r="D71" s="12"/>
      <c r="E71" s="12"/>
      <c r="F71" s="12"/>
      <c r="G71" s="13" t="s">
        <v>26</v>
      </c>
      <c r="H71" s="13" t="s">
        <v>197</v>
      </c>
      <c r="I71" s="13" t="s">
        <v>26</v>
      </c>
      <c r="J71" s="13" t="s">
        <v>197</v>
      </c>
      <c r="K71" s="13" t="s">
        <v>26</v>
      </c>
      <c r="L71" s="13" t="s">
        <v>197</v>
      </c>
      <c r="M71" s="13" t="s">
        <v>26</v>
      </c>
      <c r="N71" s="13" t="s">
        <v>197</v>
      </c>
      <c r="O71" s="13" t="s">
        <v>26</v>
      </c>
      <c r="P71" s="13" t="s">
        <v>197</v>
      </c>
      <c r="Q71" s="13" t="s">
        <v>26</v>
      </c>
      <c r="R71" s="13" t="s">
        <v>197</v>
      </c>
      <c r="S71" s="13" t="s">
        <v>26</v>
      </c>
      <c r="T71" s="13" t="s">
        <v>197</v>
      </c>
      <c r="U71" s="120" t="s">
        <v>224</v>
      </c>
      <c r="V71" s="104">
        <v>27.0</v>
      </c>
    </row>
    <row r="72" ht="14.25" customHeight="1">
      <c r="A72" s="25">
        <v>1.0</v>
      </c>
      <c r="B72" s="27" t="s">
        <v>225</v>
      </c>
      <c r="C72" s="25" t="s">
        <v>226</v>
      </c>
      <c r="D72" s="27"/>
      <c r="E72" s="89">
        <v>550.0</v>
      </c>
      <c r="F72" s="27">
        <f t="shared" ref="F72:F73" si="20">E72*6</f>
        <v>3300</v>
      </c>
      <c r="G72" s="27">
        <v>710.0</v>
      </c>
      <c r="H72" s="137" t="s">
        <v>263</v>
      </c>
      <c r="I72" s="27">
        <v>580.0</v>
      </c>
      <c r="J72" s="138" t="s">
        <v>267</v>
      </c>
      <c r="K72" s="27">
        <v>660.0</v>
      </c>
      <c r="L72" s="138" t="s">
        <v>270</v>
      </c>
      <c r="M72" s="27">
        <v>1545.0</v>
      </c>
      <c r="N72" s="123" t="s">
        <v>271</v>
      </c>
      <c r="O72" s="85"/>
      <c r="P72" s="85"/>
      <c r="Q72" s="27">
        <v>150.0</v>
      </c>
      <c r="R72" s="123" t="s">
        <v>272</v>
      </c>
      <c r="S72" s="85"/>
      <c r="T72" s="85"/>
      <c r="U72" s="27">
        <f t="shared" ref="U72:U77" si="21">S72+Q72+O72+M72+K72+I72+G72</f>
        <v>3645</v>
      </c>
      <c r="V72" s="131"/>
    </row>
    <row r="73" ht="14.25" customHeight="1">
      <c r="A73" s="25">
        <v>2.0</v>
      </c>
      <c r="B73" s="27" t="s">
        <v>235</v>
      </c>
      <c r="C73" s="101"/>
      <c r="D73" s="27"/>
      <c r="E73" s="89">
        <v>450.0</v>
      </c>
      <c r="F73" s="27">
        <f t="shared" si="20"/>
        <v>2700</v>
      </c>
      <c r="G73" s="85"/>
      <c r="H73" s="85"/>
      <c r="I73" s="27">
        <v>430.0</v>
      </c>
      <c r="J73" s="138" t="s">
        <v>282</v>
      </c>
      <c r="K73" s="27">
        <v>200.0</v>
      </c>
      <c r="L73" s="138" t="s">
        <v>284</v>
      </c>
      <c r="M73" s="27">
        <v>760.0</v>
      </c>
      <c r="N73" s="123" t="s">
        <v>285</v>
      </c>
      <c r="O73" s="85"/>
      <c r="P73" s="85"/>
      <c r="Q73" s="85"/>
      <c r="R73" s="85"/>
      <c r="S73" s="85"/>
      <c r="T73" s="85"/>
      <c r="U73" s="27">
        <f t="shared" si="21"/>
        <v>1390</v>
      </c>
      <c r="V73" s="44"/>
    </row>
    <row r="74" ht="14.25" customHeight="1">
      <c r="A74" s="25">
        <v>3.0</v>
      </c>
      <c r="B74" s="27" t="s">
        <v>241</v>
      </c>
      <c r="C74" s="101"/>
      <c r="D74" s="27"/>
      <c r="E74" s="89"/>
      <c r="F74" s="28"/>
      <c r="G74" s="85"/>
      <c r="H74" s="85"/>
      <c r="I74" s="85"/>
      <c r="J74" s="85"/>
      <c r="K74" s="27"/>
      <c r="L74" s="85"/>
      <c r="M74" s="27"/>
      <c r="N74" s="85"/>
      <c r="O74" s="85">
        <v>638.94</v>
      </c>
      <c r="P74" s="123" t="s">
        <v>292</v>
      </c>
      <c r="Q74" s="85">
        <v>240.0</v>
      </c>
      <c r="R74" s="123" t="s">
        <v>294</v>
      </c>
      <c r="S74" s="85"/>
      <c r="T74" s="85"/>
      <c r="U74" s="27">
        <f t="shared" si="21"/>
        <v>878.94</v>
      </c>
      <c r="V74" s="44"/>
    </row>
    <row r="75" ht="14.25" customHeight="1">
      <c r="A75" s="25">
        <v>4.0</v>
      </c>
      <c r="B75" s="27" t="s">
        <v>253</v>
      </c>
      <c r="C75" s="101"/>
      <c r="D75" s="27"/>
      <c r="E75" s="89"/>
      <c r="F75" s="28"/>
      <c r="G75" s="85"/>
      <c r="H75" s="85"/>
      <c r="I75" s="85"/>
      <c r="J75" s="85"/>
      <c r="K75" s="27">
        <v>400.0</v>
      </c>
      <c r="L75" s="138" t="s">
        <v>296</v>
      </c>
      <c r="M75" s="27">
        <v>240.0</v>
      </c>
      <c r="N75" s="123" t="s">
        <v>298</v>
      </c>
      <c r="O75" s="85"/>
      <c r="P75" s="85"/>
      <c r="Q75" s="85"/>
      <c r="R75" s="85"/>
      <c r="S75" s="85"/>
      <c r="T75" s="85"/>
      <c r="U75" s="27">
        <f t="shared" si="21"/>
        <v>640</v>
      </c>
      <c r="V75" s="44"/>
    </row>
    <row r="76" ht="14.25" customHeight="1">
      <c r="A76" s="25">
        <v>5.0</v>
      </c>
      <c r="B76" s="27" t="s">
        <v>257</v>
      </c>
      <c r="C76" s="101"/>
      <c r="D76" s="27"/>
      <c r="E76" s="89"/>
      <c r="F76" s="28"/>
      <c r="G76" s="85"/>
      <c r="H76" s="85"/>
      <c r="I76" s="85"/>
      <c r="J76" s="85"/>
      <c r="K76" s="85"/>
      <c r="L76" s="85"/>
      <c r="M76" s="85"/>
      <c r="N76" s="85"/>
      <c r="O76" s="85">
        <v>360.0</v>
      </c>
      <c r="P76" s="123" t="s">
        <v>303</v>
      </c>
      <c r="Q76" s="85"/>
      <c r="R76" s="85"/>
      <c r="S76" s="85"/>
      <c r="T76" s="85"/>
      <c r="U76" s="27">
        <f t="shared" si="21"/>
        <v>360</v>
      </c>
      <c r="V76" s="44"/>
    </row>
    <row r="77" ht="14.25" customHeight="1">
      <c r="A77" s="25">
        <v>6.0</v>
      </c>
      <c r="B77" s="27" t="s">
        <v>264</v>
      </c>
      <c r="C77" s="101"/>
      <c r="D77" s="27"/>
      <c r="E77" s="89"/>
      <c r="F77" s="28"/>
      <c r="G77" s="85"/>
      <c r="H77" s="85"/>
      <c r="I77" s="85"/>
      <c r="J77" s="85"/>
      <c r="K77" s="85"/>
      <c r="L77" s="85"/>
      <c r="M77" s="85"/>
      <c r="N77" s="85"/>
      <c r="O77" s="85">
        <v>610.0</v>
      </c>
      <c r="P77" s="123" t="s">
        <v>308</v>
      </c>
      <c r="Q77" s="85"/>
      <c r="R77" s="85"/>
      <c r="S77" s="85"/>
      <c r="T77" s="85"/>
      <c r="U77" s="27">
        <f t="shared" si="21"/>
        <v>610</v>
      </c>
      <c r="V77" s="44"/>
    </row>
    <row r="78" ht="14.25" customHeight="1">
      <c r="A78" s="25">
        <v>7.0</v>
      </c>
      <c r="B78" s="140" t="s">
        <v>273</v>
      </c>
      <c r="C78" s="101"/>
      <c r="D78" s="27"/>
      <c r="E78" s="89"/>
      <c r="F78" s="28"/>
      <c r="G78" s="27">
        <v>700.0</v>
      </c>
      <c r="H78" s="153" t="s">
        <v>309</v>
      </c>
      <c r="I78" s="27">
        <v>400.0</v>
      </c>
      <c r="J78" s="80" t="s">
        <v>310</v>
      </c>
      <c r="K78" s="27"/>
      <c r="L78" s="155" t="s">
        <v>311</v>
      </c>
      <c r="M78" s="27">
        <v>400.0</v>
      </c>
      <c r="N78" s="123" t="s">
        <v>312</v>
      </c>
      <c r="O78" s="85">
        <v>300.0</v>
      </c>
      <c r="P78" s="123" t="s">
        <v>133</v>
      </c>
      <c r="Q78" s="85">
        <v>400.0</v>
      </c>
      <c r="R78" s="123" t="s">
        <v>313</v>
      </c>
      <c r="S78" s="85"/>
      <c r="T78" s="85"/>
      <c r="U78" s="27" t="str">
        <f>S78+#REF!+#REF!+#REF!+O78+K78+G78</f>
        <v>#REF!</v>
      </c>
      <c r="V78" s="44"/>
    </row>
    <row r="79" ht="14.25" customHeight="1">
      <c r="A79" s="25"/>
      <c r="B79" s="89"/>
      <c r="C79" s="101"/>
      <c r="D79" s="27"/>
      <c r="E79" s="89"/>
      <c r="F79" s="28"/>
      <c r="G79" s="85"/>
      <c r="H79" s="85"/>
      <c r="L79" s="159">
        <v>1000.0</v>
      </c>
      <c r="N79" s="85"/>
      <c r="O79" s="85"/>
      <c r="P79" s="85"/>
      <c r="Q79" s="85"/>
      <c r="R79" s="85"/>
      <c r="S79" s="85"/>
      <c r="T79" s="85"/>
      <c r="U79" s="27"/>
      <c r="V79" s="44"/>
    </row>
    <row r="80" ht="14.25" customHeight="1">
      <c r="A80" s="25"/>
      <c r="B80" s="89"/>
      <c r="C80" s="101"/>
      <c r="D80" s="27"/>
      <c r="E80" s="89"/>
      <c r="F80" s="28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27"/>
      <c r="V80" s="44"/>
    </row>
    <row r="81" ht="14.25" customHeight="1">
      <c r="A81" s="25"/>
      <c r="B81" s="89"/>
      <c r="C81" s="101"/>
      <c r="D81" s="27"/>
      <c r="E81" s="89"/>
      <c r="F81" s="28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27"/>
      <c r="V81" s="12"/>
    </row>
    <row r="82" ht="14.25" customHeight="1">
      <c r="A82" s="150" t="s">
        <v>122</v>
      </c>
      <c r="B82" s="148"/>
      <c r="C82" s="148"/>
      <c r="D82" s="148"/>
      <c r="E82" s="148"/>
      <c r="F82" s="5"/>
      <c r="G82" s="27">
        <f>SUM(G72:G81)</f>
        <v>1410</v>
      </c>
      <c r="H82" s="27"/>
      <c r="I82" s="27">
        <f>SUM(I72:I81)</f>
        <v>1410</v>
      </c>
      <c r="J82" s="27"/>
      <c r="K82" s="27">
        <f>SUM(K72:K81)</f>
        <v>1260</v>
      </c>
      <c r="L82" s="27"/>
      <c r="M82" s="27">
        <f>SUM(M72:M81)</f>
        <v>2945</v>
      </c>
      <c r="N82" s="27"/>
      <c r="O82" s="27">
        <f>SUM(O72:O81)</f>
        <v>1908.94</v>
      </c>
      <c r="P82" s="27"/>
      <c r="Q82" s="27">
        <f>SUM(Q72:Q81)</f>
        <v>790</v>
      </c>
      <c r="R82" s="27"/>
      <c r="S82" s="27">
        <f>SUM(S72:S81)</f>
        <v>0</v>
      </c>
      <c r="T82" s="27"/>
      <c r="U82" s="27" t="str">
        <f>SUM(U72:U81)</f>
        <v>#REF!</v>
      </c>
      <c r="V82" s="158" t="str">
        <f>U82*V71</f>
        <v>#REF!</v>
      </c>
    </row>
    <row r="83" ht="14.25" customHeight="1">
      <c r="A83" s="10"/>
      <c r="B83" s="156"/>
      <c r="C83" s="156"/>
      <c r="D83" s="156"/>
      <c r="E83" s="156"/>
      <c r="F83" s="11"/>
      <c r="G83" s="24">
        <f>G82*27</f>
        <v>38070</v>
      </c>
      <c r="H83" s="41">
        <v>38070.09</v>
      </c>
      <c r="I83" s="24">
        <f>I82*27</f>
        <v>38070</v>
      </c>
      <c r="J83" s="41">
        <v>38070.25</v>
      </c>
      <c r="K83" s="24">
        <f>K82*27</f>
        <v>34020</v>
      </c>
      <c r="L83" s="41">
        <v>61020.46</v>
      </c>
      <c r="M83" s="24">
        <f>M82*27</f>
        <v>79515</v>
      </c>
      <c r="N83" s="41">
        <v>79515.44</v>
      </c>
      <c r="O83" s="24">
        <f>O82*27</f>
        <v>51541.38</v>
      </c>
      <c r="P83" s="41">
        <v>52541.54</v>
      </c>
      <c r="Q83" s="24">
        <f>Q82*27</f>
        <v>21330</v>
      </c>
      <c r="R83" s="41">
        <v>21330.16</v>
      </c>
      <c r="S83" s="24">
        <f>S82*27</f>
        <v>0</v>
      </c>
      <c r="T83" s="85">
        <f>Q82+O82+M82+K82+G82+I82</f>
        <v>9723.94</v>
      </c>
      <c r="U83" s="85"/>
      <c r="V83" s="85"/>
    </row>
    <row r="84" ht="14.25" customHeight="1">
      <c r="A84" s="26"/>
      <c r="B84" s="26"/>
      <c r="C84" s="26"/>
      <c r="D84" s="26"/>
      <c r="E84" s="26"/>
      <c r="F84" s="161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158">
        <f>Q83+O83+M83+K83+I83+G83</f>
        <v>262546.38</v>
      </c>
      <c r="T84" s="41">
        <f>H83+J83+L83+N83+P83+R83</f>
        <v>290547.94</v>
      </c>
      <c r="U84" s="85"/>
      <c r="V84" s="85"/>
    </row>
    <row r="85" ht="14.25" customHeight="1">
      <c r="A85" s="73"/>
      <c r="B85" s="73"/>
      <c r="C85" s="73"/>
      <c r="D85" s="73"/>
      <c r="E85" s="73"/>
      <c r="F85" s="72"/>
      <c r="S85" s="20"/>
    </row>
    <row r="86" ht="14.25" customHeight="1">
      <c r="A86" s="73"/>
      <c r="B86" s="73"/>
      <c r="C86" s="73"/>
      <c r="D86" s="73"/>
      <c r="E86" s="73"/>
      <c r="F86" s="72"/>
      <c r="K86" s="20">
        <f>G83+I83+K83+M83+O83+Q83</f>
        <v>262546.38</v>
      </c>
      <c r="L86" s="20">
        <f>K86-(1000*27)</f>
        <v>235546.38</v>
      </c>
      <c r="M86" s="20"/>
      <c r="S86" s="20"/>
    </row>
    <row r="87" ht="14.25" customHeight="1">
      <c r="A87" s="73"/>
      <c r="B87" s="165" t="s">
        <v>331</v>
      </c>
      <c r="C87" s="2"/>
      <c r="D87" s="2"/>
      <c r="E87" s="2"/>
      <c r="F87" s="3"/>
    </row>
    <row r="88" ht="14.25" customHeight="1">
      <c r="A88" s="73"/>
      <c r="B88" s="167" t="s">
        <v>317</v>
      </c>
      <c r="C88" s="165" t="s">
        <v>322</v>
      </c>
      <c r="D88" s="2"/>
      <c r="E88" s="2"/>
      <c r="F88" s="3"/>
    </row>
    <row r="89" ht="42.75" customHeight="1">
      <c r="A89" s="73"/>
      <c r="B89" s="174" t="s">
        <v>336</v>
      </c>
      <c r="C89" s="28">
        <f>C90+C91+C92</f>
        <v>64187.03</v>
      </c>
      <c r="D89" s="132"/>
      <c r="E89" s="132"/>
      <c r="F89" s="28"/>
      <c r="G89" s="72"/>
      <c r="K89" s="73"/>
      <c r="L89" s="73"/>
    </row>
    <row r="90" ht="42.75" customHeight="1">
      <c r="A90" s="73"/>
      <c r="B90" s="174" t="s">
        <v>342</v>
      </c>
      <c r="C90" s="175">
        <v>21393.52</v>
      </c>
      <c r="D90" s="132"/>
      <c r="E90" s="132"/>
      <c r="F90" s="28"/>
      <c r="G90" s="72"/>
      <c r="H90" s="189" t="s">
        <v>343</v>
      </c>
      <c r="I90" s="3"/>
      <c r="K90" s="73"/>
      <c r="L90" s="73"/>
    </row>
    <row r="91" ht="14.25" customHeight="1">
      <c r="A91" s="73"/>
      <c r="B91" s="173" t="s">
        <v>327</v>
      </c>
      <c r="C91" s="176">
        <f>I66+L66</f>
        <v>27000.25</v>
      </c>
      <c r="D91" s="177"/>
      <c r="E91" s="180">
        <f>C91</f>
        <v>27000.25</v>
      </c>
      <c r="F91" s="28" t="s">
        <v>334</v>
      </c>
      <c r="H91" s="194" t="s">
        <v>9</v>
      </c>
      <c r="I91" s="197">
        <f>E92</f>
        <v>13797.87</v>
      </c>
      <c r="K91" s="73"/>
      <c r="L91" s="73"/>
    </row>
    <row r="92" ht="14.25" customHeight="1">
      <c r="A92" s="73"/>
      <c r="B92" s="174" t="s">
        <v>348</v>
      </c>
      <c r="C92" s="175">
        <f>M39+P39+S39+V39+M52+P52+S52+V52</f>
        <v>15793.26</v>
      </c>
      <c r="D92" s="140" t="s">
        <v>352</v>
      </c>
      <c r="E92" s="187">
        <f>C92-1995.39</f>
        <v>13797.87</v>
      </c>
      <c r="F92" s="188" t="s">
        <v>356</v>
      </c>
      <c r="H92" s="194" t="s">
        <v>344</v>
      </c>
      <c r="I92" s="197">
        <f>C100</f>
        <v>302746.71</v>
      </c>
      <c r="K92" s="73"/>
      <c r="L92" s="73"/>
      <c r="W92" s="27" t="s">
        <v>225</v>
      </c>
    </row>
    <row r="93" ht="15.0" customHeight="1">
      <c r="A93" s="73"/>
      <c r="B93" s="205" t="s">
        <v>326</v>
      </c>
      <c r="C93" s="148"/>
      <c r="D93" s="5"/>
      <c r="E93" s="206">
        <f>SUM(E91:E92)</f>
        <v>40798.12</v>
      </c>
      <c r="F93" s="28"/>
      <c r="H93" s="208" t="s">
        <v>210</v>
      </c>
      <c r="I93" s="200">
        <f>SUM(I91:I92)</f>
        <v>316544.58</v>
      </c>
      <c r="K93" s="73"/>
      <c r="L93" s="73"/>
      <c r="W93" s="27" t="s">
        <v>235</v>
      </c>
    </row>
    <row r="94" ht="15.0" customHeight="1">
      <c r="A94" s="73"/>
      <c r="B94" s="10"/>
      <c r="C94" s="156"/>
      <c r="D94" s="11"/>
      <c r="E94" s="12"/>
      <c r="F94" s="28"/>
      <c r="H94" s="12"/>
      <c r="I94" s="12"/>
      <c r="K94" s="73"/>
      <c r="L94" s="73"/>
      <c r="W94" s="27" t="s">
        <v>241</v>
      </c>
    </row>
    <row r="95" ht="14.25" customHeight="1">
      <c r="A95" s="73"/>
      <c r="B95" s="73"/>
      <c r="C95" s="73"/>
      <c r="D95" s="73"/>
      <c r="E95" s="73"/>
      <c r="F95" s="72"/>
      <c r="I95" s="20"/>
      <c r="K95" s="73"/>
      <c r="L95" s="73"/>
      <c r="W95" s="27" t="s">
        <v>253</v>
      </c>
    </row>
    <row r="96" ht="14.25" customHeight="1">
      <c r="A96" s="73"/>
      <c r="B96" s="195" t="s">
        <v>369</v>
      </c>
      <c r="C96" s="2"/>
      <c r="D96" s="2"/>
      <c r="E96" s="2"/>
      <c r="F96" s="2"/>
      <c r="G96" s="2"/>
      <c r="H96" s="3"/>
      <c r="I96" s="20"/>
      <c r="K96" s="73"/>
      <c r="L96" s="73">
        <f>L89+L91+L92+L93+L94+L95</f>
        <v>0</v>
      </c>
      <c r="W96" s="27" t="s">
        <v>257</v>
      </c>
    </row>
    <row r="97" ht="14.25" customHeight="1">
      <c r="A97" s="73"/>
      <c r="B97" s="199" t="s">
        <v>347</v>
      </c>
      <c r="C97" s="199" t="s">
        <v>322</v>
      </c>
      <c r="D97" s="195" t="s">
        <v>362</v>
      </c>
      <c r="E97" s="2"/>
      <c r="F97" s="3"/>
      <c r="G97" s="172" t="s">
        <v>373</v>
      </c>
      <c r="H97" s="172" t="s">
        <v>374</v>
      </c>
      <c r="I97" s="20"/>
      <c r="W97" s="27" t="s">
        <v>264</v>
      </c>
    </row>
    <row r="98" ht="14.25" customHeight="1">
      <c r="A98" s="73"/>
      <c r="B98" s="218" t="s">
        <v>375</v>
      </c>
      <c r="C98" s="220">
        <f>H39+K39+N39+Q39+T39+W39</f>
        <v>13200.33</v>
      </c>
      <c r="D98" s="223" t="s">
        <v>378</v>
      </c>
      <c r="E98" s="3"/>
      <c r="F98" s="54" t="s">
        <v>379</v>
      </c>
      <c r="G98" s="85"/>
      <c r="H98" s="85"/>
      <c r="I98" s="159" t="s">
        <v>380</v>
      </c>
      <c r="K98" s="185" t="s">
        <v>354</v>
      </c>
      <c r="L98" s="2"/>
      <c r="M98" s="3"/>
      <c r="W98" s="224"/>
    </row>
    <row r="99" ht="121.5" customHeight="1">
      <c r="A99" s="73"/>
      <c r="B99" s="218" t="s">
        <v>381</v>
      </c>
      <c r="C99" s="225">
        <f>T116</f>
        <v>289546.38</v>
      </c>
      <c r="D99" s="227">
        <f>T84</f>
        <v>290547.94</v>
      </c>
      <c r="E99" s="229" t="s">
        <v>383</v>
      </c>
      <c r="F99" s="28" t="s">
        <v>384</v>
      </c>
      <c r="G99" s="226">
        <v>289547.94</v>
      </c>
      <c r="H99" s="85"/>
      <c r="K99" s="132" t="s">
        <v>345</v>
      </c>
      <c r="L99" s="57">
        <f>C90+E92+C98</f>
        <v>48391.72</v>
      </c>
      <c r="M99" s="57"/>
      <c r="W99" s="140" t="s">
        <v>273</v>
      </c>
    </row>
    <row r="100" ht="14.25" customHeight="1">
      <c r="A100" s="73"/>
      <c r="B100" s="232" t="s">
        <v>326</v>
      </c>
      <c r="C100" s="234">
        <f>C98+C99</f>
        <v>302746.71</v>
      </c>
      <c r="D100" s="236">
        <f>C98+D99</f>
        <v>303748.27</v>
      </c>
      <c r="E100" s="85"/>
      <c r="F100" s="28"/>
      <c r="G100" s="238">
        <v>316944.71</v>
      </c>
      <c r="H100" s="239">
        <f>G100-C100</f>
        <v>14198</v>
      </c>
      <c r="K100" s="132" t="s">
        <v>350</v>
      </c>
      <c r="L100" s="202">
        <f>C99</f>
        <v>289546.38</v>
      </c>
      <c r="M100" s="132"/>
    </row>
    <row r="101" ht="14.25" customHeight="1">
      <c r="A101" s="73"/>
      <c r="B101" s="73"/>
      <c r="C101" s="73"/>
      <c r="D101" s="72">
        <f>D100-C100</f>
        <v>1001.56</v>
      </c>
      <c r="E101" s="73"/>
      <c r="F101" s="72"/>
      <c r="K101" s="53" t="s">
        <v>354</v>
      </c>
      <c r="L101" s="24">
        <f>L99+L100</f>
        <v>337938.1</v>
      </c>
      <c r="M101" s="85"/>
    </row>
    <row r="102" ht="14.25" customHeight="1">
      <c r="A102" s="73"/>
      <c r="B102" s="73"/>
      <c r="C102" s="73"/>
      <c r="D102" s="73"/>
      <c r="E102" s="73"/>
      <c r="F102" s="72"/>
      <c r="I102" s="20"/>
    </row>
    <row r="103" ht="14.25" customHeight="1">
      <c r="A103" s="73"/>
      <c r="B103" s="73"/>
      <c r="C103" s="73"/>
      <c r="D103" s="73"/>
      <c r="E103" s="73"/>
      <c r="F103" s="72"/>
    </row>
    <row r="104" ht="14.25" customHeight="1">
      <c r="A104" s="73"/>
      <c r="B104" s="73"/>
      <c r="C104" s="73"/>
      <c r="D104" s="73"/>
      <c r="E104" s="73"/>
      <c r="F104" s="72"/>
      <c r="X104" s="66" t="s">
        <v>267</v>
      </c>
      <c r="Y104" s="144" t="s">
        <v>270</v>
      </c>
    </row>
    <row r="105" ht="14.25" customHeight="1">
      <c r="A105" s="73"/>
      <c r="B105" s="246" t="s">
        <v>394</v>
      </c>
      <c r="C105" s="2"/>
      <c r="D105" s="2"/>
      <c r="E105" s="2"/>
      <c r="F105" s="2"/>
      <c r="G105" s="2"/>
      <c r="H105" s="3"/>
      <c r="I105" s="248"/>
      <c r="L105" s="185" t="s">
        <v>393</v>
      </c>
      <c r="M105" s="2"/>
      <c r="N105" s="2"/>
      <c r="O105" s="2"/>
      <c r="P105" s="2"/>
      <c r="Q105" s="2"/>
      <c r="R105" s="2"/>
      <c r="S105" s="2"/>
      <c r="T105" s="3"/>
      <c r="V105" s="243" t="s">
        <v>393</v>
      </c>
      <c r="W105" s="97"/>
      <c r="X105" s="97"/>
      <c r="Y105" s="97"/>
      <c r="Z105" s="97"/>
      <c r="AA105" s="97"/>
      <c r="AB105" s="97"/>
      <c r="AC105" s="97"/>
      <c r="AD105" s="244"/>
    </row>
    <row r="106" ht="14.25" customHeight="1">
      <c r="A106" s="73"/>
      <c r="B106" s="27"/>
      <c r="C106" s="84" t="s">
        <v>396</v>
      </c>
      <c r="D106" s="84" t="s">
        <v>397</v>
      </c>
      <c r="E106" s="84" t="s">
        <v>398</v>
      </c>
      <c r="F106" s="196" t="s">
        <v>399</v>
      </c>
      <c r="G106" s="84" t="s">
        <v>400</v>
      </c>
      <c r="H106" s="84" t="s">
        <v>401</v>
      </c>
      <c r="I106" s="131"/>
      <c r="J106" s="131"/>
      <c r="L106" s="26"/>
      <c r="M106" s="84" t="s">
        <v>396</v>
      </c>
      <c r="N106" s="84" t="s">
        <v>397</v>
      </c>
      <c r="O106" s="84" t="s">
        <v>398</v>
      </c>
      <c r="P106" s="196" t="s">
        <v>399</v>
      </c>
      <c r="Q106" s="84" t="s">
        <v>400</v>
      </c>
      <c r="R106" s="84" t="s">
        <v>401</v>
      </c>
      <c r="S106" s="250" t="s">
        <v>122</v>
      </c>
      <c r="T106" s="5"/>
      <c r="V106" s="26"/>
      <c r="W106" s="84" t="s">
        <v>396</v>
      </c>
      <c r="X106" s="84" t="s">
        <v>397</v>
      </c>
      <c r="Y106" s="84" t="s">
        <v>398</v>
      </c>
      <c r="Z106" s="196" t="s">
        <v>399</v>
      </c>
      <c r="AA106" s="84" t="s">
        <v>400</v>
      </c>
      <c r="AB106" s="84" t="s">
        <v>401</v>
      </c>
      <c r="AC106" s="254" t="s">
        <v>122</v>
      </c>
      <c r="AD106" s="255"/>
    </row>
    <row r="107" ht="14.25" customHeight="1">
      <c r="A107" s="73"/>
      <c r="B107" s="27"/>
      <c r="C107" s="12"/>
      <c r="D107" s="12"/>
      <c r="E107" s="12"/>
      <c r="F107" s="12"/>
      <c r="G107" s="12"/>
      <c r="H107" s="12"/>
      <c r="I107" s="12"/>
      <c r="J107" s="12"/>
      <c r="L107" s="12"/>
      <c r="M107" s="12"/>
      <c r="N107" s="12"/>
      <c r="O107" s="12"/>
      <c r="P107" s="12"/>
      <c r="Q107" s="12"/>
      <c r="R107" s="12"/>
      <c r="S107" s="10"/>
      <c r="T107" s="11"/>
      <c r="V107" s="12"/>
      <c r="W107" s="12"/>
      <c r="X107" s="12"/>
      <c r="Y107" s="12"/>
      <c r="Z107" s="12"/>
      <c r="AA107" s="12"/>
      <c r="AB107" s="12"/>
      <c r="AC107" s="260"/>
      <c r="AD107" s="261"/>
    </row>
    <row r="108" ht="14.25" customHeight="1">
      <c r="A108" s="73"/>
      <c r="B108" s="27" t="s">
        <v>408</v>
      </c>
      <c r="C108" s="27">
        <v>710.0</v>
      </c>
      <c r="D108" s="27">
        <v>580.0</v>
      </c>
      <c r="E108" s="27">
        <v>660.0</v>
      </c>
      <c r="F108" s="27"/>
      <c r="G108" s="27">
        <v>1545.0</v>
      </c>
      <c r="H108" s="27">
        <v>150.0</v>
      </c>
      <c r="I108" s="85">
        <f t="shared" ref="I108:I114" si="22">SUM(C108:H108)</f>
        <v>3645</v>
      </c>
      <c r="J108" s="131"/>
      <c r="L108" s="25" t="s">
        <v>225</v>
      </c>
      <c r="M108" s="27">
        <v>710.0</v>
      </c>
      <c r="N108" s="27">
        <v>580.0</v>
      </c>
      <c r="O108" s="27">
        <v>660.0</v>
      </c>
      <c r="P108" s="27">
        <v>1545.0</v>
      </c>
      <c r="Q108" s="27"/>
      <c r="R108" s="27">
        <v>150.0</v>
      </c>
      <c r="S108" s="27">
        <f t="shared" ref="S108:S115" si="23">SUM(M108:R108)</f>
        <v>3645</v>
      </c>
      <c r="T108" s="26"/>
      <c r="V108" s="27" t="s">
        <v>225</v>
      </c>
      <c r="W108" s="188">
        <f>27*710</f>
        <v>19170</v>
      </c>
      <c r="X108" s="28">
        <f>27*580</f>
        <v>15660</v>
      </c>
      <c r="Y108" s="28">
        <f>27*660</f>
        <v>17820</v>
      </c>
      <c r="Z108" s="28">
        <f>27*1545</f>
        <v>41715</v>
      </c>
      <c r="AA108" s="24"/>
      <c r="AB108" s="28">
        <f>27*150</f>
        <v>4050</v>
      </c>
      <c r="AC108" s="265">
        <f t="shared" ref="AC108:AC115" si="24">SUM(W108:AB108)</f>
        <v>98415</v>
      </c>
      <c r="AD108" s="266"/>
    </row>
    <row r="109" ht="14.25" customHeight="1">
      <c r="A109" s="73"/>
      <c r="B109" s="27" t="s">
        <v>235</v>
      </c>
      <c r="C109" s="27"/>
      <c r="D109" s="27">
        <v>430.0</v>
      </c>
      <c r="E109" s="27"/>
      <c r="F109" s="27">
        <v>760.0</v>
      </c>
      <c r="G109" s="27"/>
      <c r="H109" s="27"/>
      <c r="I109" s="85">
        <f t="shared" si="22"/>
        <v>1190</v>
      </c>
      <c r="J109" s="44"/>
      <c r="L109" s="25" t="s">
        <v>235</v>
      </c>
      <c r="M109" s="27"/>
      <c r="N109" s="27">
        <v>430.0</v>
      </c>
      <c r="O109" s="27">
        <v>200.0</v>
      </c>
      <c r="P109" s="27">
        <v>760.0</v>
      </c>
      <c r="Q109" s="27"/>
      <c r="R109" s="27"/>
      <c r="S109" s="27">
        <f t="shared" si="23"/>
        <v>1390</v>
      </c>
      <c r="T109" s="44"/>
      <c r="V109" s="27" t="s">
        <v>235</v>
      </c>
      <c r="W109" s="188" t="s">
        <v>263</v>
      </c>
      <c r="X109" s="188">
        <f>27*430</f>
        <v>11610</v>
      </c>
      <c r="Y109" s="28">
        <f>27*200</f>
        <v>5400</v>
      </c>
      <c r="Z109" s="28">
        <f>27*760</f>
        <v>20520</v>
      </c>
      <c r="AA109" s="24"/>
      <c r="AB109" s="24"/>
      <c r="AC109" s="265">
        <f t="shared" si="24"/>
        <v>37530</v>
      </c>
      <c r="AD109" s="269"/>
    </row>
    <row r="110" ht="14.25" customHeight="1">
      <c r="A110" s="73"/>
      <c r="B110" s="27" t="s">
        <v>241</v>
      </c>
      <c r="C110" s="27"/>
      <c r="D110" s="27"/>
      <c r="E110" s="27">
        <v>914.0</v>
      </c>
      <c r="F110" s="27">
        <v>640.0</v>
      </c>
      <c r="G110" s="27"/>
      <c r="H110" s="27">
        <v>240.0</v>
      </c>
      <c r="I110" s="85">
        <f t="shared" si="22"/>
        <v>1794</v>
      </c>
      <c r="J110" s="44"/>
      <c r="L110" s="25" t="s">
        <v>241</v>
      </c>
      <c r="M110" s="27"/>
      <c r="N110" s="27"/>
      <c r="O110" s="27"/>
      <c r="P110" s="27"/>
      <c r="Q110" s="27">
        <v>638.94</v>
      </c>
      <c r="R110" s="27">
        <v>240.0</v>
      </c>
      <c r="S110" s="27">
        <f t="shared" si="23"/>
        <v>878.94</v>
      </c>
      <c r="T110" s="44"/>
      <c r="V110" s="27" t="s">
        <v>241</v>
      </c>
      <c r="W110" s="28"/>
      <c r="X110" s="188" t="s">
        <v>282</v>
      </c>
      <c r="Y110" s="188" t="s">
        <v>284</v>
      </c>
      <c r="Z110" s="28"/>
      <c r="AA110" s="24">
        <f>27*638.94</f>
        <v>17251.38</v>
      </c>
      <c r="AB110" s="24">
        <f>27*240</f>
        <v>6480</v>
      </c>
      <c r="AC110" s="265">
        <f t="shared" si="24"/>
        <v>23731.38</v>
      </c>
      <c r="AD110" s="269"/>
    </row>
    <row r="111" ht="14.25" customHeight="1">
      <c r="A111" s="73"/>
      <c r="B111" s="27" t="s">
        <v>253</v>
      </c>
      <c r="C111" s="27"/>
      <c r="D111" s="27"/>
      <c r="E111" s="27">
        <v>76.0</v>
      </c>
      <c r="F111" s="27">
        <v>240.0</v>
      </c>
      <c r="G111" s="27"/>
      <c r="H111" s="27"/>
      <c r="I111" s="85">
        <f t="shared" si="22"/>
        <v>316</v>
      </c>
      <c r="J111" s="44"/>
      <c r="L111" s="25" t="s">
        <v>253</v>
      </c>
      <c r="M111" s="27"/>
      <c r="N111" s="27"/>
      <c r="O111" s="27">
        <v>400.0</v>
      </c>
      <c r="P111" s="27">
        <v>240.0</v>
      </c>
      <c r="Q111" s="27"/>
      <c r="R111" s="27"/>
      <c r="S111" s="27">
        <f t="shared" si="23"/>
        <v>640</v>
      </c>
      <c r="T111" s="44"/>
      <c r="V111" s="27" t="s">
        <v>253</v>
      </c>
      <c r="W111" s="28"/>
      <c r="X111" s="28"/>
      <c r="Y111" s="28">
        <f>27*400</f>
        <v>10800</v>
      </c>
      <c r="Z111" s="28">
        <f>27*240</f>
        <v>6480</v>
      </c>
      <c r="AA111" s="24"/>
      <c r="AB111" s="24"/>
      <c r="AC111" s="265">
        <f t="shared" si="24"/>
        <v>17280</v>
      </c>
      <c r="AD111" s="269"/>
    </row>
    <row r="112" ht="14.25" customHeight="1">
      <c r="A112" s="73"/>
      <c r="B112" s="27" t="s">
        <v>257</v>
      </c>
      <c r="C112" s="27"/>
      <c r="D112" s="27"/>
      <c r="E112" s="27"/>
      <c r="F112" s="27">
        <v>360.0</v>
      </c>
      <c r="G112" s="27">
        <v>455.0</v>
      </c>
      <c r="H112" s="27"/>
      <c r="I112" s="85">
        <f t="shared" si="22"/>
        <v>815</v>
      </c>
      <c r="J112" s="12"/>
      <c r="L112" s="25" t="s">
        <v>257</v>
      </c>
      <c r="M112" s="27"/>
      <c r="N112" s="27"/>
      <c r="O112" s="27"/>
      <c r="P112" s="27"/>
      <c r="Q112" s="27">
        <v>360.0</v>
      </c>
      <c r="R112" s="27"/>
      <c r="S112" s="27">
        <f t="shared" si="23"/>
        <v>360</v>
      </c>
      <c r="T112" s="12"/>
      <c r="V112" s="27" t="s">
        <v>257</v>
      </c>
      <c r="W112" s="28"/>
      <c r="X112" s="28"/>
      <c r="Y112" s="188" t="s">
        <v>412</v>
      </c>
      <c r="Z112" s="28"/>
      <c r="AA112" s="24">
        <f>27*360</f>
        <v>9720</v>
      </c>
      <c r="AB112" s="24"/>
      <c r="AC112" s="271">
        <f t="shared" si="24"/>
        <v>9720</v>
      </c>
      <c r="AD112" s="11"/>
    </row>
    <row r="113" ht="14.25" customHeight="1">
      <c r="A113" s="73"/>
      <c r="B113" s="27" t="s">
        <v>264</v>
      </c>
      <c r="C113" s="27"/>
      <c r="D113" s="27"/>
      <c r="E113" s="27"/>
      <c r="F113" s="27"/>
      <c r="G113" s="27"/>
      <c r="H113" s="27">
        <v>610.0</v>
      </c>
      <c r="I113" s="85">
        <f t="shared" si="22"/>
        <v>610</v>
      </c>
      <c r="J113" s="104">
        <v>27.0</v>
      </c>
      <c r="L113" s="25" t="s">
        <v>264</v>
      </c>
      <c r="M113" s="27"/>
      <c r="N113" s="27"/>
      <c r="O113" s="27"/>
      <c r="P113" s="27"/>
      <c r="Q113" s="27">
        <v>610.0</v>
      </c>
      <c r="R113" s="27"/>
      <c r="S113" s="27">
        <f t="shared" si="23"/>
        <v>610</v>
      </c>
      <c r="T113" s="273">
        <v>27.0</v>
      </c>
      <c r="V113" s="27" t="s">
        <v>264</v>
      </c>
      <c r="W113" s="28"/>
      <c r="X113" s="28"/>
      <c r="Y113" s="28"/>
      <c r="Z113" s="28"/>
      <c r="AA113" s="24">
        <f>27*610</f>
        <v>16470</v>
      </c>
      <c r="AB113" s="24"/>
      <c r="AC113" s="28">
        <f t="shared" si="24"/>
        <v>16470</v>
      </c>
      <c r="AD113" s="104">
        <v>27.0</v>
      </c>
    </row>
    <row r="114" ht="14.25" customHeight="1">
      <c r="A114" s="73"/>
      <c r="B114" s="27"/>
      <c r="C114" s="277">
        <f t="shared" ref="C114:H114" si="25">SUM(C108:C113)</f>
        <v>710</v>
      </c>
      <c r="D114" s="277">
        <f t="shared" si="25"/>
        <v>1010</v>
      </c>
      <c r="E114" s="277">
        <f t="shared" si="25"/>
        <v>1650</v>
      </c>
      <c r="F114" s="277">
        <f t="shared" si="25"/>
        <v>2000</v>
      </c>
      <c r="G114" s="277">
        <f t="shared" si="25"/>
        <v>2000</v>
      </c>
      <c r="H114" s="277">
        <f t="shared" si="25"/>
        <v>1000</v>
      </c>
      <c r="I114" s="289">
        <f t="shared" si="22"/>
        <v>8370</v>
      </c>
      <c r="J114" s="104">
        <f>I114*J113</f>
        <v>225990</v>
      </c>
      <c r="L114" s="224"/>
      <c r="M114" s="277">
        <f t="shared" ref="M114:R114" si="26">SUM(M108:M113)</f>
        <v>710</v>
      </c>
      <c r="N114" s="277">
        <f t="shared" si="26"/>
        <v>1010</v>
      </c>
      <c r="O114" s="277">
        <f t="shared" si="26"/>
        <v>1260</v>
      </c>
      <c r="P114" s="277">
        <f t="shared" si="26"/>
        <v>2545</v>
      </c>
      <c r="Q114" s="277">
        <f t="shared" si="26"/>
        <v>1608.94</v>
      </c>
      <c r="R114" s="277">
        <f t="shared" si="26"/>
        <v>390</v>
      </c>
      <c r="S114" s="279">
        <f t="shared" si="23"/>
        <v>7523.94</v>
      </c>
      <c r="T114" s="225">
        <f>S114*T113</f>
        <v>203146.38</v>
      </c>
      <c r="V114" s="224"/>
      <c r="W114" s="282">
        <f t="shared" ref="W114:AB114" si="27">SUM(W108:W113)</f>
        <v>19170</v>
      </c>
      <c r="X114" s="282">
        <f t="shared" si="27"/>
        <v>27270</v>
      </c>
      <c r="Y114" s="282">
        <f t="shared" si="27"/>
        <v>34020</v>
      </c>
      <c r="Z114" s="282">
        <f t="shared" si="27"/>
        <v>68715</v>
      </c>
      <c r="AA114" s="282">
        <f t="shared" si="27"/>
        <v>43441.38</v>
      </c>
      <c r="AB114" s="282">
        <f t="shared" si="27"/>
        <v>10530</v>
      </c>
      <c r="AC114" s="236">
        <f t="shared" si="24"/>
        <v>203146.38</v>
      </c>
      <c r="AD114" s="286">
        <f>AC114*AD113</f>
        <v>5484952.26</v>
      </c>
    </row>
    <row r="115" ht="14.25" customHeight="1">
      <c r="A115" s="73"/>
      <c r="B115" s="27" t="s">
        <v>273</v>
      </c>
      <c r="C115" s="27"/>
      <c r="D115" s="27"/>
      <c r="E115" s="27"/>
      <c r="F115" s="28"/>
      <c r="G115" s="85"/>
      <c r="H115" s="85"/>
      <c r="I115" s="299"/>
      <c r="L115" s="52" t="s">
        <v>273</v>
      </c>
      <c r="M115" s="27">
        <v>700.0</v>
      </c>
      <c r="N115" s="27">
        <v>400.0</v>
      </c>
      <c r="O115" s="27">
        <v>1000.0</v>
      </c>
      <c r="P115" s="27">
        <v>400.0</v>
      </c>
      <c r="Q115" s="27">
        <v>300.0</v>
      </c>
      <c r="R115" s="27">
        <v>400.0</v>
      </c>
      <c r="S115" s="27">
        <f t="shared" si="23"/>
        <v>3200</v>
      </c>
      <c r="T115" s="27"/>
      <c r="V115" s="140" t="s">
        <v>273</v>
      </c>
      <c r="W115" s="188">
        <f>27*700</f>
        <v>18900</v>
      </c>
      <c r="X115" s="28">
        <f>27*400</f>
        <v>10800</v>
      </c>
      <c r="Y115" s="188">
        <f>27*1000</f>
        <v>27000</v>
      </c>
      <c r="Z115" s="28">
        <f>27*400</f>
        <v>10800</v>
      </c>
      <c r="AA115" s="24">
        <f>27*300</f>
        <v>8100</v>
      </c>
      <c r="AB115" s="24">
        <f>27*400</f>
        <v>10800</v>
      </c>
      <c r="AC115" s="24">
        <f t="shared" si="24"/>
        <v>86400</v>
      </c>
      <c r="AD115" s="85"/>
    </row>
    <row r="116" ht="14.25" customHeight="1">
      <c r="A116" s="73"/>
      <c r="B116" s="73"/>
      <c r="C116" s="73"/>
      <c r="D116" s="73"/>
      <c r="E116" s="73"/>
      <c r="F116" s="72"/>
      <c r="L116" s="85"/>
      <c r="M116" s="27"/>
      <c r="N116" s="27"/>
      <c r="O116" s="27"/>
      <c r="P116" s="27"/>
      <c r="Q116" s="27"/>
      <c r="R116" s="27"/>
      <c r="S116" s="135">
        <f>SUM(S114:S115)</f>
        <v>10723.94</v>
      </c>
      <c r="T116" s="290">
        <f>S116*T113</f>
        <v>289546.38</v>
      </c>
      <c r="V116" s="85"/>
      <c r="W116" s="122" t="s">
        <v>309</v>
      </c>
      <c r="X116" s="85"/>
      <c r="Y116" s="122"/>
      <c r="Z116" s="85"/>
      <c r="AA116" s="85"/>
      <c r="AB116" s="85"/>
      <c r="AC116" s="23">
        <f>SUM(AC114:AC115)</f>
        <v>289546.38</v>
      </c>
      <c r="AD116" s="293"/>
    </row>
    <row r="117" ht="14.25" customHeight="1">
      <c r="A117" s="73"/>
      <c r="B117" s="73"/>
      <c r="C117" s="73"/>
      <c r="D117" s="73"/>
      <c r="E117" s="73"/>
      <c r="F117" s="72"/>
    </row>
    <row r="118" ht="14.25" customHeight="1">
      <c r="A118" s="73"/>
      <c r="B118" s="73"/>
      <c r="C118" s="73"/>
      <c r="D118" s="73"/>
      <c r="E118" s="73"/>
      <c r="F118" s="72"/>
    </row>
    <row r="119" ht="14.25" customHeight="1">
      <c r="A119" s="73"/>
      <c r="B119" s="14">
        <v>1.0</v>
      </c>
      <c r="C119" s="15" t="s">
        <v>13</v>
      </c>
      <c r="D119" s="15" t="s">
        <v>14</v>
      </c>
      <c r="E119" s="16" t="s">
        <v>15</v>
      </c>
      <c r="F119" s="17">
        <v>1200.0</v>
      </c>
      <c r="G119" s="20"/>
      <c r="I119" s="306" t="s">
        <v>430</v>
      </c>
      <c r="J119" s="3"/>
    </row>
    <row r="120" ht="14.25" customHeight="1">
      <c r="A120" s="73"/>
      <c r="B120" s="14">
        <v>2.0</v>
      </c>
      <c r="C120" s="12"/>
      <c r="D120" s="12"/>
      <c r="E120" s="21" t="s">
        <v>17</v>
      </c>
      <c r="F120" s="22">
        <v>500.0</v>
      </c>
      <c r="G120" s="20"/>
      <c r="I120" s="85" t="s">
        <v>431</v>
      </c>
      <c r="J120" s="24">
        <f>G121+G122+G123+G124+G125</f>
        <v>4845.03</v>
      </c>
    </row>
    <row r="121" ht="14.25" customHeight="1">
      <c r="A121" s="73"/>
      <c r="B121" s="25">
        <v>3.0</v>
      </c>
      <c r="C121" s="26" t="s">
        <v>18</v>
      </c>
      <c r="D121" s="26" t="s">
        <v>19</v>
      </c>
      <c r="E121" s="27" t="s">
        <v>20</v>
      </c>
      <c r="F121" s="28">
        <v>2500.0</v>
      </c>
      <c r="G121" s="20">
        <v>2917.97</v>
      </c>
      <c r="I121" s="85" t="s">
        <v>434</v>
      </c>
      <c r="J121" s="24">
        <f>G128+G129+G130</f>
        <v>5900</v>
      </c>
    </row>
    <row r="122" ht="14.25" customHeight="1">
      <c r="A122" s="73"/>
      <c r="B122" s="25">
        <v>4.0</v>
      </c>
      <c r="C122" s="12"/>
      <c r="D122" s="12"/>
      <c r="E122" s="27" t="s">
        <v>17</v>
      </c>
      <c r="F122" s="28">
        <v>500.0</v>
      </c>
      <c r="G122" s="20"/>
      <c r="I122" s="85" t="s">
        <v>437</v>
      </c>
      <c r="J122" s="24">
        <f>G131+G132+G133+G134</f>
        <v>8200.29</v>
      </c>
    </row>
    <row r="123" ht="14.25" customHeight="1">
      <c r="A123" s="73"/>
      <c r="B123" s="25">
        <v>5.0</v>
      </c>
      <c r="C123" s="27" t="s">
        <v>30</v>
      </c>
      <c r="D123" s="27" t="s">
        <v>19</v>
      </c>
      <c r="E123" s="27" t="s">
        <v>31</v>
      </c>
      <c r="F123" s="28">
        <v>2500.0</v>
      </c>
      <c r="G123" s="20">
        <v>1167.5</v>
      </c>
      <c r="I123" s="85" t="s">
        <v>439</v>
      </c>
      <c r="J123" s="24">
        <f>G135+G136+G139+G140+G141</f>
        <v>10499.73</v>
      </c>
    </row>
    <row r="124" ht="14.25" customHeight="1">
      <c r="A124" s="73"/>
      <c r="B124" s="25">
        <v>6.0</v>
      </c>
      <c r="C124" s="27" t="s">
        <v>35</v>
      </c>
      <c r="D124" s="27" t="s">
        <v>19</v>
      </c>
      <c r="E124" s="27" t="s">
        <v>31</v>
      </c>
      <c r="F124" s="28">
        <v>1500.0</v>
      </c>
      <c r="G124" s="20">
        <v>759.56</v>
      </c>
      <c r="I124" s="85" t="s">
        <v>440</v>
      </c>
      <c r="J124" s="24">
        <f>G142</f>
        <v>2000</v>
      </c>
    </row>
    <row r="125" ht="14.25" customHeight="1">
      <c r="A125" s="73"/>
      <c r="B125" s="25">
        <v>7.0</v>
      </c>
      <c r="C125" s="27" t="s">
        <v>39</v>
      </c>
      <c r="D125" s="27" t="s">
        <v>19</v>
      </c>
      <c r="E125" s="27"/>
      <c r="F125" s="28">
        <v>1500.0</v>
      </c>
      <c r="G125" s="20"/>
      <c r="I125" s="85" t="s">
        <v>447</v>
      </c>
      <c r="J125" s="24">
        <f>G144+G145+G146</f>
        <v>5157</v>
      </c>
    </row>
    <row r="126" ht="14.25" customHeight="1">
      <c r="A126" s="73"/>
      <c r="B126" s="14">
        <v>8.0</v>
      </c>
      <c r="C126" s="21" t="s">
        <v>41</v>
      </c>
      <c r="D126" s="21" t="s">
        <v>42</v>
      </c>
      <c r="E126" s="21" t="s">
        <v>43</v>
      </c>
      <c r="F126" s="22">
        <v>700.0</v>
      </c>
      <c r="G126" s="20"/>
    </row>
    <row r="127" ht="14.25" customHeight="1">
      <c r="A127" s="73"/>
      <c r="B127" s="14">
        <v>9.0</v>
      </c>
      <c r="C127" s="21" t="s">
        <v>45</v>
      </c>
      <c r="D127" s="21" t="s">
        <v>46</v>
      </c>
      <c r="E127" s="21" t="s">
        <v>47</v>
      </c>
      <c r="F127" s="22">
        <v>1500.0</v>
      </c>
      <c r="G127" s="20">
        <v>1581.3</v>
      </c>
    </row>
    <row r="128" ht="14.25" customHeight="1">
      <c r="A128" s="73"/>
      <c r="B128" s="25">
        <v>10.0</v>
      </c>
      <c r="C128" s="26" t="s">
        <v>50</v>
      </c>
      <c r="D128" s="27" t="s">
        <v>51</v>
      </c>
      <c r="E128" s="27" t="s">
        <v>52</v>
      </c>
      <c r="F128" s="28">
        <v>1500.0</v>
      </c>
      <c r="G128" s="20">
        <v>1500.0</v>
      </c>
    </row>
    <row r="129" ht="14.25" customHeight="1">
      <c r="A129" s="73"/>
      <c r="B129" s="25">
        <v>11.0</v>
      </c>
      <c r="C129" s="12"/>
      <c r="D129" s="27" t="s">
        <v>54</v>
      </c>
      <c r="E129" s="27" t="s">
        <v>17</v>
      </c>
      <c r="F129" s="28">
        <v>500.0</v>
      </c>
      <c r="G129" s="20">
        <v>900.0</v>
      </c>
    </row>
    <row r="130" ht="14.25" customHeight="1">
      <c r="A130" s="73"/>
      <c r="B130" s="25">
        <v>12.0</v>
      </c>
      <c r="C130" s="27" t="s">
        <v>57</v>
      </c>
      <c r="D130" s="27" t="s">
        <v>51</v>
      </c>
      <c r="E130" s="27" t="s">
        <v>58</v>
      </c>
      <c r="F130" s="28">
        <v>1500.0</v>
      </c>
      <c r="G130" s="20">
        <v>3500.0</v>
      </c>
    </row>
    <row r="131" ht="14.25" customHeight="1">
      <c r="A131" s="73"/>
      <c r="B131" s="14">
        <v>13.0</v>
      </c>
      <c r="C131" s="55" t="s">
        <v>61</v>
      </c>
      <c r="D131" s="21" t="s">
        <v>63</v>
      </c>
      <c r="E131" s="21" t="s">
        <v>65</v>
      </c>
      <c r="F131" s="22">
        <v>2500.0</v>
      </c>
      <c r="G131" s="20">
        <v>2500.0</v>
      </c>
      <c r="K131" s="20"/>
      <c r="L131" s="20"/>
    </row>
    <row r="132" ht="14.25" customHeight="1">
      <c r="A132" s="73"/>
      <c r="B132" s="14"/>
      <c r="C132" s="12"/>
      <c r="D132" s="21" t="s">
        <v>63</v>
      </c>
      <c r="E132" s="21" t="s">
        <v>17</v>
      </c>
      <c r="F132" s="22">
        <v>300.0</v>
      </c>
      <c r="G132" s="20">
        <v>900.0</v>
      </c>
      <c r="K132" s="20"/>
      <c r="L132" s="72"/>
    </row>
    <row r="133" ht="14.25" customHeight="1">
      <c r="A133" s="73"/>
      <c r="B133" s="14">
        <v>14.0</v>
      </c>
      <c r="C133" s="21" t="s">
        <v>68</v>
      </c>
      <c r="D133" s="21" t="s">
        <v>63</v>
      </c>
      <c r="E133" s="21" t="s">
        <v>69</v>
      </c>
      <c r="F133" s="22">
        <v>2500.0</v>
      </c>
      <c r="G133" s="20">
        <v>2500.03</v>
      </c>
      <c r="K133" s="20"/>
    </row>
    <row r="134" ht="14.25" customHeight="1">
      <c r="A134" s="73"/>
      <c r="B134" s="14">
        <v>15.0</v>
      </c>
      <c r="C134" s="21" t="s">
        <v>71</v>
      </c>
      <c r="D134" s="21" t="s">
        <v>63</v>
      </c>
      <c r="E134" s="21" t="s">
        <v>58</v>
      </c>
      <c r="F134" s="22">
        <v>4000.0</v>
      </c>
      <c r="G134" s="20">
        <v>2300.26</v>
      </c>
      <c r="K134" s="20"/>
      <c r="L134" s="20"/>
    </row>
    <row r="135" ht="14.25" customHeight="1">
      <c r="A135" s="73"/>
      <c r="B135" s="25">
        <v>16.0</v>
      </c>
      <c r="C135" s="26" t="s">
        <v>74</v>
      </c>
      <c r="D135" s="26" t="s">
        <v>75</v>
      </c>
      <c r="E135" s="27" t="s">
        <v>65</v>
      </c>
      <c r="F135" s="28">
        <v>2500.0</v>
      </c>
      <c r="G135" s="20">
        <v>2499.73</v>
      </c>
      <c r="K135" s="20"/>
      <c r="L135" s="20"/>
    </row>
    <row r="136" ht="14.25" customHeight="1">
      <c r="A136" s="73"/>
      <c r="B136" s="25">
        <v>17.0</v>
      </c>
      <c r="C136" s="44"/>
      <c r="D136" s="44"/>
      <c r="E136" s="27" t="s">
        <v>77</v>
      </c>
      <c r="F136" s="57">
        <v>1000.0</v>
      </c>
      <c r="G136" s="20">
        <v>1000.0</v>
      </c>
      <c r="K136" s="20"/>
      <c r="L136" s="20"/>
    </row>
    <row r="137" ht="14.25" customHeight="1">
      <c r="A137" s="73"/>
      <c r="B137" s="25">
        <v>18.0</v>
      </c>
      <c r="C137" s="44"/>
      <c r="D137" s="44"/>
      <c r="E137" s="27" t="s">
        <v>78</v>
      </c>
      <c r="F137" s="57"/>
      <c r="G137" s="20"/>
      <c r="K137" s="20"/>
      <c r="L137" s="20"/>
    </row>
    <row r="138" ht="14.25" customHeight="1">
      <c r="A138" s="73"/>
      <c r="B138" s="25">
        <v>19.0</v>
      </c>
      <c r="C138" s="12"/>
      <c r="D138" s="12"/>
      <c r="E138" s="27" t="s">
        <v>81</v>
      </c>
      <c r="F138" s="57"/>
      <c r="G138" s="20"/>
      <c r="K138" s="20"/>
      <c r="L138" s="20"/>
    </row>
    <row r="139" ht="14.25" customHeight="1">
      <c r="A139" s="73"/>
      <c r="B139" s="25">
        <v>20.0</v>
      </c>
      <c r="C139" s="27" t="s">
        <v>82</v>
      </c>
      <c r="D139" s="27" t="s">
        <v>75</v>
      </c>
      <c r="E139" s="27" t="s">
        <v>65</v>
      </c>
      <c r="F139" s="28">
        <v>1500.0</v>
      </c>
      <c r="G139" s="20">
        <v>1500.0</v>
      </c>
      <c r="K139" s="20"/>
      <c r="L139" s="20"/>
      <c r="M139" s="20"/>
    </row>
    <row r="140" ht="14.25" customHeight="1">
      <c r="A140" s="73"/>
      <c r="B140" s="25">
        <v>21.0</v>
      </c>
      <c r="C140" s="27" t="s">
        <v>89</v>
      </c>
      <c r="D140" s="27" t="s">
        <v>75</v>
      </c>
      <c r="E140" s="27" t="s">
        <v>58</v>
      </c>
      <c r="F140" s="28">
        <v>3000.0</v>
      </c>
      <c r="G140" s="20">
        <v>3000.0</v>
      </c>
      <c r="K140" s="20"/>
      <c r="L140" s="20"/>
      <c r="M140" s="20"/>
    </row>
    <row r="141" ht="14.25" customHeight="1">
      <c r="A141" s="73"/>
      <c r="B141" s="25">
        <v>22.0</v>
      </c>
      <c r="C141" s="27" t="s">
        <v>93</v>
      </c>
      <c r="D141" s="27" t="s">
        <v>75</v>
      </c>
      <c r="E141" s="27" t="s">
        <v>69</v>
      </c>
      <c r="F141" s="28">
        <v>2500.0</v>
      </c>
      <c r="G141" s="20">
        <v>2500.0</v>
      </c>
      <c r="K141" s="20"/>
      <c r="L141" s="20"/>
      <c r="M141" s="20"/>
    </row>
    <row r="142" ht="14.25" customHeight="1">
      <c r="A142" s="73"/>
      <c r="B142" s="14">
        <v>23.0</v>
      </c>
      <c r="C142" s="21" t="s">
        <v>96</v>
      </c>
      <c r="D142" s="55" t="s">
        <v>98</v>
      </c>
      <c r="E142" s="21" t="s">
        <v>99</v>
      </c>
      <c r="F142" s="22">
        <v>3500.0</v>
      </c>
      <c r="G142" s="20">
        <v>2000.0</v>
      </c>
      <c r="K142" s="20"/>
      <c r="L142" s="20"/>
      <c r="M142" s="20"/>
    </row>
    <row r="143" ht="14.25" customHeight="1">
      <c r="A143" s="73"/>
      <c r="B143" s="14">
        <v>24.0</v>
      </c>
      <c r="C143" s="21" t="s">
        <v>102</v>
      </c>
      <c r="D143" s="12"/>
      <c r="E143" s="21" t="s">
        <v>17</v>
      </c>
      <c r="F143" s="22">
        <v>1000.0</v>
      </c>
      <c r="G143" s="20"/>
      <c r="K143" s="20"/>
      <c r="L143" s="20"/>
      <c r="M143" s="20"/>
    </row>
    <row r="144" ht="14.25" customHeight="1">
      <c r="A144" s="73"/>
      <c r="B144" s="25">
        <v>25.0</v>
      </c>
      <c r="C144" s="27" t="s">
        <v>104</v>
      </c>
      <c r="D144" s="27" t="s">
        <v>105</v>
      </c>
      <c r="E144" s="27" t="s">
        <v>20</v>
      </c>
      <c r="F144" s="28">
        <v>2500.0</v>
      </c>
      <c r="G144" s="20">
        <v>3157.0</v>
      </c>
      <c r="K144" s="20"/>
      <c r="L144" s="20"/>
      <c r="M144" s="20"/>
    </row>
    <row r="145" ht="14.25" customHeight="1">
      <c r="A145" s="73"/>
      <c r="B145" s="25">
        <v>26.0</v>
      </c>
      <c r="C145" s="26" t="s">
        <v>107</v>
      </c>
      <c r="D145" s="26" t="s">
        <v>105</v>
      </c>
      <c r="E145" s="27" t="s">
        <v>109</v>
      </c>
      <c r="F145" s="28">
        <v>1000.0</v>
      </c>
      <c r="G145" s="20">
        <v>1000.0</v>
      </c>
      <c r="K145" s="20"/>
      <c r="L145" s="20"/>
      <c r="M145" s="20"/>
    </row>
    <row r="146" ht="14.25" customHeight="1">
      <c r="A146" s="73"/>
      <c r="B146" s="25">
        <v>27.0</v>
      </c>
      <c r="C146" s="44"/>
      <c r="D146" s="44"/>
      <c r="E146" s="27" t="s">
        <v>111</v>
      </c>
      <c r="F146" s="28">
        <v>500.0</v>
      </c>
      <c r="G146" s="20">
        <v>1000.0</v>
      </c>
      <c r="K146" s="20"/>
      <c r="L146" s="20"/>
      <c r="M146" s="20"/>
    </row>
    <row r="147" ht="14.25" customHeight="1">
      <c r="A147" s="73"/>
      <c r="B147" s="25">
        <v>28.0</v>
      </c>
      <c r="C147" s="12"/>
      <c r="D147" s="12"/>
      <c r="E147" s="27" t="s">
        <v>111</v>
      </c>
      <c r="F147" s="28">
        <v>500.0</v>
      </c>
      <c r="G147" s="20"/>
      <c r="K147" s="20"/>
      <c r="L147" s="20"/>
      <c r="M147" s="20"/>
    </row>
    <row r="148" ht="14.25" customHeight="1">
      <c r="A148" s="73"/>
      <c r="B148" s="25">
        <v>29.0</v>
      </c>
      <c r="C148" s="26" t="s">
        <v>114</v>
      </c>
      <c r="D148" s="27"/>
      <c r="E148" s="27"/>
      <c r="F148" s="28">
        <v>1000.0</v>
      </c>
      <c r="G148" s="20">
        <v>1600.0</v>
      </c>
      <c r="K148" s="20"/>
      <c r="L148" s="20"/>
      <c r="M148" s="20"/>
    </row>
    <row r="149" ht="14.25" customHeight="1">
      <c r="A149" s="73"/>
      <c r="B149" s="25">
        <v>30.0</v>
      </c>
      <c r="C149" s="12"/>
      <c r="D149" s="27"/>
      <c r="E149" s="27" t="s">
        <v>17</v>
      </c>
      <c r="F149" s="28"/>
      <c r="G149" s="20"/>
      <c r="K149" s="20"/>
      <c r="L149" s="20"/>
    </row>
    <row r="150" ht="14.25" customHeight="1">
      <c r="A150" s="73"/>
      <c r="B150" s="25">
        <v>31.0</v>
      </c>
      <c r="C150" s="27" t="s">
        <v>135</v>
      </c>
      <c r="D150" s="27" t="s">
        <v>136</v>
      </c>
      <c r="E150" s="27"/>
      <c r="F150" s="28">
        <v>1500.0</v>
      </c>
      <c r="G150" s="20">
        <v>1447.24</v>
      </c>
      <c r="K150" s="20"/>
      <c r="L150" s="20"/>
      <c r="M150" s="20"/>
    </row>
    <row r="151" ht="14.25" customHeight="1">
      <c r="A151" s="73"/>
      <c r="B151" s="25">
        <v>32.0</v>
      </c>
      <c r="C151" s="27" t="s">
        <v>142</v>
      </c>
      <c r="D151" s="27" t="s">
        <v>143</v>
      </c>
      <c r="E151" s="27" t="s">
        <v>20</v>
      </c>
      <c r="F151" s="28">
        <v>1500.0</v>
      </c>
      <c r="G151" s="20">
        <v>2050.35</v>
      </c>
      <c r="K151" s="20"/>
      <c r="L151" s="20"/>
      <c r="M151" s="20"/>
    </row>
    <row r="152" ht="14.25" customHeight="1">
      <c r="A152" s="73"/>
      <c r="B152" s="25"/>
      <c r="C152" s="27" t="s">
        <v>145</v>
      </c>
      <c r="D152" s="27" t="s">
        <v>146</v>
      </c>
      <c r="E152" s="27" t="s">
        <v>43</v>
      </c>
      <c r="F152" s="28">
        <v>700.0</v>
      </c>
      <c r="G152" s="20">
        <v>700.0</v>
      </c>
      <c r="K152" s="20"/>
      <c r="L152" s="20"/>
    </row>
    <row r="153" ht="14.25" customHeight="1">
      <c r="A153" s="73"/>
      <c r="B153" s="25">
        <v>33.0</v>
      </c>
      <c r="C153" s="27" t="s">
        <v>118</v>
      </c>
      <c r="D153" s="27"/>
      <c r="E153" s="27" t="s">
        <v>119</v>
      </c>
      <c r="F153" s="28">
        <v>3000.0</v>
      </c>
      <c r="G153" s="20">
        <v>3000.0</v>
      </c>
      <c r="K153" s="20"/>
      <c r="L153" s="20"/>
    </row>
    <row r="154" ht="14.25" customHeight="1">
      <c r="A154" s="73"/>
      <c r="B154" s="73"/>
      <c r="C154" s="73"/>
      <c r="D154" s="73"/>
      <c r="E154" s="73"/>
      <c r="F154" s="72"/>
    </row>
    <row r="155" ht="14.25" customHeight="1">
      <c r="A155" s="73"/>
      <c r="B155" s="73"/>
      <c r="C155" s="73"/>
      <c r="D155" s="73"/>
      <c r="E155" s="73"/>
      <c r="F155" s="72"/>
    </row>
    <row r="156" ht="14.25" customHeight="1">
      <c r="A156" s="73"/>
      <c r="B156" s="73"/>
      <c r="C156" s="73"/>
      <c r="D156" s="73"/>
      <c r="E156" s="73"/>
      <c r="F156" s="72"/>
    </row>
    <row r="157" ht="14.25" customHeight="1">
      <c r="A157" s="73"/>
      <c r="B157" s="73"/>
      <c r="C157" s="73"/>
      <c r="D157" s="73"/>
      <c r="E157" s="73"/>
      <c r="F157" s="72"/>
    </row>
    <row r="158" ht="14.25" customHeight="1">
      <c r="A158" s="73"/>
      <c r="B158" s="73"/>
      <c r="C158" s="73"/>
      <c r="D158" s="73"/>
      <c r="E158" s="73"/>
      <c r="F158" s="72"/>
    </row>
    <row r="159" ht="14.25" customHeight="1">
      <c r="A159" s="73"/>
      <c r="B159" s="73"/>
      <c r="C159" s="73"/>
      <c r="D159" s="73"/>
      <c r="E159" s="73"/>
      <c r="F159" s="72"/>
    </row>
    <row r="160" ht="14.25" customHeight="1">
      <c r="A160" s="73"/>
      <c r="B160" s="73"/>
      <c r="C160" s="73"/>
      <c r="D160" s="73"/>
      <c r="E160" s="73"/>
      <c r="F160" s="72"/>
    </row>
    <row r="161" ht="14.25" customHeight="1">
      <c r="A161" s="73"/>
      <c r="B161" s="73"/>
      <c r="C161" s="73"/>
      <c r="D161" s="73"/>
      <c r="E161" s="73"/>
      <c r="F161" s="72"/>
    </row>
    <row r="162" ht="14.25" customHeight="1">
      <c r="A162" s="73"/>
      <c r="B162" s="73"/>
      <c r="C162" s="73"/>
      <c r="D162" s="73"/>
      <c r="E162" s="73"/>
      <c r="F162" s="72"/>
    </row>
    <row r="163" ht="14.25" customHeight="1">
      <c r="A163" s="73"/>
      <c r="B163" s="73"/>
      <c r="C163" s="73"/>
      <c r="D163" s="73"/>
      <c r="E163" s="73"/>
      <c r="F163" s="72"/>
    </row>
    <row r="164" ht="14.25" customHeight="1">
      <c r="A164" s="73"/>
      <c r="B164" s="73"/>
      <c r="C164" s="73"/>
      <c r="D164" s="73"/>
      <c r="E164" s="73"/>
      <c r="F164" s="72"/>
    </row>
    <row r="165" ht="14.25" customHeight="1">
      <c r="A165" s="73"/>
      <c r="B165" s="73"/>
      <c r="C165" s="73"/>
      <c r="D165" s="73"/>
      <c r="E165" s="73"/>
      <c r="F165" s="72"/>
    </row>
    <row r="166" ht="14.25" customHeight="1">
      <c r="A166" s="73"/>
      <c r="B166" s="73"/>
      <c r="C166" s="73"/>
      <c r="D166" s="73"/>
      <c r="E166" s="73"/>
      <c r="F166" s="72"/>
    </row>
    <row r="167" ht="14.25" customHeight="1">
      <c r="A167" s="73"/>
      <c r="B167" s="73"/>
      <c r="C167" s="73"/>
      <c r="D167" s="73"/>
      <c r="E167" s="73"/>
      <c r="F167" s="72"/>
    </row>
    <row r="168" ht="14.25" customHeight="1">
      <c r="A168" s="73"/>
      <c r="B168" s="73"/>
      <c r="C168" s="73"/>
      <c r="D168" s="73"/>
      <c r="E168" s="73"/>
      <c r="F168" s="72"/>
    </row>
    <row r="169" ht="14.25" customHeight="1">
      <c r="A169" s="73"/>
      <c r="B169" s="73"/>
      <c r="C169" s="73"/>
      <c r="D169" s="73"/>
      <c r="E169" s="73"/>
      <c r="F169" s="72"/>
    </row>
    <row r="170" ht="14.25" customHeight="1">
      <c r="A170" s="73"/>
      <c r="B170" s="73"/>
      <c r="C170" s="73"/>
      <c r="D170" s="73"/>
      <c r="E170" s="73"/>
      <c r="F170" s="72"/>
    </row>
    <row r="171" ht="14.25" customHeight="1">
      <c r="A171" s="73"/>
      <c r="B171" s="73"/>
      <c r="C171" s="73"/>
      <c r="D171" s="73"/>
      <c r="E171" s="73"/>
      <c r="F171" s="72"/>
    </row>
    <row r="172" ht="14.25" customHeight="1">
      <c r="A172" s="73"/>
      <c r="B172" s="73"/>
      <c r="C172" s="73"/>
      <c r="D172" s="73"/>
      <c r="E172" s="73"/>
      <c r="F172" s="72"/>
    </row>
    <row r="173" ht="14.25" customHeight="1">
      <c r="A173" s="73"/>
      <c r="B173" s="73"/>
      <c r="C173" s="73"/>
      <c r="D173" s="73"/>
      <c r="E173" s="73"/>
      <c r="F173" s="72"/>
    </row>
    <row r="174" ht="14.25" customHeight="1">
      <c r="A174" s="73"/>
      <c r="B174" s="73"/>
      <c r="C174" s="73"/>
      <c r="D174" s="73"/>
      <c r="E174" s="73"/>
      <c r="F174" s="72"/>
    </row>
    <row r="175" ht="14.25" customHeight="1">
      <c r="A175" s="73"/>
      <c r="B175" s="73"/>
      <c r="C175" s="73"/>
      <c r="D175" s="73"/>
      <c r="E175" s="73"/>
      <c r="F175" s="72"/>
    </row>
    <row r="176" ht="14.25" customHeight="1">
      <c r="A176" s="73"/>
      <c r="B176" s="73"/>
      <c r="C176" s="73"/>
      <c r="D176" s="73"/>
      <c r="E176" s="73"/>
      <c r="F176" s="72"/>
    </row>
    <row r="177" ht="14.25" customHeight="1">
      <c r="A177" s="73"/>
      <c r="B177" s="73"/>
      <c r="C177" s="73"/>
      <c r="D177" s="73"/>
      <c r="E177" s="73"/>
      <c r="F177" s="72"/>
    </row>
    <row r="178" ht="14.25" customHeight="1">
      <c r="A178" s="73"/>
      <c r="B178" s="73"/>
      <c r="C178" s="73"/>
      <c r="D178" s="73"/>
      <c r="E178" s="73"/>
      <c r="F178" s="72"/>
    </row>
    <row r="179" ht="14.25" customHeight="1">
      <c r="A179" s="73"/>
      <c r="B179" s="73"/>
      <c r="C179" s="73"/>
      <c r="D179" s="73"/>
      <c r="E179" s="73"/>
      <c r="F179" s="72"/>
    </row>
    <row r="180" ht="14.25" customHeight="1">
      <c r="A180" s="73"/>
      <c r="B180" s="73"/>
      <c r="C180" s="73"/>
      <c r="D180" s="73"/>
      <c r="E180" s="73"/>
      <c r="F180" s="72"/>
    </row>
    <row r="181" ht="14.25" customHeight="1">
      <c r="A181" s="73"/>
      <c r="B181" s="73"/>
      <c r="C181" s="73"/>
      <c r="D181" s="73"/>
      <c r="E181" s="73"/>
      <c r="F181" s="72"/>
    </row>
    <row r="182" ht="14.25" customHeight="1">
      <c r="A182" s="73"/>
      <c r="B182" s="73"/>
      <c r="C182" s="73"/>
      <c r="D182" s="73"/>
      <c r="E182" s="73"/>
      <c r="F182" s="72"/>
    </row>
    <row r="183" ht="14.25" customHeight="1">
      <c r="A183" s="73"/>
      <c r="B183" s="73"/>
      <c r="C183" s="73"/>
      <c r="D183" s="73"/>
      <c r="E183" s="73"/>
      <c r="F183" s="72"/>
    </row>
    <row r="184" ht="14.25" customHeight="1">
      <c r="A184" s="73"/>
      <c r="B184" s="73"/>
      <c r="C184" s="73"/>
      <c r="D184" s="73"/>
      <c r="E184" s="73"/>
      <c r="F184" s="72"/>
    </row>
    <row r="185" ht="14.25" customHeight="1">
      <c r="A185" s="73"/>
      <c r="B185" s="73"/>
      <c r="C185" s="73"/>
      <c r="D185" s="73"/>
      <c r="E185" s="73"/>
      <c r="F185" s="72"/>
    </row>
    <row r="186" ht="14.25" customHeight="1">
      <c r="A186" s="73"/>
      <c r="B186" s="73"/>
      <c r="C186" s="73"/>
      <c r="D186" s="73"/>
      <c r="E186" s="73"/>
      <c r="F186" s="72"/>
    </row>
    <row r="187" ht="14.25" customHeight="1">
      <c r="A187" s="73"/>
      <c r="B187" s="73"/>
      <c r="C187" s="73"/>
      <c r="D187" s="73"/>
      <c r="E187" s="73"/>
      <c r="F187" s="72"/>
    </row>
    <row r="188" ht="14.25" customHeight="1">
      <c r="A188" s="73"/>
      <c r="B188" s="73"/>
      <c r="C188" s="73"/>
      <c r="D188" s="73"/>
      <c r="E188" s="73"/>
      <c r="F188" s="72"/>
    </row>
    <row r="189" ht="14.25" customHeight="1">
      <c r="A189" s="73"/>
      <c r="B189" s="73"/>
      <c r="C189" s="73"/>
      <c r="D189" s="73"/>
      <c r="E189" s="73"/>
      <c r="F189" s="72"/>
    </row>
    <row r="190" ht="14.25" customHeight="1">
      <c r="A190" s="73"/>
      <c r="B190" s="73"/>
      <c r="C190" s="73"/>
      <c r="D190" s="73"/>
      <c r="E190" s="73"/>
      <c r="F190" s="72"/>
    </row>
    <row r="191" ht="14.25" customHeight="1">
      <c r="A191" s="73"/>
      <c r="B191" s="73"/>
      <c r="C191" s="73"/>
      <c r="D191" s="73"/>
      <c r="E191" s="73"/>
      <c r="F191" s="72"/>
    </row>
    <row r="192" ht="14.25" customHeight="1">
      <c r="A192" s="73"/>
      <c r="B192" s="73"/>
      <c r="C192" s="73"/>
      <c r="D192" s="73"/>
      <c r="E192" s="73"/>
      <c r="F192" s="72"/>
    </row>
    <row r="193" ht="14.25" customHeight="1">
      <c r="A193" s="73"/>
      <c r="B193" s="73"/>
      <c r="C193" s="73"/>
      <c r="D193" s="73"/>
      <c r="E193" s="73"/>
      <c r="F193" s="72"/>
    </row>
    <row r="194" ht="14.25" customHeight="1">
      <c r="A194" s="73"/>
      <c r="B194" s="73"/>
      <c r="C194" s="73"/>
      <c r="D194" s="73"/>
      <c r="E194" s="73"/>
      <c r="F194" s="72"/>
    </row>
    <row r="195" ht="14.25" customHeight="1">
      <c r="A195" s="73"/>
      <c r="B195" s="73"/>
      <c r="C195" s="73"/>
      <c r="D195" s="73"/>
      <c r="E195" s="73"/>
      <c r="F195" s="72"/>
    </row>
    <row r="196" ht="14.25" customHeight="1">
      <c r="A196" s="73"/>
      <c r="B196" s="73"/>
      <c r="C196" s="73"/>
      <c r="D196" s="73"/>
      <c r="E196" s="73"/>
      <c r="F196" s="72"/>
    </row>
    <row r="197" ht="14.25" customHeight="1">
      <c r="A197" s="73"/>
      <c r="B197" s="73"/>
      <c r="C197" s="73"/>
      <c r="D197" s="73"/>
      <c r="E197" s="73"/>
      <c r="F197" s="72"/>
    </row>
    <row r="198" ht="14.25" customHeight="1">
      <c r="A198" s="73"/>
      <c r="B198" s="73"/>
      <c r="C198" s="73"/>
      <c r="D198" s="73"/>
      <c r="E198" s="73"/>
      <c r="F198" s="72"/>
    </row>
    <row r="199" ht="14.25" customHeight="1">
      <c r="A199" s="73"/>
      <c r="B199" s="73"/>
      <c r="C199" s="73"/>
      <c r="D199" s="73"/>
      <c r="E199" s="73"/>
      <c r="F199" s="72"/>
    </row>
    <row r="200" ht="14.25" customHeight="1">
      <c r="A200" s="73"/>
      <c r="B200" s="73"/>
      <c r="C200" s="73"/>
      <c r="D200" s="73"/>
      <c r="E200" s="73"/>
      <c r="F200" s="72"/>
    </row>
    <row r="201" ht="14.25" customHeight="1">
      <c r="A201" s="73"/>
      <c r="B201" s="73"/>
      <c r="C201" s="73"/>
      <c r="D201" s="73"/>
      <c r="E201" s="73"/>
      <c r="F201" s="72"/>
    </row>
    <row r="202" ht="14.25" customHeight="1">
      <c r="A202" s="73"/>
      <c r="B202" s="73"/>
      <c r="C202" s="73"/>
      <c r="D202" s="73"/>
      <c r="E202" s="73"/>
      <c r="F202" s="72"/>
    </row>
    <row r="203" ht="14.25" customHeight="1">
      <c r="A203" s="73"/>
      <c r="B203" s="73"/>
      <c r="C203" s="73"/>
      <c r="D203" s="73"/>
      <c r="E203" s="73"/>
      <c r="F203" s="72"/>
    </row>
    <row r="204" ht="14.25" customHeight="1">
      <c r="A204" s="73"/>
      <c r="B204" s="73"/>
      <c r="C204" s="73"/>
      <c r="D204" s="73"/>
      <c r="E204" s="73"/>
      <c r="F204" s="72"/>
    </row>
    <row r="205" ht="14.25" customHeight="1">
      <c r="A205" s="73"/>
      <c r="B205" s="73"/>
      <c r="C205" s="73"/>
      <c r="D205" s="73"/>
      <c r="E205" s="73"/>
      <c r="F205" s="72"/>
    </row>
    <row r="206" ht="14.25" customHeight="1">
      <c r="A206" s="73"/>
      <c r="B206" s="73"/>
      <c r="C206" s="73"/>
      <c r="D206" s="73"/>
      <c r="E206" s="73"/>
      <c r="F206" s="72"/>
    </row>
    <row r="207" ht="14.25" customHeight="1">
      <c r="A207" s="73"/>
      <c r="B207" s="73"/>
      <c r="C207" s="73"/>
      <c r="D207" s="73"/>
      <c r="E207" s="73"/>
      <c r="F207" s="72"/>
    </row>
    <row r="208" ht="14.25" customHeight="1">
      <c r="A208" s="73"/>
      <c r="B208" s="73"/>
      <c r="C208" s="73"/>
      <c r="D208" s="73"/>
      <c r="E208" s="73"/>
      <c r="F208" s="72"/>
    </row>
    <row r="209" ht="14.25" customHeight="1">
      <c r="A209" s="73"/>
      <c r="B209" s="73"/>
      <c r="C209" s="73"/>
      <c r="D209" s="73"/>
      <c r="E209" s="73"/>
      <c r="F209" s="72"/>
    </row>
    <row r="210" ht="14.25" customHeight="1">
      <c r="A210" s="73"/>
      <c r="B210" s="73"/>
      <c r="C210" s="73"/>
      <c r="D210" s="73"/>
      <c r="E210" s="73"/>
      <c r="F210" s="72"/>
    </row>
    <row r="211" ht="14.25" customHeight="1">
      <c r="A211" s="73"/>
      <c r="B211" s="73"/>
      <c r="C211" s="73"/>
      <c r="D211" s="73"/>
      <c r="E211" s="73"/>
      <c r="F211" s="72"/>
    </row>
    <row r="212" ht="14.25" customHeight="1">
      <c r="A212" s="73"/>
      <c r="B212" s="73"/>
      <c r="C212" s="73"/>
      <c r="D212" s="73"/>
      <c r="E212" s="73"/>
      <c r="F212" s="72"/>
    </row>
    <row r="213" ht="14.25" customHeight="1">
      <c r="A213" s="73"/>
      <c r="B213" s="73"/>
      <c r="C213" s="73"/>
      <c r="D213" s="73"/>
      <c r="E213" s="73"/>
      <c r="F213" s="72"/>
    </row>
    <row r="214" ht="14.25" customHeight="1">
      <c r="A214" s="73"/>
      <c r="B214" s="73"/>
      <c r="C214" s="73"/>
      <c r="D214" s="73"/>
      <c r="E214" s="73"/>
      <c r="F214" s="72"/>
    </row>
    <row r="215" ht="14.25" customHeight="1">
      <c r="A215" s="73"/>
      <c r="B215" s="73"/>
      <c r="C215" s="73"/>
      <c r="D215" s="73"/>
      <c r="E215" s="73"/>
      <c r="F215" s="72"/>
    </row>
    <row r="216" ht="14.25" customHeight="1">
      <c r="A216" s="73"/>
      <c r="B216" s="73"/>
      <c r="C216" s="73"/>
      <c r="D216" s="73"/>
      <c r="E216" s="73"/>
      <c r="F216" s="72"/>
    </row>
    <row r="217" ht="14.25" customHeight="1">
      <c r="A217" s="73"/>
      <c r="B217" s="73"/>
      <c r="C217" s="73"/>
      <c r="D217" s="73"/>
      <c r="E217" s="73"/>
      <c r="F217" s="72"/>
    </row>
    <row r="218" ht="14.25" customHeight="1">
      <c r="A218" s="73"/>
      <c r="B218" s="73"/>
      <c r="C218" s="73"/>
      <c r="D218" s="73"/>
      <c r="E218" s="73"/>
      <c r="F218" s="72"/>
    </row>
    <row r="219" ht="14.25" customHeight="1">
      <c r="A219" s="73"/>
      <c r="B219" s="73"/>
      <c r="C219" s="73"/>
      <c r="D219" s="73"/>
      <c r="E219" s="73"/>
      <c r="F219" s="72"/>
    </row>
    <row r="220" ht="14.25" customHeight="1">
      <c r="A220" s="73"/>
      <c r="B220" s="73"/>
      <c r="C220" s="73"/>
      <c r="D220" s="73"/>
      <c r="E220" s="73"/>
      <c r="F220" s="72"/>
    </row>
    <row r="221" ht="14.25" customHeight="1">
      <c r="A221" s="73"/>
      <c r="B221" s="73"/>
      <c r="C221" s="73"/>
      <c r="D221" s="73"/>
      <c r="E221" s="73"/>
      <c r="F221" s="72"/>
    </row>
    <row r="222" ht="14.25" customHeight="1">
      <c r="A222" s="73"/>
      <c r="B222" s="73"/>
      <c r="C222" s="73"/>
      <c r="D222" s="73"/>
      <c r="E222" s="73"/>
      <c r="F222" s="72"/>
    </row>
    <row r="223" ht="14.25" customHeight="1">
      <c r="A223" s="73"/>
      <c r="B223" s="73"/>
      <c r="C223" s="73"/>
      <c r="D223" s="73"/>
      <c r="E223" s="73"/>
      <c r="F223" s="72"/>
    </row>
    <row r="224" ht="14.25" customHeight="1">
      <c r="A224" s="73"/>
      <c r="B224" s="73"/>
      <c r="C224" s="73"/>
      <c r="D224" s="73"/>
      <c r="E224" s="73"/>
      <c r="F224" s="72"/>
    </row>
    <row r="225" ht="14.25" customHeight="1">
      <c r="A225" s="73"/>
      <c r="B225" s="73"/>
      <c r="C225" s="73"/>
      <c r="D225" s="73"/>
      <c r="E225" s="73"/>
      <c r="F225" s="72"/>
    </row>
    <row r="226" ht="14.25" customHeight="1">
      <c r="A226" s="73"/>
      <c r="B226" s="73"/>
      <c r="C226" s="73"/>
      <c r="D226" s="73"/>
      <c r="E226" s="73"/>
      <c r="F226" s="72"/>
    </row>
    <row r="227" ht="14.25" customHeight="1">
      <c r="A227" s="73"/>
      <c r="B227" s="73"/>
      <c r="C227" s="73"/>
      <c r="D227" s="73"/>
      <c r="E227" s="73"/>
      <c r="F227" s="72"/>
    </row>
    <row r="228" ht="14.25" customHeight="1">
      <c r="A228" s="73"/>
      <c r="B228" s="73"/>
      <c r="C228" s="73"/>
      <c r="D228" s="73"/>
      <c r="E228" s="73"/>
      <c r="F228" s="72"/>
    </row>
    <row r="229" ht="14.25" customHeight="1">
      <c r="A229" s="73"/>
      <c r="B229" s="73"/>
      <c r="C229" s="73"/>
      <c r="D229" s="73"/>
      <c r="E229" s="73"/>
      <c r="F229" s="72"/>
    </row>
    <row r="230" ht="14.25" customHeight="1">
      <c r="A230" s="73"/>
      <c r="B230" s="73"/>
      <c r="C230" s="73"/>
      <c r="D230" s="73"/>
      <c r="E230" s="73"/>
      <c r="F230" s="72"/>
    </row>
    <row r="231" ht="14.25" customHeight="1">
      <c r="A231" s="73"/>
      <c r="B231" s="73"/>
      <c r="C231" s="73"/>
      <c r="D231" s="73"/>
      <c r="E231" s="73"/>
      <c r="F231" s="72"/>
    </row>
    <row r="232" ht="14.25" customHeight="1">
      <c r="A232" s="73"/>
      <c r="B232" s="73"/>
      <c r="C232" s="73"/>
      <c r="D232" s="73"/>
      <c r="E232" s="73"/>
      <c r="F232" s="72"/>
    </row>
    <row r="233" ht="14.25" customHeight="1">
      <c r="A233" s="73"/>
      <c r="B233" s="73"/>
      <c r="C233" s="73"/>
      <c r="D233" s="73"/>
      <c r="E233" s="73"/>
      <c r="F233" s="72"/>
    </row>
    <row r="234" ht="14.25" customHeight="1">
      <c r="A234" s="73"/>
      <c r="B234" s="73"/>
      <c r="C234" s="73"/>
      <c r="D234" s="73"/>
      <c r="E234" s="73"/>
      <c r="F234" s="72"/>
    </row>
    <row r="235" ht="14.25" customHeight="1">
      <c r="A235" s="73"/>
      <c r="B235" s="73"/>
      <c r="C235" s="73"/>
      <c r="D235" s="73"/>
      <c r="E235" s="73"/>
      <c r="F235" s="72"/>
    </row>
    <row r="236" ht="14.25" customHeight="1">
      <c r="A236" s="73"/>
      <c r="B236" s="73"/>
      <c r="C236" s="73"/>
      <c r="D236" s="73"/>
      <c r="E236" s="73"/>
      <c r="F236" s="72"/>
    </row>
    <row r="237" ht="14.25" customHeight="1">
      <c r="A237" s="73"/>
      <c r="B237" s="73"/>
      <c r="C237" s="73"/>
      <c r="D237" s="73"/>
      <c r="E237" s="73"/>
      <c r="F237" s="72"/>
    </row>
    <row r="238" ht="14.25" customHeight="1">
      <c r="A238" s="73"/>
      <c r="B238" s="73"/>
      <c r="C238" s="73"/>
      <c r="D238" s="73"/>
      <c r="E238" s="73"/>
      <c r="F238" s="72"/>
    </row>
    <row r="239" ht="14.25" customHeight="1">
      <c r="A239" s="73"/>
      <c r="B239" s="73"/>
      <c r="C239" s="73"/>
      <c r="D239" s="73"/>
      <c r="E239" s="73"/>
      <c r="F239" s="72"/>
    </row>
    <row r="240" ht="14.25" customHeight="1">
      <c r="A240" s="73"/>
      <c r="B240" s="73"/>
      <c r="C240" s="73"/>
      <c r="D240" s="73"/>
      <c r="E240" s="73"/>
      <c r="F240" s="72"/>
    </row>
    <row r="241" ht="14.25" customHeight="1">
      <c r="A241" s="73"/>
      <c r="B241" s="73"/>
      <c r="C241" s="73"/>
      <c r="D241" s="73"/>
      <c r="E241" s="73"/>
      <c r="F241" s="72"/>
    </row>
    <row r="242" ht="14.25" customHeight="1">
      <c r="A242" s="73"/>
      <c r="B242" s="73"/>
      <c r="C242" s="73"/>
      <c r="D242" s="73"/>
      <c r="E242" s="73"/>
      <c r="F242" s="72"/>
    </row>
    <row r="243" ht="14.25" customHeight="1">
      <c r="A243" s="73"/>
      <c r="B243" s="73"/>
      <c r="C243" s="73"/>
      <c r="D243" s="73"/>
      <c r="E243" s="73"/>
      <c r="F243" s="72"/>
    </row>
    <row r="244" ht="14.25" customHeight="1">
      <c r="A244" s="73"/>
      <c r="B244" s="73"/>
      <c r="C244" s="73"/>
      <c r="D244" s="73"/>
      <c r="E244" s="73"/>
      <c r="F244" s="72"/>
    </row>
    <row r="245" ht="14.25" customHeight="1">
      <c r="A245" s="73"/>
      <c r="B245" s="73"/>
      <c r="C245" s="73"/>
      <c r="D245" s="73"/>
      <c r="E245" s="73"/>
      <c r="F245" s="72"/>
    </row>
    <row r="246" ht="14.25" customHeight="1">
      <c r="A246" s="73"/>
      <c r="B246" s="73"/>
      <c r="C246" s="73"/>
      <c r="D246" s="73"/>
      <c r="E246" s="73"/>
      <c r="F246" s="72"/>
    </row>
    <row r="247" ht="14.25" customHeight="1">
      <c r="A247" s="73"/>
      <c r="B247" s="73"/>
      <c r="C247" s="73"/>
      <c r="D247" s="73"/>
      <c r="E247" s="73"/>
      <c r="F247" s="72"/>
    </row>
    <row r="248" ht="14.25" customHeight="1">
      <c r="A248" s="73"/>
      <c r="B248" s="73"/>
      <c r="C248" s="73"/>
      <c r="D248" s="73"/>
      <c r="E248" s="73"/>
      <c r="F248" s="72"/>
    </row>
    <row r="249" ht="14.25" customHeight="1">
      <c r="A249" s="73"/>
      <c r="B249" s="73"/>
      <c r="C249" s="73"/>
      <c r="D249" s="73"/>
      <c r="E249" s="73"/>
      <c r="F249" s="72"/>
    </row>
    <row r="250" ht="14.25" customHeight="1">
      <c r="A250" s="73"/>
      <c r="B250" s="73"/>
      <c r="C250" s="73"/>
      <c r="D250" s="73"/>
      <c r="E250" s="73"/>
      <c r="F250" s="72"/>
    </row>
    <row r="251" ht="14.25" customHeight="1">
      <c r="A251" s="73"/>
      <c r="B251" s="73"/>
      <c r="C251" s="73"/>
      <c r="D251" s="73"/>
      <c r="E251" s="73"/>
      <c r="F251" s="72"/>
    </row>
    <row r="252" ht="14.25" customHeight="1">
      <c r="A252" s="73"/>
      <c r="B252" s="73"/>
      <c r="C252" s="73"/>
      <c r="D252" s="73"/>
      <c r="E252" s="73"/>
      <c r="F252" s="72"/>
    </row>
    <row r="253" ht="14.25" customHeight="1">
      <c r="A253" s="73"/>
      <c r="B253" s="73"/>
      <c r="C253" s="73"/>
      <c r="D253" s="73"/>
      <c r="E253" s="73"/>
      <c r="F253" s="72"/>
    </row>
    <row r="254" ht="14.25" customHeight="1">
      <c r="A254" s="73"/>
      <c r="B254" s="73"/>
      <c r="C254" s="73"/>
      <c r="D254" s="73"/>
      <c r="E254" s="73"/>
      <c r="F254" s="72"/>
    </row>
    <row r="255" ht="14.25" customHeight="1">
      <c r="A255" s="73"/>
      <c r="B255" s="73"/>
      <c r="C255" s="73"/>
      <c r="D255" s="73"/>
      <c r="E255" s="73"/>
      <c r="F255" s="72"/>
    </row>
    <row r="256" ht="14.25" customHeight="1">
      <c r="A256" s="73"/>
      <c r="B256" s="73"/>
      <c r="C256" s="73"/>
      <c r="D256" s="73"/>
      <c r="E256" s="73"/>
      <c r="F256" s="72"/>
    </row>
    <row r="257" ht="14.25" customHeight="1">
      <c r="A257" s="73"/>
      <c r="B257" s="73"/>
      <c r="C257" s="73"/>
      <c r="D257" s="73"/>
      <c r="E257" s="73"/>
      <c r="F257" s="72"/>
    </row>
    <row r="258" ht="14.25" customHeight="1">
      <c r="A258" s="73"/>
      <c r="B258" s="73"/>
      <c r="C258" s="73"/>
      <c r="D258" s="73"/>
      <c r="E258" s="73"/>
      <c r="F258" s="72"/>
    </row>
    <row r="259" ht="14.25" customHeight="1">
      <c r="A259" s="73"/>
      <c r="B259" s="73"/>
      <c r="C259" s="73"/>
      <c r="D259" s="73"/>
      <c r="E259" s="73"/>
      <c r="F259" s="72"/>
    </row>
    <row r="260" ht="14.25" customHeight="1">
      <c r="A260" s="73"/>
      <c r="B260" s="73"/>
      <c r="C260" s="73"/>
      <c r="D260" s="73"/>
      <c r="E260" s="73"/>
      <c r="F260" s="72"/>
    </row>
    <row r="261" ht="14.25" customHeight="1">
      <c r="A261" s="73"/>
      <c r="B261" s="73"/>
      <c r="C261" s="73"/>
      <c r="D261" s="73"/>
      <c r="E261" s="73"/>
      <c r="F261" s="72"/>
    </row>
    <row r="262" ht="14.25" customHeight="1">
      <c r="A262" s="73"/>
      <c r="B262" s="73"/>
      <c r="C262" s="73"/>
      <c r="D262" s="73"/>
      <c r="E262" s="73"/>
      <c r="F262" s="72"/>
    </row>
    <row r="263" ht="14.25" customHeight="1">
      <c r="A263" s="73"/>
      <c r="B263" s="73"/>
      <c r="C263" s="73"/>
      <c r="D263" s="73"/>
      <c r="E263" s="73"/>
      <c r="F263" s="72"/>
    </row>
    <row r="264" ht="14.25" customHeight="1">
      <c r="A264" s="73"/>
      <c r="B264" s="73"/>
      <c r="C264" s="73"/>
      <c r="D264" s="73"/>
      <c r="E264" s="73"/>
      <c r="F264" s="72"/>
    </row>
    <row r="265" ht="14.25" customHeight="1">
      <c r="A265" s="73"/>
      <c r="B265" s="73"/>
      <c r="C265" s="73"/>
      <c r="D265" s="73"/>
      <c r="E265" s="73"/>
      <c r="F265" s="72"/>
    </row>
    <row r="266" ht="14.25" customHeight="1">
      <c r="A266" s="73"/>
      <c r="B266" s="73"/>
      <c r="C266" s="73"/>
      <c r="D266" s="73"/>
      <c r="E266" s="73"/>
      <c r="F266" s="72"/>
    </row>
    <row r="267" ht="14.25" customHeight="1">
      <c r="A267" s="73"/>
      <c r="B267" s="73"/>
      <c r="C267" s="73"/>
      <c r="D267" s="73"/>
      <c r="E267" s="73"/>
      <c r="F267" s="72"/>
    </row>
    <row r="268" ht="14.25" customHeight="1">
      <c r="A268" s="73"/>
      <c r="B268" s="73"/>
      <c r="C268" s="73"/>
      <c r="D268" s="73"/>
      <c r="E268" s="73"/>
      <c r="F268" s="72"/>
    </row>
    <row r="269" ht="14.25" customHeight="1">
      <c r="A269" s="73"/>
      <c r="B269" s="73"/>
      <c r="C269" s="73"/>
      <c r="D269" s="73"/>
      <c r="E269" s="73"/>
      <c r="F269" s="72"/>
    </row>
    <row r="270" ht="14.25" customHeight="1">
      <c r="A270" s="73"/>
      <c r="B270" s="73"/>
      <c r="C270" s="73"/>
      <c r="D270" s="73"/>
      <c r="E270" s="73"/>
      <c r="F270" s="72"/>
    </row>
    <row r="271" ht="14.25" customHeight="1">
      <c r="A271" s="73"/>
      <c r="B271" s="73"/>
      <c r="C271" s="73"/>
      <c r="D271" s="73"/>
      <c r="E271" s="73"/>
      <c r="F271" s="72"/>
    </row>
    <row r="272" ht="14.25" customHeight="1">
      <c r="A272" s="73"/>
      <c r="B272" s="73"/>
      <c r="C272" s="73"/>
      <c r="D272" s="73"/>
      <c r="E272" s="73"/>
      <c r="F272" s="72"/>
    </row>
    <row r="273" ht="14.25" customHeight="1">
      <c r="A273" s="73"/>
      <c r="B273" s="73"/>
      <c r="C273" s="73"/>
      <c r="D273" s="73"/>
      <c r="E273" s="73"/>
      <c r="F273" s="72"/>
    </row>
    <row r="274" ht="14.25" customHeight="1">
      <c r="A274" s="73"/>
      <c r="B274" s="73"/>
      <c r="C274" s="73"/>
      <c r="D274" s="73"/>
      <c r="E274" s="73"/>
      <c r="F274" s="72"/>
    </row>
    <row r="275" ht="14.25" customHeight="1">
      <c r="A275" s="73"/>
      <c r="B275" s="73"/>
      <c r="C275" s="73"/>
      <c r="D275" s="73"/>
      <c r="E275" s="73"/>
      <c r="F275" s="72"/>
    </row>
    <row r="276" ht="14.25" customHeight="1">
      <c r="A276" s="73"/>
      <c r="B276" s="73"/>
      <c r="C276" s="73"/>
      <c r="D276" s="73"/>
      <c r="E276" s="73"/>
      <c r="F276" s="72"/>
    </row>
    <row r="277" ht="14.25" customHeight="1">
      <c r="A277" s="73"/>
      <c r="B277" s="73"/>
      <c r="C277" s="73"/>
      <c r="D277" s="73"/>
      <c r="E277" s="73"/>
      <c r="F277" s="72"/>
    </row>
    <row r="278" ht="14.25" customHeight="1">
      <c r="A278" s="73"/>
      <c r="B278" s="73"/>
      <c r="C278" s="73"/>
      <c r="D278" s="73"/>
      <c r="E278" s="73"/>
      <c r="F278" s="72"/>
    </row>
    <row r="279" ht="14.25" customHeight="1">
      <c r="A279" s="73"/>
      <c r="B279" s="73"/>
      <c r="C279" s="73"/>
      <c r="D279" s="73"/>
      <c r="E279" s="73"/>
      <c r="F279" s="72"/>
    </row>
    <row r="280" ht="14.25" customHeight="1">
      <c r="A280" s="73"/>
      <c r="B280" s="73"/>
      <c r="C280" s="73"/>
      <c r="D280" s="73"/>
      <c r="E280" s="73"/>
      <c r="F280" s="72"/>
    </row>
    <row r="281" ht="14.25" customHeight="1">
      <c r="A281" s="73"/>
      <c r="B281" s="73"/>
      <c r="C281" s="73"/>
      <c r="D281" s="73"/>
      <c r="E281" s="73"/>
      <c r="F281" s="72"/>
    </row>
    <row r="282" ht="14.25" customHeight="1">
      <c r="A282" s="73"/>
      <c r="B282" s="73"/>
      <c r="C282" s="73"/>
      <c r="D282" s="73"/>
      <c r="E282" s="73"/>
      <c r="F282" s="72"/>
    </row>
    <row r="283" ht="14.25" customHeight="1">
      <c r="A283" s="73"/>
      <c r="B283" s="73"/>
      <c r="C283" s="73"/>
      <c r="D283" s="73"/>
      <c r="E283" s="73"/>
      <c r="F283" s="72"/>
    </row>
    <row r="284" ht="14.25" customHeight="1">
      <c r="A284" s="73"/>
      <c r="B284" s="73"/>
      <c r="C284" s="73"/>
      <c r="D284" s="73"/>
      <c r="E284" s="73"/>
      <c r="F284" s="72"/>
    </row>
    <row r="285" ht="14.25" customHeight="1">
      <c r="A285" s="73"/>
      <c r="B285" s="73"/>
      <c r="C285" s="73"/>
      <c r="D285" s="73"/>
      <c r="E285" s="73"/>
      <c r="F285" s="72"/>
    </row>
    <row r="286" ht="14.25" customHeight="1">
      <c r="A286" s="73"/>
      <c r="B286" s="73"/>
      <c r="C286" s="73"/>
      <c r="D286" s="73"/>
      <c r="E286" s="73"/>
      <c r="F286" s="72"/>
    </row>
    <row r="287" ht="14.25" customHeight="1">
      <c r="A287" s="73"/>
      <c r="B287" s="73"/>
      <c r="C287" s="73"/>
      <c r="D287" s="73"/>
      <c r="E287" s="73"/>
      <c r="F287" s="72"/>
    </row>
    <row r="288" ht="14.25" customHeight="1">
      <c r="A288" s="73"/>
      <c r="B288" s="73"/>
      <c r="C288" s="73"/>
      <c r="D288" s="73"/>
      <c r="E288" s="73"/>
      <c r="F288" s="72"/>
    </row>
    <row r="289" ht="14.25" customHeight="1">
      <c r="A289" s="73"/>
      <c r="B289" s="73"/>
      <c r="C289" s="73"/>
      <c r="D289" s="73"/>
      <c r="E289" s="73"/>
      <c r="F289" s="72"/>
    </row>
    <row r="290" ht="14.25" customHeight="1">
      <c r="A290" s="73"/>
      <c r="B290" s="73"/>
      <c r="C290" s="73"/>
      <c r="D290" s="73"/>
      <c r="E290" s="73"/>
      <c r="F290" s="72"/>
    </row>
    <row r="291" ht="14.25" customHeight="1">
      <c r="A291" s="73"/>
      <c r="B291" s="73"/>
      <c r="C291" s="73"/>
      <c r="D291" s="73"/>
      <c r="E291" s="73"/>
      <c r="F291" s="72"/>
    </row>
    <row r="292" ht="14.25" customHeight="1">
      <c r="A292" s="73"/>
      <c r="B292" s="73"/>
      <c r="C292" s="73"/>
      <c r="D292" s="73"/>
      <c r="E292" s="73"/>
      <c r="F292" s="72"/>
    </row>
    <row r="293" ht="14.25" customHeight="1">
      <c r="A293" s="73"/>
      <c r="B293" s="73"/>
      <c r="C293" s="73"/>
      <c r="D293" s="73"/>
      <c r="E293" s="73"/>
      <c r="F293" s="72"/>
    </row>
    <row r="294" ht="14.25" customHeight="1">
      <c r="A294" s="73"/>
      <c r="B294" s="73"/>
      <c r="C294" s="73"/>
      <c r="D294" s="73"/>
      <c r="E294" s="73"/>
      <c r="F294" s="72"/>
    </row>
    <row r="295" ht="14.25" customHeight="1">
      <c r="A295" s="73"/>
      <c r="B295" s="73"/>
      <c r="C295" s="73"/>
      <c r="D295" s="73"/>
      <c r="E295" s="73"/>
      <c r="F295" s="72"/>
    </row>
    <row r="296" ht="14.25" customHeight="1">
      <c r="A296" s="73"/>
      <c r="B296" s="73"/>
      <c r="C296" s="73"/>
      <c r="D296" s="73"/>
      <c r="E296" s="73"/>
      <c r="F296" s="72"/>
    </row>
    <row r="297" ht="14.25" customHeight="1">
      <c r="A297" s="73"/>
      <c r="B297" s="73"/>
      <c r="C297" s="73"/>
      <c r="D297" s="73"/>
      <c r="E297" s="73"/>
      <c r="F297" s="72"/>
    </row>
    <row r="298" ht="14.25" customHeight="1">
      <c r="A298" s="73"/>
      <c r="B298" s="73"/>
      <c r="C298" s="73"/>
      <c r="D298" s="73"/>
      <c r="E298" s="73"/>
      <c r="F298" s="72"/>
    </row>
    <row r="299" ht="14.25" customHeight="1">
      <c r="A299" s="73"/>
      <c r="B299" s="73"/>
      <c r="C299" s="73"/>
      <c r="D299" s="73"/>
      <c r="E299" s="73"/>
      <c r="F299" s="72"/>
    </row>
    <row r="300" ht="14.25" customHeight="1">
      <c r="A300" s="73"/>
      <c r="B300" s="73"/>
      <c r="C300" s="73"/>
      <c r="D300" s="73"/>
      <c r="E300" s="73"/>
      <c r="F300" s="72"/>
    </row>
    <row r="301" ht="14.25" customHeight="1">
      <c r="A301" s="73"/>
      <c r="B301" s="73"/>
      <c r="C301" s="73"/>
      <c r="D301" s="73"/>
      <c r="E301" s="73"/>
      <c r="F301" s="72"/>
    </row>
    <row r="302" ht="14.25" customHeight="1">
      <c r="A302" s="73"/>
      <c r="B302" s="73"/>
      <c r="C302" s="73"/>
      <c r="D302" s="73"/>
      <c r="E302" s="73"/>
      <c r="F302" s="72"/>
    </row>
    <row r="303" ht="14.25" customHeight="1">
      <c r="A303" s="73"/>
      <c r="B303" s="73"/>
      <c r="C303" s="73"/>
      <c r="D303" s="73"/>
      <c r="E303" s="73"/>
      <c r="F303" s="72"/>
    </row>
    <row r="304" ht="14.25" customHeight="1">
      <c r="A304" s="73"/>
      <c r="B304" s="73"/>
      <c r="C304" s="73"/>
      <c r="D304" s="73"/>
      <c r="E304" s="73"/>
      <c r="F304" s="72"/>
    </row>
    <row r="305" ht="14.25" customHeight="1">
      <c r="A305" s="73"/>
      <c r="B305" s="73"/>
      <c r="C305" s="73"/>
      <c r="D305" s="73"/>
      <c r="E305" s="73"/>
      <c r="F305" s="72"/>
    </row>
    <row r="306" ht="14.25" customHeight="1">
      <c r="A306" s="73"/>
      <c r="B306" s="73"/>
      <c r="C306" s="73"/>
      <c r="D306" s="73"/>
      <c r="E306" s="73"/>
      <c r="F306" s="72"/>
    </row>
    <row r="307" ht="14.25" customHeight="1">
      <c r="A307" s="73"/>
      <c r="B307" s="73"/>
      <c r="C307" s="73"/>
      <c r="D307" s="73"/>
      <c r="E307" s="73"/>
      <c r="F307" s="72"/>
    </row>
    <row r="308" ht="14.25" customHeight="1">
      <c r="A308" s="73"/>
      <c r="B308" s="73"/>
      <c r="C308" s="73"/>
      <c r="D308" s="73"/>
      <c r="E308" s="73"/>
      <c r="F308" s="72"/>
    </row>
    <row r="309" ht="14.25" customHeight="1">
      <c r="A309" s="73"/>
      <c r="B309" s="73"/>
      <c r="C309" s="73"/>
      <c r="D309" s="73"/>
      <c r="E309" s="73"/>
      <c r="F309" s="72"/>
    </row>
    <row r="310" ht="14.25" customHeight="1">
      <c r="A310" s="73"/>
      <c r="B310" s="73"/>
      <c r="C310" s="73"/>
      <c r="D310" s="73"/>
      <c r="E310" s="73"/>
      <c r="F310" s="72"/>
    </row>
    <row r="311" ht="14.25" customHeight="1">
      <c r="A311" s="73"/>
      <c r="B311" s="73"/>
      <c r="C311" s="73"/>
      <c r="D311" s="73"/>
      <c r="E311" s="73"/>
      <c r="F311" s="72"/>
    </row>
    <row r="312" ht="14.25" customHeight="1">
      <c r="A312" s="73"/>
      <c r="B312" s="73"/>
      <c r="C312" s="73"/>
      <c r="D312" s="73"/>
      <c r="E312" s="73"/>
      <c r="F312" s="72"/>
    </row>
    <row r="313" ht="14.25" customHeight="1">
      <c r="A313" s="73"/>
      <c r="B313" s="73"/>
      <c r="C313" s="73"/>
      <c r="D313" s="73"/>
      <c r="E313" s="73"/>
      <c r="F313" s="72"/>
    </row>
    <row r="314" ht="14.25" customHeight="1">
      <c r="A314" s="73"/>
      <c r="B314" s="73"/>
      <c r="C314" s="73"/>
      <c r="D314" s="73"/>
      <c r="E314" s="73"/>
      <c r="F314" s="72"/>
    </row>
    <row r="315" ht="14.25" customHeight="1">
      <c r="A315" s="73"/>
      <c r="B315" s="73"/>
      <c r="C315" s="73"/>
      <c r="D315" s="73"/>
      <c r="E315" s="73"/>
      <c r="F315" s="72"/>
    </row>
    <row r="316" ht="14.25" customHeight="1">
      <c r="A316" s="73"/>
      <c r="B316" s="73"/>
      <c r="C316" s="73"/>
      <c r="D316" s="73"/>
      <c r="E316" s="73"/>
      <c r="F316" s="72"/>
    </row>
    <row r="317" ht="14.25" customHeight="1">
      <c r="A317" s="73"/>
      <c r="B317" s="73"/>
      <c r="C317" s="73"/>
      <c r="D317" s="73"/>
      <c r="E317" s="73"/>
      <c r="F317" s="72"/>
    </row>
    <row r="318" ht="14.25" customHeight="1">
      <c r="A318" s="73"/>
      <c r="B318" s="73"/>
      <c r="C318" s="73"/>
      <c r="D318" s="73"/>
      <c r="E318" s="73"/>
      <c r="F318" s="72"/>
    </row>
    <row r="319" ht="14.25" customHeight="1">
      <c r="A319" s="73"/>
      <c r="B319" s="73"/>
      <c r="C319" s="73"/>
      <c r="D319" s="73"/>
      <c r="E319" s="73"/>
      <c r="F319" s="72"/>
    </row>
    <row r="320" ht="14.25" customHeight="1">
      <c r="A320" s="73"/>
      <c r="B320" s="73"/>
      <c r="C320" s="73"/>
      <c r="D320" s="73"/>
      <c r="E320" s="73"/>
      <c r="F320" s="72"/>
    </row>
    <row r="321" ht="14.25" customHeight="1">
      <c r="A321" s="73"/>
      <c r="B321" s="73"/>
      <c r="C321" s="73"/>
      <c r="D321" s="73"/>
      <c r="E321" s="73"/>
      <c r="F321" s="72"/>
    </row>
    <row r="322" ht="14.25" customHeight="1">
      <c r="A322" s="73"/>
      <c r="B322" s="73"/>
      <c r="C322" s="73"/>
      <c r="D322" s="73"/>
      <c r="E322" s="73"/>
      <c r="F322" s="72"/>
    </row>
    <row r="323" ht="14.25" customHeight="1">
      <c r="A323" s="73"/>
      <c r="B323" s="73"/>
      <c r="C323" s="73"/>
      <c r="D323" s="73"/>
      <c r="E323" s="73"/>
      <c r="F323" s="72"/>
    </row>
    <row r="324" ht="14.25" customHeight="1">
      <c r="A324" s="73"/>
      <c r="B324" s="73"/>
      <c r="C324" s="73"/>
      <c r="D324" s="73"/>
      <c r="E324" s="73"/>
      <c r="F324" s="72"/>
    </row>
    <row r="325" ht="14.25" customHeight="1">
      <c r="A325" s="73"/>
      <c r="B325" s="73"/>
      <c r="C325" s="73"/>
      <c r="D325" s="73"/>
      <c r="E325" s="73"/>
      <c r="F325" s="72"/>
    </row>
    <row r="326" ht="14.25" customHeight="1">
      <c r="A326" s="73"/>
      <c r="B326" s="73"/>
      <c r="C326" s="73"/>
      <c r="D326" s="73"/>
      <c r="E326" s="73"/>
      <c r="F326" s="72"/>
    </row>
    <row r="327" ht="14.25" customHeight="1">
      <c r="A327" s="73"/>
      <c r="B327" s="73"/>
      <c r="C327" s="73"/>
      <c r="D327" s="73"/>
      <c r="E327" s="73"/>
      <c r="F327" s="72"/>
    </row>
    <row r="328" ht="14.25" customHeight="1">
      <c r="A328" s="73"/>
      <c r="B328" s="73"/>
      <c r="C328" s="73"/>
      <c r="D328" s="73"/>
      <c r="E328" s="73"/>
      <c r="F328" s="72"/>
    </row>
    <row r="329" ht="14.25" customHeight="1">
      <c r="A329" s="73"/>
      <c r="B329" s="73"/>
      <c r="C329" s="73"/>
      <c r="D329" s="73"/>
      <c r="E329" s="73"/>
      <c r="F329" s="72"/>
    </row>
    <row r="330" ht="14.25" customHeight="1">
      <c r="A330" s="73"/>
      <c r="B330" s="73"/>
      <c r="C330" s="73"/>
      <c r="D330" s="73"/>
      <c r="E330" s="73"/>
      <c r="F330" s="72"/>
    </row>
    <row r="331" ht="14.25" customHeight="1">
      <c r="A331" s="73"/>
      <c r="B331" s="73"/>
      <c r="C331" s="73"/>
      <c r="D331" s="73"/>
      <c r="E331" s="73"/>
      <c r="F331" s="72"/>
    </row>
    <row r="332" ht="14.25" customHeight="1">
      <c r="A332" s="73"/>
      <c r="B332" s="73"/>
      <c r="C332" s="73"/>
      <c r="D332" s="73"/>
      <c r="E332" s="73"/>
      <c r="F332" s="72"/>
    </row>
    <row r="333" ht="14.25" customHeight="1">
      <c r="A333" s="73"/>
      <c r="B333" s="73"/>
      <c r="C333" s="73"/>
      <c r="D333" s="73"/>
      <c r="E333" s="73"/>
      <c r="F333" s="72"/>
    </row>
    <row r="334" ht="14.25" customHeight="1">
      <c r="A334" s="73"/>
      <c r="B334" s="73"/>
      <c r="C334" s="73"/>
      <c r="D334" s="73"/>
      <c r="E334" s="73"/>
      <c r="F334" s="72"/>
    </row>
    <row r="335" ht="14.25" customHeight="1">
      <c r="A335" s="73"/>
      <c r="B335" s="73"/>
      <c r="C335" s="73"/>
      <c r="D335" s="73"/>
      <c r="E335" s="73"/>
      <c r="F335" s="72"/>
    </row>
    <row r="336" ht="14.25" customHeight="1">
      <c r="A336" s="73"/>
      <c r="B336" s="73"/>
      <c r="C336" s="73"/>
      <c r="D336" s="73"/>
      <c r="E336" s="73"/>
      <c r="F336" s="72"/>
    </row>
    <row r="337" ht="14.25" customHeight="1">
      <c r="A337" s="73"/>
      <c r="B337" s="73"/>
      <c r="C337" s="73"/>
      <c r="D337" s="73"/>
      <c r="E337" s="73"/>
      <c r="F337" s="72"/>
    </row>
    <row r="338" ht="14.25" customHeight="1">
      <c r="A338" s="73"/>
      <c r="B338" s="73"/>
      <c r="C338" s="73"/>
      <c r="D338" s="73"/>
      <c r="E338" s="73"/>
      <c r="F338" s="72"/>
    </row>
    <row r="339" ht="14.25" customHeight="1">
      <c r="A339" s="73"/>
      <c r="B339" s="73"/>
      <c r="C339" s="73"/>
      <c r="D339" s="73"/>
      <c r="E339" s="73"/>
      <c r="F339" s="72"/>
    </row>
    <row r="340" ht="14.25" customHeight="1">
      <c r="A340" s="73"/>
      <c r="B340" s="73"/>
      <c r="C340" s="73"/>
      <c r="D340" s="73"/>
      <c r="E340" s="73"/>
      <c r="F340" s="72"/>
    </row>
    <row r="341" ht="14.25" customHeight="1">
      <c r="A341" s="73"/>
      <c r="B341" s="73"/>
      <c r="C341" s="73"/>
      <c r="D341" s="73"/>
      <c r="E341" s="73"/>
      <c r="F341" s="72"/>
    </row>
    <row r="342" ht="14.25" customHeight="1">
      <c r="A342" s="73"/>
      <c r="B342" s="73"/>
      <c r="C342" s="73"/>
      <c r="D342" s="73"/>
      <c r="E342" s="73"/>
      <c r="F342" s="72"/>
    </row>
    <row r="343" ht="14.25" customHeight="1">
      <c r="A343" s="73"/>
      <c r="B343" s="73"/>
      <c r="C343" s="73"/>
      <c r="D343" s="73"/>
      <c r="E343" s="73"/>
      <c r="F343" s="72"/>
    </row>
    <row r="344" ht="14.25" customHeight="1">
      <c r="A344" s="73"/>
      <c r="B344" s="73"/>
      <c r="C344" s="73"/>
      <c r="D344" s="73"/>
      <c r="E344" s="73"/>
      <c r="F344" s="72"/>
    </row>
    <row r="345" ht="14.25" customHeight="1">
      <c r="A345" s="73"/>
      <c r="B345" s="73"/>
      <c r="C345" s="73"/>
      <c r="D345" s="73"/>
      <c r="E345" s="73"/>
      <c r="F345" s="72"/>
    </row>
    <row r="346" ht="14.25" customHeight="1">
      <c r="A346" s="73"/>
      <c r="B346" s="73"/>
      <c r="C346" s="73"/>
      <c r="D346" s="73"/>
      <c r="E346" s="73"/>
      <c r="F346" s="72"/>
    </row>
    <row r="347" ht="14.25" customHeight="1">
      <c r="A347" s="73"/>
      <c r="B347" s="73"/>
      <c r="C347" s="73"/>
      <c r="D347" s="73"/>
      <c r="E347" s="73"/>
      <c r="F347" s="72"/>
    </row>
    <row r="348" ht="14.25" customHeight="1">
      <c r="A348" s="73"/>
      <c r="B348" s="73"/>
      <c r="C348" s="73"/>
      <c r="D348" s="73"/>
      <c r="E348" s="73"/>
      <c r="F348" s="72"/>
    </row>
    <row r="349" ht="14.25" customHeight="1">
      <c r="A349" s="73"/>
      <c r="B349" s="73"/>
      <c r="C349" s="73"/>
      <c r="D349" s="73"/>
      <c r="E349" s="73"/>
      <c r="F349" s="72"/>
    </row>
    <row r="350" ht="14.25" customHeight="1">
      <c r="A350" s="73"/>
      <c r="B350" s="73"/>
      <c r="C350" s="73"/>
      <c r="D350" s="73"/>
      <c r="E350" s="73"/>
      <c r="F350" s="72"/>
    </row>
    <row r="351" ht="14.25" customHeight="1">
      <c r="A351" s="73"/>
      <c r="B351" s="73"/>
      <c r="C351" s="73"/>
      <c r="D351" s="73"/>
      <c r="E351" s="73"/>
      <c r="F351" s="72"/>
    </row>
    <row r="352" ht="14.25" customHeight="1">
      <c r="A352" s="73"/>
      <c r="B352" s="73"/>
      <c r="C352" s="73"/>
      <c r="D352" s="73"/>
      <c r="E352" s="73"/>
      <c r="F352" s="72"/>
    </row>
    <row r="353" ht="14.25" customHeight="1">
      <c r="A353" s="73"/>
      <c r="B353" s="73"/>
      <c r="C353" s="73"/>
      <c r="D353" s="73"/>
      <c r="E353" s="73"/>
      <c r="F353" s="72"/>
    </row>
    <row r="354" ht="14.25" customHeight="1">
      <c r="A354" s="73"/>
      <c r="B354" s="73"/>
      <c r="C354" s="73"/>
      <c r="D354" s="73"/>
      <c r="E354" s="73"/>
      <c r="F354" s="72"/>
    </row>
    <row r="355" ht="14.25" customHeight="1">
      <c r="A355" s="73"/>
      <c r="B355" s="73"/>
      <c r="C355" s="73"/>
      <c r="D355" s="73"/>
      <c r="E355" s="73"/>
      <c r="F355" s="72"/>
    </row>
    <row r="356" ht="14.25" customHeight="1">
      <c r="A356" s="73"/>
      <c r="B356" s="73"/>
      <c r="C356" s="73"/>
      <c r="D356" s="73"/>
      <c r="E356" s="73"/>
      <c r="F356" s="72"/>
    </row>
    <row r="357" ht="14.25" customHeight="1">
      <c r="A357" s="73"/>
      <c r="B357" s="73"/>
      <c r="C357" s="73"/>
      <c r="D357" s="73"/>
      <c r="E357" s="73"/>
      <c r="F357" s="72"/>
    </row>
    <row r="358" ht="14.25" customHeight="1">
      <c r="A358" s="73"/>
      <c r="B358" s="73"/>
      <c r="C358" s="73"/>
      <c r="D358" s="73"/>
      <c r="E358" s="73"/>
      <c r="F358" s="72"/>
    </row>
    <row r="359" ht="14.25" customHeight="1">
      <c r="A359" s="73"/>
      <c r="B359" s="73"/>
      <c r="C359" s="73"/>
      <c r="D359" s="73"/>
      <c r="E359" s="73"/>
      <c r="F359" s="72"/>
    </row>
    <row r="360" ht="14.25" customHeight="1">
      <c r="A360" s="73"/>
      <c r="B360" s="73"/>
      <c r="C360" s="73"/>
      <c r="D360" s="73"/>
      <c r="E360" s="73"/>
      <c r="F360" s="72"/>
    </row>
    <row r="361" ht="14.25" customHeight="1">
      <c r="A361" s="73"/>
      <c r="B361" s="73"/>
      <c r="C361" s="73"/>
      <c r="D361" s="73"/>
      <c r="E361" s="73"/>
      <c r="F361" s="72"/>
    </row>
    <row r="362" ht="14.25" customHeight="1">
      <c r="A362" s="73"/>
      <c r="B362" s="73"/>
      <c r="C362" s="73"/>
      <c r="D362" s="73"/>
      <c r="E362" s="73"/>
      <c r="F362" s="72"/>
    </row>
    <row r="363" ht="14.25" customHeight="1">
      <c r="A363" s="73"/>
      <c r="B363" s="73"/>
      <c r="C363" s="73"/>
      <c r="D363" s="73"/>
      <c r="E363" s="73"/>
      <c r="F363" s="72"/>
    </row>
    <row r="364" ht="14.25" customHeight="1">
      <c r="A364" s="73"/>
      <c r="B364" s="73"/>
      <c r="C364" s="73"/>
      <c r="D364" s="73"/>
      <c r="E364" s="73"/>
      <c r="F364" s="72"/>
    </row>
    <row r="365" ht="14.25" customHeight="1">
      <c r="A365" s="73"/>
      <c r="B365" s="73"/>
      <c r="C365" s="73"/>
      <c r="D365" s="73"/>
      <c r="E365" s="73"/>
      <c r="F365" s="72"/>
    </row>
    <row r="366" ht="14.25" customHeight="1">
      <c r="A366" s="73"/>
      <c r="B366" s="73"/>
      <c r="C366" s="73"/>
      <c r="D366" s="73"/>
      <c r="E366" s="73"/>
      <c r="F366" s="72"/>
    </row>
    <row r="367" ht="14.25" customHeight="1">
      <c r="A367" s="73"/>
      <c r="B367" s="73"/>
      <c r="C367" s="73"/>
      <c r="D367" s="73"/>
      <c r="E367" s="73"/>
      <c r="F367" s="72"/>
    </row>
    <row r="368" ht="14.25" customHeight="1">
      <c r="A368" s="73"/>
      <c r="B368" s="73"/>
      <c r="C368" s="73"/>
      <c r="D368" s="73"/>
      <c r="E368" s="73"/>
      <c r="F368" s="72"/>
    </row>
    <row r="369" ht="14.25" customHeight="1">
      <c r="A369" s="73"/>
      <c r="B369" s="73"/>
      <c r="C369" s="73"/>
      <c r="D369" s="73"/>
      <c r="E369" s="73"/>
      <c r="F369" s="72"/>
    </row>
    <row r="370" ht="14.25" customHeight="1">
      <c r="A370" s="73"/>
      <c r="B370" s="73"/>
      <c r="C370" s="73"/>
      <c r="D370" s="73"/>
      <c r="E370" s="73"/>
      <c r="F370" s="72"/>
    </row>
    <row r="371" ht="14.25" customHeight="1">
      <c r="A371" s="73"/>
      <c r="B371" s="73"/>
      <c r="C371" s="73"/>
      <c r="D371" s="73"/>
      <c r="E371" s="73"/>
      <c r="F371" s="72"/>
    </row>
    <row r="372" ht="14.25" customHeight="1">
      <c r="A372" s="73"/>
      <c r="B372" s="73"/>
      <c r="C372" s="73"/>
      <c r="D372" s="73"/>
      <c r="E372" s="73"/>
      <c r="F372" s="72"/>
    </row>
    <row r="373" ht="14.25" customHeight="1">
      <c r="A373" s="73"/>
      <c r="B373" s="73"/>
      <c r="C373" s="73"/>
      <c r="D373" s="73"/>
      <c r="E373" s="73"/>
      <c r="F373" s="72"/>
    </row>
    <row r="374" ht="14.25" customHeight="1">
      <c r="A374" s="73"/>
      <c r="B374" s="73"/>
      <c r="C374" s="73"/>
      <c r="D374" s="73"/>
      <c r="E374" s="73"/>
      <c r="F374" s="72"/>
    </row>
    <row r="375" ht="14.25" customHeight="1">
      <c r="A375" s="73"/>
      <c r="B375" s="73"/>
      <c r="C375" s="73"/>
      <c r="D375" s="73"/>
      <c r="E375" s="73"/>
      <c r="F375" s="72"/>
    </row>
    <row r="376" ht="14.25" customHeight="1">
      <c r="A376" s="73"/>
      <c r="B376" s="73"/>
      <c r="C376" s="73"/>
      <c r="D376" s="73"/>
      <c r="E376" s="73"/>
      <c r="F376" s="72"/>
    </row>
    <row r="377" ht="14.25" customHeight="1">
      <c r="A377" s="73"/>
      <c r="B377" s="73"/>
      <c r="C377" s="73"/>
      <c r="D377" s="73"/>
      <c r="E377" s="73"/>
      <c r="F377" s="72"/>
    </row>
    <row r="378" ht="14.25" customHeight="1">
      <c r="A378" s="73"/>
      <c r="B378" s="73"/>
      <c r="C378" s="73"/>
      <c r="D378" s="73"/>
      <c r="E378" s="73"/>
      <c r="F378" s="72"/>
    </row>
    <row r="379" ht="14.25" customHeight="1">
      <c r="A379" s="73"/>
      <c r="B379" s="73"/>
      <c r="C379" s="73"/>
      <c r="D379" s="73"/>
      <c r="E379" s="73"/>
      <c r="F379" s="72"/>
    </row>
    <row r="380" ht="14.25" customHeight="1">
      <c r="A380" s="73"/>
      <c r="B380" s="73"/>
      <c r="C380" s="73"/>
      <c r="D380" s="73"/>
      <c r="E380" s="73"/>
      <c r="F380" s="72"/>
    </row>
    <row r="381" ht="14.25" customHeight="1">
      <c r="A381" s="73"/>
      <c r="B381" s="73"/>
      <c r="C381" s="73"/>
      <c r="D381" s="73"/>
      <c r="E381" s="73"/>
      <c r="F381" s="72"/>
    </row>
    <row r="382" ht="14.25" customHeight="1">
      <c r="A382" s="73"/>
      <c r="B382" s="73"/>
      <c r="C382" s="73"/>
      <c r="D382" s="73"/>
      <c r="E382" s="73"/>
      <c r="F382" s="72"/>
    </row>
    <row r="383" ht="14.25" customHeight="1">
      <c r="A383" s="73"/>
      <c r="B383" s="73"/>
      <c r="C383" s="73"/>
      <c r="D383" s="73"/>
      <c r="E383" s="73"/>
      <c r="F383" s="72"/>
    </row>
    <row r="384" ht="14.25" customHeight="1">
      <c r="A384" s="73"/>
      <c r="B384" s="73"/>
      <c r="C384" s="73"/>
      <c r="D384" s="73"/>
      <c r="E384" s="73"/>
      <c r="F384" s="72"/>
    </row>
    <row r="385" ht="14.25" customHeight="1">
      <c r="A385" s="73"/>
      <c r="B385" s="73"/>
      <c r="C385" s="73"/>
      <c r="D385" s="73"/>
      <c r="E385" s="73"/>
      <c r="F385" s="72"/>
    </row>
    <row r="386" ht="14.25" customHeight="1">
      <c r="A386" s="73"/>
      <c r="B386" s="73"/>
      <c r="C386" s="73"/>
      <c r="D386" s="73"/>
      <c r="E386" s="73"/>
      <c r="F386" s="72"/>
    </row>
    <row r="387" ht="14.25" customHeight="1">
      <c r="A387" s="73"/>
      <c r="B387" s="73"/>
      <c r="C387" s="73"/>
      <c r="D387" s="73"/>
      <c r="E387" s="73"/>
      <c r="F387" s="72"/>
    </row>
    <row r="388" ht="14.25" customHeight="1">
      <c r="A388" s="73"/>
      <c r="B388" s="73"/>
      <c r="C388" s="73"/>
      <c r="D388" s="73"/>
      <c r="E388" s="73"/>
      <c r="F388" s="72"/>
    </row>
    <row r="389" ht="14.25" customHeight="1">
      <c r="A389" s="73"/>
      <c r="B389" s="73"/>
      <c r="C389" s="73"/>
      <c r="D389" s="73"/>
      <c r="E389" s="73"/>
      <c r="F389" s="72"/>
    </row>
    <row r="390" ht="14.25" customHeight="1">
      <c r="A390" s="73"/>
      <c r="B390" s="73"/>
      <c r="C390" s="73"/>
      <c r="D390" s="73"/>
      <c r="E390" s="73"/>
      <c r="F390" s="72"/>
    </row>
    <row r="391" ht="14.25" customHeight="1">
      <c r="A391" s="73"/>
      <c r="B391" s="73"/>
      <c r="C391" s="73"/>
      <c r="D391" s="73"/>
      <c r="E391" s="73"/>
      <c r="F391" s="72"/>
    </row>
    <row r="392" ht="14.25" customHeight="1">
      <c r="A392" s="73"/>
      <c r="B392" s="73"/>
      <c r="C392" s="73"/>
      <c r="D392" s="73"/>
      <c r="E392" s="73"/>
      <c r="F392" s="72"/>
    </row>
    <row r="393" ht="14.25" customHeight="1">
      <c r="A393" s="73"/>
      <c r="B393" s="73"/>
      <c r="C393" s="73"/>
      <c r="D393" s="73"/>
      <c r="E393" s="73"/>
      <c r="F393" s="72"/>
    </row>
    <row r="394" ht="14.25" customHeight="1">
      <c r="A394" s="73"/>
      <c r="B394" s="73"/>
      <c r="C394" s="73"/>
      <c r="D394" s="73"/>
      <c r="E394" s="73"/>
      <c r="F394" s="72"/>
    </row>
    <row r="395" ht="14.25" customHeight="1">
      <c r="A395" s="73"/>
      <c r="B395" s="73"/>
      <c r="C395" s="73"/>
      <c r="D395" s="73"/>
      <c r="E395" s="73"/>
      <c r="F395" s="72"/>
    </row>
    <row r="396" ht="14.25" customHeight="1">
      <c r="A396" s="73"/>
      <c r="B396" s="73"/>
      <c r="C396" s="73"/>
      <c r="D396" s="73"/>
      <c r="E396" s="73"/>
      <c r="F396" s="72"/>
    </row>
    <row r="397" ht="14.25" customHeight="1">
      <c r="A397" s="73"/>
      <c r="B397" s="73"/>
      <c r="C397" s="73"/>
      <c r="D397" s="73"/>
      <c r="E397" s="73"/>
      <c r="F397" s="72"/>
    </row>
    <row r="398" ht="14.25" customHeight="1">
      <c r="A398" s="73"/>
      <c r="B398" s="73"/>
      <c r="C398" s="73"/>
      <c r="D398" s="73"/>
      <c r="E398" s="73"/>
      <c r="F398" s="72"/>
    </row>
    <row r="399" ht="14.25" customHeight="1">
      <c r="A399" s="73"/>
      <c r="B399" s="73"/>
      <c r="C399" s="73"/>
      <c r="D399" s="73"/>
      <c r="E399" s="73"/>
      <c r="F399" s="72"/>
    </row>
    <row r="400" ht="14.25" customHeight="1">
      <c r="A400" s="73"/>
      <c r="B400" s="73"/>
      <c r="C400" s="73"/>
      <c r="D400" s="73"/>
      <c r="E400" s="73"/>
      <c r="F400" s="72"/>
    </row>
    <row r="401" ht="14.25" customHeight="1">
      <c r="A401" s="73"/>
      <c r="B401" s="73"/>
      <c r="C401" s="73"/>
      <c r="D401" s="73"/>
      <c r="E401" s="73"/>
      <c r="F401" s="72"/>
    </row>
    <row r="402" ht="14.25" customHeight="1">
      <c r="A402" s="73"/>
      <c r="B402" s="73"/>
      <c r="C402" s="73"/>
      <c r="D402" s="73"/>
      <c r="E402" s="73"/>
      <c r="F402" s="72"/>
    </row>
    <row r="403" ht="14.25" customHeight="1">
      <c r="A403" s="73"/>
      <c r="B403" s="73"/>
      <c r="C403" s="73"/>
      <c r="D403" s="73"/>
      <c r="E403" s="73"/>
      <c r="F403" s="72"/>
    </row>
    <row r="404" ht="14.25" customHeight="1">
      <c r="A404" s="73"/>
      <c r="B404" s="73"/>
      <c r="C404" s="73"/>
      <c r="D404" s="73"/>
      <c r="E404" s="73"/>
      <c r="F404" s="72"/>
    </row>
    <row r="405" ht="14.25" customHeight="1">
      <c r="A405" s="73"/>
      <c r="B405" s="73"/>
      <c r="C405" s="73"/>
      <c r="D405" s="73"/>
      <c r="E405" s="73"/>
      <c r="F405" s="72"/>
    </row>
    <row r="406" ht="14.25" customHeight="1">
      <c r="A406" s="73"/>
      <c r="B406" s="73"/>
      <c r="C406" s="73"/>
      <c r="D406" s="73"/>
      <c r="E406" s="73"/>
      <c r="F406" s="72"/>
    </row>
    <row r="407" ht="14.25" customHeight="1">
      <c r="A407" s="73"/>
      <c r="B407" s="73"/>
      <c r="C407" s="73"/>
      <c r="D407" s="73"/>
      <c r="E407" s="73"/>
      <c r="F407" s="72"/>
    </row>
    <row r="408" ht="14.25" customHeight="1">
      <c r="A408" s="73"/>
      <c r="B408" s="73"/>
      <c r="C408" s="73"/>
      <c r="D408" s="73"/>
      <c r="E408" s="73"/>
      <c r="F408" s="72"/>
    </row>
    <row r="409" ht="14.25" customHeight="1">
      <c r="A409" s="73"/>
      <c r="B409" s="73"/>
      <c r="C409" s="73"/>
      <c r="D409" s="73"/>
      <c r="E409" s="73"/>
      <c r="F409" s="72"/>
    </row>
    <row r="410" ht="14.25" customHeight="1">
      <c r="A410" s="73"/>
      <c r="B410" s="73"/>
      <c r="C410" s="73"/>
      <c r="D410" s="73"/>
      <c r="E410" s="73"/>
      <c r="F410" s="72"/>
    </row>
    <row r="411" ht="14.25" customHeight="1">
      <c r="A411" s="73"/>
      <c r="B411" s="73"/>
      <c r="C411" s="73"/>
      <c r="D411" s="73"/>
      <c r="E411" s="73"/>
      <c r="F411" s="72"/>
    </row>
    <row r="412" ht="14.25" customHeight="1">
      <c r="A412" s="73"/>
      <c r="B412" s="73"/>
      <c r="C412" s="73"/>
      <c r="D412" s="73"/>
      <c r="E412" s="73"/>
      <c r="F412" s="72"/>
    </row>
    <row r="413" ht="14.25" customHeight="1">
      <c r="A413" s="73"/>
      <c r="B413" s="73"/>
      <c r="C413" s="73"/>
      <c r="D413" s="73"/>
      <c r="E413" s="73"/>
      <c r="F413" s="72"/>
    </row>
    <row r="414" ht="14.25" customHeight="1">
      <c r="A414" s="73"/>
      <c r="B414" s="73"/>
      <c r="C414" s="73"/>
      <c r="D414" s="73"/>
      <c r="E414" s="73"/>
      <c r="F414" s="72"/>
    </row>
    <row r="415" ht="14.25" customHeight="1">
      <c r="A415" s="73"/>
      <c r="B415" s="73"/>
      <c r="C415" s="73"/>
      <c r="D415" s="73"/>
      <c r="E415" s="73"/>
      <c r="F415" s="72"/>
    </row>
    <row r="416" ht="14.25" customHeight="1">
      <c r="A416" s="73"/>
      <c r="B416" s="73"/>
      <c r="C416" s="73"/>
      <c r="D416" s="73"/>
      <c r="E416" s="73"/>
      <c r="F416" s="72"/>
    </row>
    <row r="417" ht="14.25" customHeight="1">
      <c r="A417" s="73"/>
      <c r="B417" s="73"/>
      <c r="C417" s="73"/>
      <c r="D417" s="73"/>
      <c r="E417" s="73"/>
      <c r="F417" s="72"/>
    </row>
    <row r="418" ht="14.25" customHeight="1">
      <c r="A418" s="73"/>
      <c r="B418" s="73"/>
      <c r="C418" s="73"/>
      <c r="D418" s="73"/>
      <c r="E418" s="73"/>
      <c r="F418" s="72"/>
    </row>
    <row r="419" ht="14.25" customHeight="1">
      <c r="A419" s="73"/>
      <c r="B419" s="73"/>
      <c r="C419" s="73"/>
      <c r="D419" s="73"/>
      <c r="E419" s="73"/>
      <c r="F419" s="72"/>
    </row>
    <row r="420" ht="14.25" customHeight="1">
      <c r="A420" s="73"/>
      <c r="B420" s="73"/>
      <c r="C420" s="73"/>
      <c r="D420" s="73"/>
      <c r="E420" s="73"/>
      <c r="F420" s="72"/>
    </row>
    <row r="421" ht="14.25" customHeight="1">
      <c r="A421" s="73"/>
      <c r="B421" s="73"/>
      <c r="C421" s="73"/>
      <c r="D421" s="73"/>
      <c r="E421" s="73"/>
      <c r="F421" s="72"/>
    </row>
    <row r="422" ht="14.25" customHeight="1">
      <c r="A422" s="73"/>
      <c r="B422" s="73"/>
      <c r="C422" s="73"/>
      <c r="D422" s="73"/>
      <c r="E422" s="73"/>
      <c r="F422" s="72"/>
    </row>
    <row r="423" ht="14.25" customHeight="1">
      <c r="A423" s="73"/>
      <c r="B423" s="73"/>
      <c r="C423" s="73"/>
      <c r="D423" s="73"/>
      <c r="E423" s="73"/>
      <c r="F423" s="72"/>
    </row>
    <row r="424" ht="14.25" customHeight="1">
      <c r="A424" s="73"/>
      <c r="B424" s="73"/>
      <c r="C424" s="73"/>
      <c r="D424" s="73"/>
      <c r="E424" s="73"/>
      <c r="F424" s="72"/>
    </row>
    <row r="425" ht="14.25" customHeight="1">
      <c r="A425" s="73"/>
      <c r="B425" s="73"/>
      <c r="C425" s="73"/>
      <c r="D425" s="73"/>
      <c r="E425" s="73"/>
      <c r="F425" s="72"/>
    </row>
    <row r="426" ht="14.25" customHeight="1">
      <c r="A426" s="73"/>
      <c r="B426" s="73"/>
      <c r="C426" s="73"/>
      <c r="D426" s="73"/>
      <c r="E426" s="73"/>
      <c r="F426" s="72"/>
    </row>
    <row r="427" ht="14.25" customHeight="1">
      <c r="A427" s="73"/>
      <c r="B427" s="73"/>
      <c r="C427" s="73"/>
      <c r="D427" s="73"/>
      <c r="E427" s="73"/>
      <c r="F427" s="72"/>
    </row>
    <row r="428" ht="14.25" customHeight="1">
      <c r="A428" s="73"/>
      <c r="B428" s="73"/>
      <c r="C428" s="73"/>
      <c r="D428" s="73"/>
      <c r="E428" s="73"/>
      <c r="F428" s="72"/>
    </row>
    <row r="429" ht="14.25" customHeight="1">
      <c r="A429" s="73"/>
      <c r="B429" s="73"/>
      <c r="C429" s="73"/>
      <c r="D429" s="73"/>
      <c r="E429" s="73"/>
      <c r="F429" s="72"/>
    </row>
    <row r="430" ht="14.25" customHeight="1">
      <c r="A430" s="73"/>
      <c r="B430" s="73"/>
      <c r="C430" s="73"/>
      <c r="D430" s="73"/>
      <c r="E430" s="73"/>
      <c r="F430" s="72"/>
    </row>
    <row r="431" ht="14.25" customHeight="1">
      <c r="A431" s="73"/>
      <c r="B431" s="73"/>
      <c r="C431" s="73"/>
      <c r="D431" s="73"/>
      <c r="E431" s="73"/>
      <c r="F431" s="72"/>
    </row>
    <row r="432" ht="14.25" customHeight="1">
      <c r="A432" s="73"/>
      <c r="B432" s="73"/>
      <c r="C432" s="73"/>
      <c r="D432" s="73"/>
      <c r="E432" s="73"/>
      <c r="F432" s="72"/>
    </row>
    <row r="433" ht="14.25" customHeight="1">
      <c r="A433" s="73"/>
      <c r="B433" s="73"/>
      <c r="C433" s="73"/>
      <c r="D433" s="73"/>
      <c r="E433" s="73"/>
      <c r="F433" s="72"/>
    </row>
    <row r="434" ht="14.25" customHeight="1">
      <c r="A434" s="73"/>
      <c r="B434" s="73"/>
      <c r="C434" s="73"/>
      <c r="D434" s="73"/>
      <c r="E434" s="73"/>
      <c r="F434" s="72"/>
    </row>
    <row r="435" ht="14.25" customHeight="1">
      <c r="A435" s="73"/>
      <c r="B435" s="73"/>
      <c r="C435" s="73"/>
      <c r="D435" s="73"/>
      <c r="E435" s="73"/>
      <c r="F435" s="72"/>
    </row>
    <row r="436" ht="14.25" customHeight="1">
      <c r="A436" s="73"/>
      <c r="B436" s="73"/>
      <c r="C436" s="73"/>
      <c r="D436" s="73"/>
      <c r="E436" s="73"/>
      <c r="F436" s="72"/>
    </row>
    <row r="437" ht="14.25" customHeight="1">
      <c r="A437" s="73"/>
      <c r="B437" s="73"/>
      <c r="C437" s="73"/>
      <c r="D437" s="73"/>
      <c r="E437" s="73"/>
      <c r="F437" s="72"/>
    </row>
    <row r="438" ht="14.25" customHeight="1">
      <c r="A438" s="73"/>
      <c r="B438" s="73"/>
      <c r="C438" s="73"/>
      <c r="D438" s="73"/>
      <c r="E438" s="73"/>
      <c r="F438" s="72"/>
    </row>
    <row r="439" ht="14.25" customHeight="1">
      <c r="A439" s="73"/>
      <c r="B439" s="73"/>
      <c r="C439" s="73"/>
      <c r="D439" s="73"/>
      <c r="E439" s="73"/>
      <c r="F439" s="72"/>
    </row>
    <row r="440" ht="14.25" customHeight="1">
      <c r="A440" s="73"/>
      <c r="B440" s="73"/>
      <c r="C440" s="73"/>
      <c r="D440" s="73"/>
      <c r="E440" s="73"/>
      <c r="F440" s="72"/>
    </row>
    <row r="441" ht="14.25" customHeight="1">
      <c r="A441" s="73"/>
      <c r="B441" s="73"/>
      <c r="C441" s="73"/>
      <c r="D441" s="73"/>
      <c r="E441" s="73"/>
      <c r="F441" s="72"/>
    </row>
    <row r="442" ht="14.25" customHeight="1">
      <c r="A442" s="73"/>
      <c r="B442" s="73"/>
      <c r="C442" s="73"/>
      <c r="D442" s="73"/>
      <c r="E442" s="73"/>
      <c r="F442" s="72"/>
    </row>
    <row r="443" ht="14.25" customHeight="1">
      <c r="A443" s="73"/>
      <c r="B443" s="73"/>
      <c r="C443" s="73"/>
      <c r="D443" s="73"/>
      <c r="E443" s="73"/>
      <c r="F443" s="72"/>
    </row>
    <row r="444" ht="14.25" customHeight="1">
      <c r="A444" s="73"/>
      <c r="B444" s="73"/>
      <c r="C444" s="73"/>
      <c r="D444" s="73"/>
      <c r="E444" s="73"/>
      <c r="F444" s="72"/>
    </row>
    <row r="445" ht="14.25" customHeight="1">
      <c r="A445" s="73"/>
      <c r="B445" s="73"/>
      <c r="C445" s="73"/>
      <c r="D445" s="73"/>
      <c r="E445" s="73"/>
      <c r="F445" s="72"/>
    </row>
    <row r="446" ht="14.25" customHeight="1">
      <c r="A446" s="73"/>
      <c r="B446" s="73"/>
      <c r="C446" s="73"/>
      <c r="D446" s="73"/>
      <c r="E446" s="73"/>
      <c r="F446" s="72"/>
    </row>
    <row r="447" ht="14.25" customHeight="1">
      <c r="A447" s="73"/>
      <c r="B447" s="73"/>
      <c r="C447" s="73"/>
      <c r="D447" s="73"/>
      <c r="E447" s="73"/>
      <c r="F447" s="72"/>
    </row>
    <row r="448" ht="14.25" customHeight="1">
      <c r="A448" s="73"/>
      <c r="B448" s="73"/>
      <c r="C448" s="73"/>
      <c r="D448" s="73"/>
      <c r="E448" s="73"/>
      <c r="F448" s="72"/>
    </row>
    <row r="449" ht="14.25" customHeight="1">
      <c r="A449" s="73"/>
      <c r="B449" s="73"/>
      <c r="C449" s="73"/>
      <c r="D449" s="73"/>
      <c r="E449" s="73"/>
      <c r="F449" s="72"/>
    </row>
    <row r="450" ht="14.25" customHeight="1">
      <c r="A450" s="73"/>
      <c r="B450" s="73"/>
      <c r="C450" s="73"/>
      <c r="D450" s="73"/>
      <c r="E450" s="73"/>
      <c r="F450" s="72"/>
    </row>
    <row r="451" ht="14.25" customHeight="1">
      <c r="A451" s="73"/>
      <c r="B451" s="73"/>
      <c r="C451" s="73"/>
      <c r="D451" s="73"/>
      <c r="E451" s="73"/>
      <c r="F451" s="72"/>
    </row>
    <row r="452" ht="14.25" customHeight="1">
      <c r="A452" s="73"/>
      <c r="B452" s="73"/>
      <c r="C452" s="73"/>
      <c r="D452" s="73"/>
      <c r="E452" s="73"/>
      <c r="F452" s="72"/>
    </row>
    <row r="453" ht="14.25" customHeight="1">
      <c r="A453" s="73"/>
      <c r="B453" s="73"/>
      <c r="C453" s="73"/>
      <c r="D453" s="73"/>
      <c r="E453" s="73"/>
      <c r="F453" s="72"/>
    </row>
    <row r="454" ht="14.25" customHeight="1">
      <c r="A454" s="73"/>
      <c r="B454" s="73"/>
      <c r="C454" s="73"/>
      <c r="D454" s="73"/>
      <c r="E454" s="73"/>
      <c r="F454" s="72"/>
    </row>
    <row r="455" ht="14.25" customHeight="1">
      <c r="A455" s="73"/>
      <c r="B455" s="73"/>
      <c r="C455" s="73"/>
      <c r="D455" s="73"/>
      <c r="E455" s="73"/>
      <c r="F455" s="72"/>
    </row>
    <row r="456" ht="14.25" customHeight="1">
      <c r="A456" s="73"/>
      <c r="B456" s="73"/>
      <c r="C456" s="73"/>
      <c r="D456" s="73"/>
      <c r="E456" s="73"/>
      <c r="F456" s="72"/>
    </row>
    <row r="457" ht="14.25" customHeight="1">
      <c r="A457" s="73"/>
      <c r="B457" s="73"/>
      <c r="C457" s="73"/>
      <c r="D457" s="73"/>
      <c r="E457" s="73"/>
      <c r="F457" s="72"/>
    </row>
    <row r="458" ht="14.25" customHeight="1">
      <c r="A458" s="73"/>
      <c r="B458" s="73"/>
      <c r="C458" s="73"/>
      <c r="D458" s="73"/>
      <c r="E458" s="73"/>
      <c r="F458" s="72"/>
    </row>
    <row r="459" ht="14.25" customHeight="1">
      <c r="A459" s="73"/>
      <c r="B459" s="73"/>
      <c r="C459" s="73"/>
      <c r="D459" s="73"/>
      <c r="E459" s="73"/>
      <c r="F459" s="72"/>
    </row>
    <row r="460" ht="14.25" customHeight="1">
      <c r="A460" s="73"/>
      <c r="B460" s="73"/>
      <c r="C460" s="73"/>
      <c r="D460" s="73"/>
      <c r="E460" s="73"/>
      <c r="F460" s="72"/>
    </row>
    <row r="461" ht="14.25" customHeight="1">
      <c r="A461" s="73"/>
      <c r="B461" s="73"/>
      <c r="C461" s="73"/>
      <c r="D461" s="73"/>
      <c r="E461" s="73"/>
      <c r="F461" s="72"/>
    </row>
    <row r="462" ht="14.25" customHeight="1">
      <c r="A462" s="73"/>
      <c r="B462" s="73"/>
      <c r="C462" s="73"/>
      <c r="D462" s="73"/>
      <c r="E462" s="73"/>
      <c r="F462" s="72"/>
    </row>
    <row r="463" ht="14.25" customHeight="1">
      <c r="A463" s="73"/>
      <c r="B463" s="73"/>
      <c r="C463" s="73"/>
      <c r="D463" s="73"/>
      <c r="E463" s="73"/>
      <c r="F463" s="72"/>
    </row>
    <row r="464" ht="14.25" customHeight="1">
      <c r="A464" s="73"/>
      <c r="B464" s="73"/>
      <c r="C464" s="73"/>
      <c r="D464" s="73"/>
      <c r="E464" s="73"/>
      <c r="F464" s="72"/>
    </row>
    <row r="465" ht="14.25" customHeight="1">
      <c r="A465" s="73"/>
      <c r="B465" s="73"/>
      <c r="C465" s="73"/>
      <c r="D465" s="73"/>
      <c r="E465" s="73"/>
      <c r="F465" s="72"/>
    </row>
    <row r="466" ht="14.25" customHeight="1">
      <c r="A466" s="73"/>
      <c r="B466" s="73"/>
      <c r="C466" s="73"/>
      <c r="D466" s="73"/>
      <c r="E466" s="73"/>
      <c r="F466" s="72"/>
    </row>
    <row r="467" ht="14.25" customHeight="1">
      <c r="A467" s="73"/>
      <c r="B467" s="73"/>
      <c r="C467" s="73"/>
      <c r="D467" s="73"/>
      <c r="E467" s="73"/>
      <c r="F467" s="72"/>
    </row>
    <row r="468" ht="14.25" customHeight="1">
      <c r="A468" s="73"/>
      <c r="B468" s="73"/>
      <c r="C468" s="73"/>
      <c r="D468" s="73"/>
      <c r="E468" s="73"/>
      <c r="F468" s="72"/>
    </row>
    <row r="469" ht="14.25" customHeight="1">
      <c r="A469" s="73"/>
      <c r="B469" s="73"/>
      <c r="C469" s="73"/>
      <c r="D469" s="73"/>
      <c r="E469" s="73"/>
      <c r="F469" s="72"/>
    </row>
    <row r="470" ht="14.25" customHeight="1">
      <c r="A470" s="73"/>
      <c r="B470" s="73"/>
      <c r="C470" s="73"/>
      <c r="D470" s="73"/>
      <c r="E470" s="73"/>
      <c r="F470" s="72"/>
    </row>
    <row r="471" ht="14.25" customHeight="1">
      <c r="A471" s="73"/>
      <c r="B471" s="73"/>
      <c r="C471" s="73"/>
      <c r="D471" s="73"/>
      <c r="E471" s="73"/>
      <c r="F471" s="72"/>
    </row>
    <row r="472" ht="14.25" customHeight="1">
      <c r="A472" s="73"/>
      <c r="B472" s="73"/>
      <c r="C472" s="73"/>
      <c r="D472" s="73"/>
      <c r="E472" s="73"/>
      <c r="F472" s="72"/>
    </row>
    <row r="473" ht="14.25" customHeight="1">
      <c r="A473" s="73"/>
      <c r="B473" s="73"/>
      <c r="C473" s="73"/>
      <c r="D473" s="73"/>
      <c r="E473" s="73"/>
      <c r="F473" s="72"/>
    </row>
    <row r="474" ht="14.25" customHeight="1">
      <c r="A474" s="73"/>
      <c r="B474" s="73"/>
      <c r="C474" s="73"/>
      <c r="D474" s="73"/>
      <c r="E474" s="73"/>
      <c r="F474" s="72"/>
    </row>
    <row r="475" ht="14.25" customHeight="1">
      <c r="A475" s="73"/>
      <c r="B475" s="73"/>
      <c r="C475" s="73"/>
      <c r="D475" s="73"/>
      <c r="E475" s="73"/>
      <c r="F475" s="72"/>
    </row>
    <row r="476" ht="14.25" customHeight="1">
      <c r="A476" s="73"/>
      <c r="B476" s="73"/>
      <c r="C476" s="73"/>
      <c r="D476" s="73"/>
      <c r="E476" s="73"/>
      <c r="F476" s="72"/>
    </row>
    <row r="477" ht="14.25" customHeight="1">
      <c r="A477" s="73"/>
      <c r="B477" s="73"/>
      <c r="C477" s="73"/>
      <c r="D477" s="73"/>
      <c r="E477" s="73"/>
      <c r="F477" s="72"/>
    </row>
    <row r="478" ht="14.25" customHeight="1">
      <c r="A478" s="73"/>
      <c r="B478" s="73"/>
      <c r="C478" s="73"/>
      <c r="D478" s="73"/>
      <c r="E478" s="73"/>
      <c r="F478" s="72"/>
    </row>
    <row r="479" ht="14.25" customHeight="1">
      <c r="A479" s="73"/>
      <c r="B479" s="73"/>
      <c r="C479" s="73"/>
      <c r="D479" s="73"/>
      <c r="E479" s="73"/>
      <c r="F479" s="72"/>
    </row>
    <row r="480" ht="14.25" customHeight="1">
      <c r="A480" s="73"/>
      <c r="B480" s="73"/>
      <c r="C480" s="73"/>
      <c r="D480" s="73"/>
      <c r="E480" s="73"/>
      <c r="F480" s="72"/>
    </row>
    <row r="481" ht="14.25" customHeight="1">
      <c r="A481" s="73"/>
      <c r="B481" s="73"/>
      <c r="C481" s="73"/>
      <c r="D481" s="73"/>
      <c r="E481" s="73"/>
      <c r="F481" s="72"/>
    </row>
    <row r="482" ht="14.25" customHeight="1">
      <c r="A482" s="73"/>
      <c r="B482" s="73"/>
      <c r="C482" s="73"/>
      <c r="D482" s="73"/>
      <c r="E482" s="73"/>
      <c r="F482" s="72"/>
    </row>
    <row r="483" ht="14.25" customHeight="1">
      <c r="A483" s="73"/>
      <c r="B483" s="73"/>
      <c r="C483" s="73"/>
      <c r="D483" s="73"/>
      <c r="E483" s="73"/>
      <c r="F483" s="72"/>
    </row>
    <row r="484" ht="14.25" customHeight="1">
      <c r="A484" s="73"/>
      <c r="B484" s="73"/>
      <c r="C484" s="73"/>
      <c r="D484" s="73"/>
      <c r="E484" s="73"/>
      <c r="F484" s="72"/>
    </row>
    <row r="485" ht="14.25" customHeight="1">
      <c r="A485" s="73"/>
      <c r="B485" s="73"/>
      <c r="C485" s="73"/>
      <c r="D485" s="73"/>
      <c r="E485" s="73"/>
      <c r="F485" s="72"/>
    </row>
    <row r="486" ht="14.25" customHeight="1">
      <c r="A486" s="73"/>
      <c r="B486" s="73"/>
      <c r="C486" s="73"/>
      <c r="D486" s="73"/>
      <c r="E486" s="73"/>
      <c r="F486" s="72"/>
    </row>
    <row r="487" ht="14.25" customHeight="1">
      <c r="A487" s="73"/>
      <c r="B487" s="73"/>
      <c r="C487" s="73"/>
      <c r="D487" s="73"/>
      <c r="E487" s="73"/>
      <c r="F487" s="72"/>
    </row>
    <row r="488" ht="14.25" customHeight="1">
      <c r="A488" s="73"/>
      <c r="B488" s="73"/>
      <c r="C488" s="73"/>
      <c r="D488" s="73"/>
      <c r="E488" s="73"/>
      <c r="F488" s="72"/>
    </row>
    <row r="489" ht="14.25" customHeight="1">
      <c r="A489" s="73"/>
      <c r="B489" s="73"/>
      <c r="C489" s="73"/>
      <c r="D489" s="73"/>
      <c r="E489" s="73"/>
      <c r="F489" s="72"/>
    </row>
    <row r="490" ht="14.25" customHeight="1">
      <c r="A490" s="73"/>
      <c r="B490" s="73"/>
      <c r="C490" s="73"/>
      <c r="D490" s="73"/>
      <c r="E490" s="73"/>
      <c r="F490" s="72"/>
    </row>
    <row r="491" ht="14.25" customHeight="1">
      <c r="A491" s="73"/>
      <c r="B491" s="73"/>
      <c r="C491" s="73"/>
      <c r="D491" s="73"/>
      <c r="E491" s="73"/>
      <c r="F491" s="72"/>
    </row>
    <row r="492" ht="14.25" customHeight="1">
      <c r="A492" s="73"/>
      <c r="B492" s="73"/>
      <c r="C492" s="73"/>
      <c r="D492" s="73"/>
      <c r="E492" s="73"/>
      <c r="F492" s="72"/>
    </row>
    <row r="493" ht="14.25" customHeight="1">
      <c r="A493" s="73"/>
      <c r="B493" s="73"/>
      <c r="C493" s="73"/>
      <c r="D493" s="73"/>
      <c r="E493" s="73"/>
      <c r="F493" s="72"/>
    </row>
    <row r="494" ht="14.25" customHeight="1">
      <c r="A494" s="73"/>
      <c r="B494" s="73"/>
      <c r="C494" s="73"/>
      <c r="D494" s="73"/>
      <c r="E494" s="73"/>
      <c r="F494" s="72"/>
    </row>
    <row r="495" ht="14.25" customHeight="1">
      <c r="A495" s="73"/>
      <c r="B495" s="73"/>
      <c r="C495" s="73"/>
      <c r="D495" s="73"/>
      <c r="E495" s="73"/>
      <c r="F495" s="72"/>
    </row>
    <row r="496" ht="14.25" customHeight="1">
      <c r="A496" s="73"/>
      <c r="B496" s="73"/>
      <c r="C496" s="73"/>
      <c r="D496" s="73"/>
      <c r="E496" s="73"/>
      <c r="F496" s="72"/>
    </row>
    <row r="497" ht="14.25" customHeight="1">
      <c r="A497" s="73"/>
      <c r="B497" s="73"/>
      <c r="C497" s="73"/>
      <c r="D497" s="73"/>
      <c r="E497" s="73"/>
      <c r="F497" s="72"/>
    </row>
    <row r="498" ht="14.25" customHeight="1">
      <c r="A498" s="73"/>
      <c r="B498" s="73"/>
      <c r="C498" s="73"/>
      <c r="D498" s="73"/>
      <c r="E498" s="73"/>
      <c r="F498" s="72"/>
    </row>
    <row r="499" ht="14.25" customHeight="1">
      <c r="A499" s="73"/>
      <c r="B499" s="73"/>
      <c r="C499" s="73"/>
      <c r="D499" s="73"/>
      <c r="E499" s="73"/>
      <c r="F499" s="72"/>
    </row>
    <row r="500" ht="14.25" customHeight="1">
      <c r="A500" s="73"/>
      <c r="B500" s="73"/>
      <c r="C500" s="73"/>
      <c r="D500" s="73"/>
      <c r="E500" s="73"/>
      <c r="F500" s="72"/>
    </row>
    <row r="501" ht="14.25" customHeight="1">
      <c r="A501" s="73"/>
      <c r="B501" s="73"/>
      <c r="C501" s="73"/>
      <c r="D501" s="73"/>
      <c r="E501" s="73"/>
      <c r="F501" s="72"/>
    </row>
    <row r="502" ht="14.25" customHeight="1">
      <c r="A502" s="73"/>
      <c r="B502" s="73"/>
      <c r="C502" s="73"/>
      <c r="D502" s="73"/>
      <c r="E502" s="73"/>
      <c r="F502" s="72"/>
    </row>
    <row r="503" ht="14.25" customHeight="1">
      <c r="A503" s="73"/>
      <c r="B503" s="73"/>
      <c r="C503" s="73"/>
      <c r="D503" s="73"/>
      <c r="E503" s="73"/>
      <c r="F503" s="72"/>
    </row>
    <row r="504" ht="14.25" customHeight="1">
      <c r="A504" s="73"/>
      <c r="B504" s="73"/>
      <c r="C504" s="73"/>
      <c r="D504" s="73"/>
      <c r="E504" s="73"/>
      <c r="F504" s="72"/>
    </row>
    <row r="505" ht="14.25" customHeight="1">
      <c r="A505" s="73"/>
      <c r="B505" s="73"/>
      <c r="C505" s="73"/>
      <c r="D505" s="73"/>
      <c r="E505" s="73"/>
      <c r="F505" s="72"/>
    </row>
    <row r="506" ht="14.25" customHeight="1">
      <c r="A506" s="73"/>
      <c r="B506" s="73"/>
      <c r="C506" s="73"/>
      <c r="D506" s="73"/>
      <c r="E506" s="73"/>
      <c r="F506" s="72"/>
    </row>
    <row r="507" ht="14.25" customHeight="1">
      <c r="A507" s="73"/>
      <c r="B507" s="73"/>
      <c r="C507" s="73"/>
      <c r="D507" s="73"/>
      <c r="E507" s="73"/>
      <c r="F507" s="72"/>
    </row>
    <row r="508" ht="14.25" customHeight="1">
      <c r="A508" s="73"/>
      <c r="B508" s="73"/>
      <c r="C508" s="73"/>
      <c r="D508" s="73"/>
      <c r="E508" s="73"/>
      <c r="F508" s="72"/>
    </row>
    <row r="509" ht="14.25" customHeight="1">
      <c r="A509" s="73"/>
      <c r="B509" s="73"/>
      <c r="C509" s="73"/>
      <c r="D509" s="73"/>
      <c r="E509" s="73"/>
      <c r="F509" s="72"/>
    </row>
    <row r="510" ht="14.25" customHeight="1">
      <c r="A510" s="73"/>
      <c r="B510" s="73"/>
      <c r="C510" s="73"/>
      <c r="D510" s="73"/>
      <c r="E510" s="73"/>
      <c r="F510" s="72"/>
    </row>
    <row r="511" ht="14.25" customHeight="1">
      <c r="A511" s="73"/>
      <c r="B511" s="73"/>
      <c r="C511" s="73"/>
      <c r="D511" s="73"/>
      <c r="E511" s="73"/>
      <c r="F511" s="72"/>
    </row>
    <row r="512" ht="14.25" customHeight="1">
      <c r="A512" s="73"/>
      <c r="B512" s="73"/>
      <c r="C512" s="73"/>
      <c r="D512" s="73"/>
      <c r="E512" s="73"/>
      <c r="F512" s="72"/>
    </row>
    <row r="513" ht="14.25" customHeight="1">
      <c r="A513" s="73"/>
      <c r="B513" s="73"/>
      <c r="C513" s="73"/>
      <c r="D513" s="73"/>
      <c r="E513" s="73"/>
      <c r="F513" s="72"/>
    </row>
    <row r="514" ht="14.25" customHeight="1">
      <c r="A514" s="73"/>
      <c r="B514" s="73"/>
      <c r="C514" s="73"/>
      <c r="D514" s="73"/>
      <c r="E514" s="73"/>
      <c r="F514" s="72"/>
    </row>
    <row r="515" ht="14.25" customHeight="1">
      <c r="A515" s="73"/>
      <c r="B515" s="73"/>
      <c r="C515" s="73"/>
      <c r="D515" s="73"/>
      <c r="E515" s="73"/>
      <c r="F515" s="72"/>
    </row>
    <row r="516" ht="14.25" customHeight="1">
      <c r="A516" s="73"/>
      <c r="B516" s="73"/>
      <c r="C516" s="73"/>
      <c r="D516" s="73"/>
      <c r="E516" s="73"/>
      <c r="F516" s="72"/>
    </row>
    <row r="517" ht="14.25" customHeight="1">
      <c r="A517" s="73"/>
      <c r="B517" s="73"/>
      <c r="C517" s="73"/>
      <c r="D517" s="73"/>
      <c r="E517" s="73"/>
      <c r="F517" s="72"/>
    </row>
    <row r="518" ht="14.25" customHeight="1">
      <c r="A518" s="73"/>
      <c r="B518" s="73"/>
      <c r="C518" s="73"/>
      <c r="D518" s="73"/>
      <c r="E518" s="73"/>
      <c r="F518" s="72"/>
    </row>
    <row r="519" ht="14.25" customHeight="1">
      <c r="A519" s="73"/>
      <c r="B519" s="73"/>
      <c r="C519" s="73"/>
      <c r="D519" s="73"/>
      <c r="E519" s="73"/>
      <c r="F519" s="72"/>
    </row>
    <row r="520" ht="14.25" customHeight="1">
      <c r="A520" s="73"/>
      <c r="B520" s="73"/>
      <c r="C520" s="73"/>
      <c r="D520" s="73"/>
      <c r="E520" s="73"/>
      <c r="F520" s="72"/>
    </row>
    <row r="521" ht="14.25" customHeight="1">
      <c r="A521" s="73"/>
      <c r="B521" s="73"/>
      <c r="C521" s="73"/>
      <c r="D521" s="73"/>
      <c r="E521" s="73"/>
      <c r="F521" s="72"/>
    </row>
    <row r="522" ht="14.25" customHeight="1">
      <c r="A522" s="73"/>
      <c r="B522" s="73"/>
      <c r="C522" s="73"/>
      <c r="D522" s="73"/>
      <c r="E522" s="73"/>
      <c r="F522" s="72"/>
    </row>
    <row r="523" ht="14.25" customHeight="1">
      <c r="A523" s="73"/>
      <c r="B523" s="73"/>
      <c r="C523" s="73"/>
      <c r="D523" s="73"/>
      <c r="E523" s="73"/>
      <c r="F523" s="72"/>
    </row>
    <row r="524" ht="14.25" customHeight="1">
      <c r="A524" s="73"/>
      <c r="B524" s="73"/>
      <c r="C524" s="73"/>
      <c r="D524" s="73"/>
      <c r="E524" s="73"/>
      <c r="F524" s="72"/>
    </row>
    <row r="525" ht="14.25" customHeight="1">
      <c r="A525" s="73"/>
      <c r="B525" s="73"/>
      <c r="C525" s="73"/>
      <c r="D525" s="73"/>
      <c r="E525" s="73"/>
      <c r="F525" s="72"/>
    </row>
    <row r="526" ht="14.25" customHeight="1">
      <c r="A526" s="73"/>
      <c r="B526" s="73"/>
      <c r="C526" s="73"/>
      <c r="D526" s="73"/>
      <c r="E526" s="73"/>
      <c r="F526" s="72"/>
    </row>
    <row r="527" ht="14.25" customHeight="1">
      <c r="A527" s="73"/>
      <c r="B527" s="73"/>
      <c r="C527" s="73"/>
      <c r="D527" s="73"/>
      <c r="E527" s="73"/>
      <c r="F527" s="72"/>
    </row>
    <row r="528" ht="14.25" customHeight="1">
      <c r="A528" s="73"/>
      <c r="B528" s="73"/>
      <c r="C528" s="73"/>
      <c r="D528" s="73"/>
      <c r="E528" s="73"/>
      <c r="F528" s="72"/>
    </row>
    <row r="529" ht="14.25" customHeight="1">
      <c r="A529" s="73"/>
      <c r="B529" s="73"/>
      <c r="C529" s="73"/>
      <c r="D529" s="73"/>
      <c r="E529" s="73"/>
      <c r="F529" s="72"/>
    </row>
    <row r="530" ht="14.25" customHeight="1">
      <c r="A530" s="73"/>
      <c r="B530" s="73"/>
      <c r="C530" s="73"/>
      <c r="D530" s="73"/>
      <c r="E530" s="73"/>
      <c r="F530" s="72"/>
    </row>
    <row r="531" ht="14.25" customHeight="1">
      <c r="A531" s="73"/>
      <c r="B531" s="73"/>
      <c r="C531" s="73"/>
      <c r="D531" s="73"/>
      <c r="E531" s="73"/>
      <c r="F531" s="72"/>
    </row>
    <row r="532" ht="14.25" customHeight="1">
      <c r="A532" s="73"/>
      <c r="B532" s="73"/>
      <c r="C532" s="73"/>
      <c r="D532" s="73"/>
      <c r="E532" s="73"/>
      <c r="F532" s="72"/>
    </row>
    <row r="533" ht="14.25" customHeight="1">
      <c r="A533" s="73"/>
      <c r="B533" s="73"/>
      <c r="C533" s="73"/>
      <c r="D533" s="73"/>
      <c r="E533" s="73"/>
      <c r="F533" s="72"/>
    </row>
    <row r="534" ht="14.25" customHeight="1">
      <c r="A534" s="73"/>
      <c r="B534" s="73"/>
      <c r="C534" s="73"/>
      <c r="D534" s="73"/>
      <c r="E534" s="73"/>
      <c r="F534" s="72"/>
    </row>
    <row r="535" ht="14.25" customHeight="1">
      <c r="A535" s="73"/>
      <c r="B535" s="73"/>
      <c r="C535" s="73"/>
      <c r="D535" s="73"/>
      <c r="E535" s="73"/>
      <c r="F535" s="72"/>
    </row>
    <row r="536" ht="14.25" customHeight="1">
      <c r="A536" s="73"/>
      <c r="B536" s="73"/>
      <c r="C536" s="73"/>
      <c r="D536" s="73"/>
      <c r="E536" s="73"/>
      <c r="F536" s="72"/>
    </row>
    <row r="537" ht="14.25" customHeight="1">
      <c r="A537" s="73"/>
      <c r="B537" s="73"/>
      <c r="C537" s="73"/>
      <c r="D537" s="73"/>
      <c r="E537" s="73"/>
      <c r="F537" s="72"/>
    </row>
    <row r="538" ht="14.25" customHeight="1">
      <c r="A538" s="73"/>
      <c r="B538" s="73"/>
      <c r="C538" s="73"/>
      <c r="D538" s="73"/>
      <c r="E538" s="73"/>
      <c r="F538" s="72"/>
    </row>
    <row r="539" ht="14.25" customHeight="1">
      <c r="A539" s="73"/>
      <c r="B539" s="73"/>
      <c r="C539" s="73"/>
      <c r="D539" s="73"/>
      <c r="E539" s="73"/>
      <c r="F539" s="72"/>
    </row>
    <row r="540" ht="14.25" customHeight="1">
      <c r="A540" s="73"/>
      <c r="B540" s="73"/>
      <c r="C540" s="73"/>
      <c r="D540" s="73"/>
      <c r="E540" s="73"/>
      <c r="F540" s="72"/>
    </row>
    <row r="541" ht="14.25" customHeight="1">
      <c r="A541" s="73"/>
      <c r="B541" s="73"/>
      <c r="C541" s="73"/>
      <c r="D541" s="73"/>
      <c r="E541" s="73"/>
      <c r="F541" s="72"/>
    </row>
    <row r="542" ht="14.25" customHeight="1">
      <c r="A542" s="73"/>
      <c r="B542" s="73"/>
      <c r="C542" s="73"/>
      <c r="D542" s="73"/>
      <c r="E542" s="73"/>
      <c r="F542" s="72"/>
    </row>
    <row r="543" ht="14.25" customHeight="1">
      <c r="A543" s="73"/>
      <c r="B543" s="73"/>
      <c r="C543" s="73"/>
      <c r="D543" s="73"/>
      <c r="E543" s="73"/>
      <c r="F543" s="72"/>
    </row>
    <row r="544" ht="14.25" customHeight="1">
      <c r="A544" s="73"/>
      <c r="B544" s="73"/>
      <c r="C544" s="73"/>
      <c r="D544" s="73"/>
      <c r="E544" s="73"/>
      <c r="F544" s="72"/>
    </row>
    <row r="545" ht="14.25" customHeight="1">
      <c r="A545" s="73"/>
      <c r="B545" s="73"/>
      <c r="C545" s="73"/>
      <c r="D545" s="73"/>
      <c r="E545" s="73"/>
      <c r="F545" s="72"/>
    </row>
    <row r="546" ht="14.25" customHeight="1">
      <c r="A546" s="73"/>
      <c r="B546" s="73"/>
      <c r="C546" s="73"/>
      <c r="D546" s="73"/>
      <c r="E546" s="73"/>
      <c r="F546" s="72"/>
    </row>
    <row r="547" ht="14.25" customHeight="1">
      <c r="A547" s="73"/>
      <c r="B547" s="73"/>
      <c r="C547" s="73"/>
      <c r="D547" s="73"/>
      <c r="E547" s="73"/>
      <c r="F547" s="72"/>
    </row>
    <row r="548" ht="14.25" customHeight="1">
      <c r="A548" s="73"/>
      <c r="B548" s="73"/>
      <c r="C548" s="73"/>
      <c r="D548" s="73"/>
      <c r="E548" s="73"/>
      <c r="F548" s="72"/>
    </row>
    <row r="549" ht="14.25" customHeight="1">
      <c r="A549" s="73"/>
      <c r="B549" s="73"/>
      <c r="C549" s="73"/>
      <c r="D549" s="73"/>
      <c r="E549" s="73"/>
      <c r="F549" s="72"/>
    </row>
    <row r="550" ht="14.25" customHeight="1">
      <c r="A550" s="73"/>
      <c r="B550" s="73"/>
      <c r="C550" s="73"/>
      <c r="D550" s="73"/>
      <c r="E550" s="73"/>
      <c r="F550" s="72"/>
    </row>
    <row r="551" ht="14.25" customHeight="1">
      <c r="A551" s="73"/>
      <c r="B551" s="73"/>
      <c r="C551" s="73"/>
      <c r="D551" s="73"/>
      <c r="E551" s="73"/>
      <c r="F551" s="72"/>
    </row>
    <row r="552" ht="14.25" customHeight="1">
      <c r="A552" s="73"/>
      <c r="B552" s="73"/>
      <c r="C552" s="73"/>
      <c r="D552" s="73"/>
      <c r="E552" s="73"/>
      <c r="F552" s="72"/>
    </row>
    <row r="553" ht="14.25" customHeight="1">
      <c r="A553" s="73"/>
      <c r="B553" s="73"/>
      <c r="C553" s="73"/>
      <c r="D553" s="73"/>
      <c r="E553" s="73"/>
      <c r="F553" s="72"/>
    </row>
    <row r="554" ht="14.25" customHeight="1">
      <c r="A554" s="73"/>
      <c r="B554" s="73"/>
      <c r="C554" s="73"/>
      <c r="D554" s="73"/>
      <c r="E554" s="73"/>
      <c r="F554" s="72"/>
    </row>
    <row r="555" ht="14.25" customHeight="1">
      <c r="A555" s="73"/>
      <c r="B555" s="73"/>
      <c r="C555" s="73"/>
      <c r="D555" s="73"/>
      <c r="E555" s="73"/>
      <c r="F555" s="72"/>
    </row>
    <row r="556" ht="14.25" customHeight="1">
      <c r="A556" s="73"/>
      <c r="B556" s="73"/>
      <c r="C556" s="73"/>
      <c r="D556" s="73"/>
      <c r="E556" s="73"/>
      <c r="F556" s="72"/>
    </row>
    <row r="557" ht="14.25" customHeight="1">
      <c r="A557" s="73"/>
      <c r="B557" s="73"/>
      <c r="C557" s="73"/>
      <c r="D557" s="73"/>
      <c r="E557" s="73"/>
      <c r="F557" s="72"/>
    </row>
    <row r="558" ht="14.25" customHeight="1">
      <c r="A558" s="73"/>
      <c r="B558" s="73"/>
      <c r="C558" s="73"/>
      <c r="D558" s="73"/>
      <c r="E558" s="73"/>
      <c r="F558" s="72"/>
    </row>
    <row r="559" ht="14.25" customHeight="1">
      <c r="A559" s="73"/>
      <c r="B559" s="73"/>
      <c r="C559" s="73"/>
      <c r="D559" s="73"/>
      <c r="E559" s="73"/>
      <c r="F559" s="72"/>
    </row>
    <row r="560" ht="14.25" customHeight="1">
      <c r="A560" s="73"/>
      <c r="B560" s="73"/>
      <c r="C560" s="73"/>
      <c r="D560" s="73"/>
      <c r="E560" s="73"/>
      <c r="F560" s="72"/>
    </row>
    <row r="561" ht="14.25" customHeight="1">
      <c r="A561" s="73"/>
      <c r="B561" s="73"/>
      <c r="C561" s="73"/>
      <c r="D561" s="73"/>
      <c r="E561" s="73"/>
      <c r="F561" s="72"/>
    </row>
    <row r="562" ht="14.25" customHeight="1">
      <c r="A562" s="73"/>
      <c r="B562" s="73"/>
      <c r="C562" s="73"/>
      <c r="D562" s="73"/>
      <c r="E562" s="73"/>
      <c r="F562" s="72"/>
    </row>
    <row r="563" ht="14.25" customHeight="1">
      <c r="A563" s="73"/>
      <c r="B563" s="73"/>
      <c r="C563" s="73"/>
      <c r="D563" s="73"/>
      <c r="E563" s="73"/>
      <c r="F563" s="72"/>
    </row>
    <row r="564" ht="14.25" customHeight="1">
      <c r="A564" s="73"/>
      <c r="B564" s="73"/>
      <c r="C564" s="73"/>
      <c r="D564" s="73"/>
      <c r="E564" s="73"/>
      <c r="F564" s="72"/>
    </row>
    <row r="565" ht="14.25" customHeight="1">
      <c r="A565" s="73"/>
      <c r="B565" s="73"/>
      <c r="C565" s="73"/>
      <c r="D565" s="73"/>
      <c r="E565" s="73"/>
      <c r="F565" s="72"/>
    </row>
    <row r="566" ht="14.25" customHeight="1">
      <c r="A566" s="73"/>
      <c r="B566" s="73"/>
      <c r="C566" s="73"/>
      <c r="D566" s="73"/>
      <c r="E566" s="73"/>
      <c r="F566" s="72"/>
    </row>
    <row r="567" ht="14.25" customHeight="1">
      <c r="A567" s="73"/>
      <c r="B567" s="73"/>
      <c r="C567" s="73"/>
      <c r="D567" s="73"/>
      <c r="E567" s="73"/>
      <c r="F567" s="72"/>
    </row>
    <row r="568" ht="14.25" customHeight="1">
      <c r="A568" s="73"/>
      <c r="B568" s="73"/>
      <c r="C568" s="73"/>
      <c r="D568" s="73"/>
      <c r="E568" s="73"/>
      <c r="F568" s="72"/>
    </row>
    <row r="569" ht="14.25" customHeight="1">
      <c r="A569" s="73"/>
      <c r="B569" s="73"/>
      <c r="C569" s="73"/>
      <c r="D569" s="73"/>
      <c r="E569" s="73"/>
      <c r="F569" s="72"/>
    </row>
    <row r="570" ht="14.25" customHeight="1">
      <c r="A570" s="73"/>
      <c r="B570" s="73"/>
      <c r="C570" s="73"/>
      <c r="D570" s="73"/>
      <c r="E570" s="73"/>
      <c r="F570" s="72"/>
    </row>
    <row r="571" ht="14.25" customHeight="1">
      <c r="A571" s="73"/>
      <c r="B571" s="73"/>
      <c r="C571" s="73"/>
      <c r="D571" s="73"/>
      <c r="E571" s="73"/>
      <c r="F571" s="72"/>
    </row>
    <row r="572" ht="14.25" customHeight="1">
      <c r="A572" s="73"/>
      <c r="B572" s="73"/>
      <c r="C572" s="73"/>
      <c r="D572" s="73"/>
      <c r="E572" s="73"/>
      <c r="F572" s="72"/>
    </row>
    <row r="573" ht="14.25" customHeight="1">
      <c r="A573" s="73"/>
      <c r="B573" s="73"/>
      <c r="C573" s="73"/>
      <c r="D573" s="73"/>
      <c r="E573" s="73"/>
      <c r="F573" s="72"/>
    </row>
    <row r="574" ht="14.25" customHeight="1">
      <c r="A574" s="73"/>
      <c r="B574" s="73"/>
      <c r="C574" s="73"/>
      <c r="D574" s="73"/>
      <c r="E574" s="73"/>
      <c r="F574" s="72"/>
    </row>
    <row r="575" ht="14.25" customHeight="1">
      <c r="A575" s="73"/>
      <c r="B575" s="73"/>
      <c r="C575" s="73"/>
      <c r="D575" s="73"/>
      <c r="E575" s="73"/>
      <c r="F575" s="72"/>
    </row>
    <row r="576" ht="14.25" customHeight="1">
      <c r="A576" s="73"/>
      <c r="B576" s="73"/>
      <c r="C576" s="73"/>
      <c r="D576" s="73"/>
      <c r="E576" s="73"/>
      <c r="F576" s="72"/>
    </row>
    <row r="577" ht="14.25" customHeight="1">
      <c r="A577" s="73"/>
      <c r="B577" s="73"/>
      <c r="C577" s="73"/>
      <c r="D577" s="73"/>
      <c r="E577" s="73"/>
      <c r="F577" s="72"/>
    </row>
    <row r="578" ht="14.25" customHeight="1">
      <c r="A578" s="73"/>
      <c r="B578" s="73"/>
      <c r="C578" s="73"/>
      <c r="D578" s="73"/>
      <c r="E578" s="73"/>
      <c r="F578" s="72"/>
    </row>
    <row r="579" ht="14.25" customHeight="1">
      <c r="A579" s="73"/>
      <c r="B579" s="73"/>
      <c r="C579" s="73"/>
      <c r="D579" s="73"/>
      <c r="E579" s="73"/>
      <c r="F579" s="72"/>
    </row>
    <row r="580" ht="14.25" customHeight="1">
      <c r="A580" s="73"/>
      <c r="B580" s="73"/>
      <c r="C580" s="73"/>
      <c r="D580" s="73"/>
      <c r="E580" s="73"/>
      <c r="F580" s="72"/>
    </row>
    <row r="581" ht="14.25" customHeight="1">
      <c r="A581" s="73"/>
      <c r="B581" s="73"/>
      <c r="C581" s="73"/>
      <c r="D581" s="73"/>
      <c r="E581" s="73"/>
      <c r="F581" s="72"/>
    </row>
    <row r="582" ht="14.25" customHeight="1">
      <c r="A582" s="73"/>
      <c r="B582" s="73"/>
      <c r="C582" s="73"/>
      <c r="D582" s="73"/>
      <c r="E582" s="73"/>
      <c r="F582" s="72"/>
    </row>
    <row r="583" ht="14.25" customHeight="1">
      <c r="A583" s="73"/>
      <c r="B583" s="73"/>
      <c r="C583" s="73"/>
      <c r="D583" s="73"/>
      <c r="E583" s="73"/>
      <c r="F583" s="72"/>
    </row>
    <row r="584" ht="14.25" customHeight="1">
      <c r="A584" s="73"/>
      <c r="B584" s="73"/>
      <c r="C584" s="73"/>
      <c r="D584" s="73"/>
      <c r="E584" s="73"/>
      <c r="F584" s="72"/>
    </row>
    <row r="585" ht="14.25" customHeight="1">
      <c r="A585" s="73"/>
      <c r="B585" s="73"/>
      <c r="C585" s="73"/>
      <c r="D585" s="73"/>
      <c r="E585" s="73"/>
      <c r="F585" s="72"/>
    </row>
    <row r="586" ht="14.25" customHeight="1">
      <c r="A586" s="73"/>
      <c r="B586" s="73"/>
      <c r="C586" s="73"/>
      <c r="D586" s="73"/>
      <c r="E586" s="73"/>
      <c r="F586" s="72"/>
    </row>
    <row r="587" ht="14.25" customHeight="1">
      <c r="A587" s="73"/>
      <c r="B587" s="73"/>
      <c r="C587" s="73"/>
      <c r="D587" s="73"/>
      <c r="E587" s="73"/>
      <c r="F587" s="72"/>
    </row>
    <row r="588" ht="14.25" customHeight="1">
      <c r="A588" s="73"/>
      <c r="B588" s="73"/>
      <c r="C588" s="73"/>
      <c r="D588" s="73"/>
      <c r="E588" s="73"/>
      <c r="F588" s="72"/>
    </row>
    <row r="589" ht="14.25" customHeight="1">
      <c r="A589" s="73"/>
      <c r="B589" s="73"/>
      <c r="C589" s="73"/>
      <c r="D589" s="73"/>
      <c r="E589" s="73"/>
      <c r="F589" s="72"/>
    </row>
    <row r="590" ht="14.25" customHeight="1">
      <c r="A590" s="73"/>
      <c r="B590" s="73"/>
      <c r="C590" s="73"/>
      <c r="D590" s="73"/>
      <c r="E590" s="73"/>
      <c r="F590" s="72"/>
    </row>
    <row r="591" ht="14.25" customHeight="1">
      <c r="A591" s="73"/>
      <c r="B591" s="73"/>
      <c r="C591" s="73"/>
      <c r="D591" s="73"/>
      <c r="E591" s="73"/>
      <c r="F591" s="72"/>
    </row>
    <row r="592" ht="14.25" customHeight="1">
      <c r="A592" s="73"/>
      <c r="B592" s="73"/>
      <c r="C592" s="73"/>
      <c r="D592" s="73"/>
      <c r="E592" s="73"/>
      <c r="F592" s="72"/>
    </row>
    <row r="593" ht="14.25" customHeight="1">
      <c r="A593" s="73"/>
      <c r="B593" s="73"/>
      <c r="C593" s="73"/>
      <c r="D593" s="73"/>
      <c r="E593" s="73"/>
      <c r="F593" s="72"/>
    </row>
    <row r="594" ht="14.25" customHeight="1">
      <c r="A594" s="73"/>
      <c r="B594" s="73"/>
      <c r="C594" s="73"/>
      <c r="D594" s="73"/>
      <c r="E594" s="73"/>
      <c r="F594" s="72"/>
    </row>
    <row r="595" ht="14.25" customHeight="1">
      <c r="A595" s="73"/>
      <c r="B595" s="73"/>
      <c r="C595" s="73"/>
      <c r="D595" s="73"/>
      <c r="E595" s="73"/>
      <c r="F595" s="72"/>
    </row>
    <row r="596" ht="14.25" customHeight="1">
      <c r="A596" s="73"/>
      <c r="B596" s="73"/>
      <c r="C596" s="73"/>
      <c r="D596" s="73"/>
      <c r="E596" s="73"/>
      <c r="F596" s="72"/>
    </row>
    <row r="597" ht="14.25" customHeight="1">
      <c r="A597" s="73"/>
      <c r="B597" s="73"/>
      <c r="C597" s="73"/>
      <c r="D597" s="73"/>
      <c r="E597" s="73"/>
      <c r="F597" s="72"/>
    </row>
    <row r="598" ht="14.25" customHeight="1">
      <c r="A598" s="73"/>
      <c r="B598" s="73"/>
      <c r="C598" s="73"/>
      <c r="D598" s="73"/>
      <c r="E598" s="73"/>
      <c r="F598" s="72"/>
    </row>
    <row r="599" ht="14.25" customHeight="1">
      <c r="A599" s="73"/>
      <c r="B599" s="73"/>
      <c r="C599" s="73"/>
      <c r="D599" s="73"/>
      <c r="E599" s="73"/>
      <c r="F599" s="72"/>
    </row>
    <row r="600" ht="14.25" customHeight="1">
      <c r="A600" s="73"/>
      <c r="B600" s="73"/>
      <c r="C600" s="73"/>
      <c r="D600" s="73"/>
      <c r="E600" s="73"/>
      <c r="F600" s="72"/>
    </row>
    <row r="601" ht="14.25" customHeight="1">
      <c r="A601" s="73"/>
      <c r="B601" s="73"/>
      <c r="C601" s="73"/>
      <c r="D601" s="73"/>
      <c r="E601" s="73"/>
      <c r="F601" s="72"/>
    </row>
    <row r="602" ht="14.25" customHeight="1">
      <c r="A602" s="73"/>
      <c r="B602" s="73"/>
      <c r="C602" s="73"/>
      <c r="D602" s="73"/>
      <c r="E602" s="73"/>
      <c r="F602" s="72"/>
    </row>
    <row r="603" ht="14.25" customHeight="1">
      <c r="A603" s="73"/>
      <c r="B603" s="73"/>
      <c r="C603" s="73"/>
      <c r="D603" s="73"/>
      <c r="E603" s="73"/>
      <c r="F603" s="72"/>
    </row>
    <row r="604" ht="14.25" customHeight="1">
      <c r="A604" s="73"/>
      <c r="B604" s="73"/>
      <c r="C604" s="73"/>
      <c r="D604" s="73"/>
      <c r="E604" s="73"/>
      <c r="F604" s="72"/>
    </row>
    <row r="605" ht="14.25" customHeight="1">
      <c r="A605" s="73"/>
      <c r="B605" s="73"/>
      <c r="C605" s="73"/>
      <c r="D605" s="73"/>
      <c r="E605" s="73"/>
      <c r="F605" s="72"/>
    </row>
    <row r="606" ht="14.25" customHeight="1">
      <c r="A606" s="73"/>
      <c r="B606" s="73"/>
      <c r="C606" s="73"/>
      <c r="D606" s="73"/>
      <c r="E606" s="73"/>
      <c r="F606" s="72"/>
    </row>
    <row r="607" ht="14.25" customHeight="1">
      <c r="A607" s="73"/>
      <c r="B607" s="73"/>
      <c r="C607" s="73"/>
      <c r="D607" s="73"/>
      <c r="E607" s="73"/>
      <c r="F607" s="72"/>
    </row>
    <row r="608" ht="14.25" customHeight="1">
      <c r="A608" s="73"/>
      <c r="B608" s="73"/>
      <c r="C608" s="73"/>
      <c r="D608" s="73"/>
      <c r="E608" s="73"/>
      <c r="F608" s="72"/>
    </row>
    <row r="609" ht="14.25" customHeight="1">
      <c r="A609" s="73"/>
      <c r="B609" s="73"/>
      <c r="C609" s="73"/>
      <c r="D609" s="73"/>
      <c r="E609" s="73"/>
      <c r="F609" s="72"/>
    </row>
    <row r="610" ht="14.25" customHeight="1">
      <c r="A610" s="73"/>
      <c r="B610" s="73"/>
      <c r="C610" s="73"/>
      <c r="D610" s="73"/>
      <c r="E610" s="73"/>
      <c r="F610" s="72"/>
    </row>
    <row r="611" ht="14.25" customHeight="1">
      <c r="A611" s="73"/>
      <c r="B611" s="73"/>
      <c r="C611" s="73"/>
      <c r="D611" s="73"/>
      <c r="E611" s="73"/>
      <c r="F611" s="72"/>
    </row>
    <row r="612" ht="14.25" customHeight="1">
      <c r="A612" s="73"/>
      <c r="B612" s="73"/>
      <c r="C612" s="73"/>
      <c r="D612" s="73"/>
      <c r="E612" s="73"/>
      <c r="F612" s="72"/>
    </row>
    <row r="613" ht="14.25" customHeight="1">
      <c r="A613" s="73"/>
      <c r="B613" s="73"/>
      <c r="C613" s="73"/>
      <c r="D613" s="73"/>
      <c r="E613" s="73"/>
      <c r="F613" s="72"/>
    </row>
    <row r="614" ht="14.25" customHeight="1">
      <c r="A614" s="73"/>
      <c r="B614" s="73"/>
      <c r="C614" s="73"/>
      <c r="D614" s="73"/>
      <c r="E614" s="73"/>
      <c r="F614" s="72"/>
    </row>
    <row r="615" ht="14.25" customHeight="1">
      <c r="A615" s="73"/>
      <c r="B615" s="73"/>
      <c r="C615" s="73"/>
      <c r="D615" s="73"/>
      <c r="E615" s="73"/>
      <c r="F615" s="72"/>
    </row>
    <row r="616" ht="14.25" customHeight="1">
      <c r="A616" s="73"/>
      <c r="B616" s="73"/>
      <c r="C616" s="73"/>
      <c r="D616" s="73"/>
      <c r="E616" s="73"/>
      <c r="F616" s="72"/>
    </row>
    <row r="617" ht="14.25" customHeight="1">
      <c r="A617" s="73"/>
      <c r="B617" s="73"/>
      <c r="C617" s="73"/>
      <c r="D617" s="73"/>
      <c r="E617" s="73"/>
      <c r="F617" s="72"/>
    </row>
    <row r="618" ht="14.25" customHeight="1">
      <c r="A618" s="73"/>
      <c r="B618" s="73"/>
      <c r="C618" s="73"/>
      <c r="D618" s="73"/>
      <c r="E618" s="73"/>
      <c r="F618" s="72"/>
    </row>
    <row r="619" ht="14.25" customHeight="1">
      <c r="A619" s="73"/>
      <c r="B619" s="73"/>
      <c r="C619" s="73"/>
      <c r="D619" s="73"/>
      <c r="E619" s="73"/>
      <c r="F619" s="72"/>
    </row>
    <row r="620" ht="14.25" customHeight="1">
      <c r="A620" s="73"/>
      <c r="B620" s="73"/>
      <c r="C620" s="73"/>
      <c r="D620" s="73"/>
      <c r="E620" s="73"/>
      <c r="F620" s="72"/>
    </row>
    <row r="621" ht="14.25" customHeight="1">
      <c r="A621" s="73"/>
      <c r="B621" s="73"/>
      <c r="C621" s="73"/>
      <c r="D621" s="73"/>
      <c r="E621" s="73"/>
      <c r="F621" s="72"/>
    </row>
    <row r="622" ht="14.25" customHeight="1">
      <c r="A622" s="73"/>
      <c r="B622" s="73"/>
      <c r="C622" s="73"/>
      <c r="D622" s="73"/>
      <c r="E622" s="73"/>
      <c r="F622" s="72"/>
    </row>
    <row r="623" ht="14.25" customHeight="1">
      <c r="A623" s="73"/>
      <c r="B623" s="73"/>
      <c r="C623" s="73"/>
      <c r="D623" s="73"/>
      <c r="E623" s="73"/>
      <c r="F623" s="72"/>
    </row>
    <row r="624" ht="14.25" customHeight="1">
      <c r="A624" s="73"/>
      <c r="B624" s="73"/>
      <c r="C624" s="73"/>
      <c r="D624" s="73"/>
      <c r="E624" s="73"/>
      <c r="F624" s="72"/>
    </row>
    <row r="625" ht="14.25" customHeight="1">
      <c r="A625" s="73"/>
      <c r="B625" s="73"/>
      <c r="C625" s="73"/>
      <c r="D625" s="73"/>
      <c r="E625" s="73"/>
      <c r="F625" s="72"/>
    </row>
    <row r="626" ht="14.25" customHeight="1">
      <c r="A626" s="73"/>
      <c r="B626" s="73"/>
      <c r="C626" s="73"/>
      <c r="D626" s="73"/>
      <c r="E626" s="73"/>
      <c r="F626" s="72"/>
    </row>
    <row r="627" ht="14.25" customHeight="1">
      <c r="A627" s="73"/>
      <c r="B627" s="73"/>
      <c r="C627" s="73"/>
      <c r="D627" s="73"/>
      <c r="E627" s="73"/>
      <c r="F627" s="72"/>
    </row>
    <row r="628" ht="14.25" customHeight="1">
      <c r="A628" s="73"/>
      <c r="B628" s="73"/>
      <c r="C628" s="73"/>
      <c r="D628" s="73"/>
      <c r="E628" s="73"/>
      <c r="F628" s="72"/>
    </row>
    <row r="629" ht="14.25" customHeight="1">
      <c r="A629" s="73"/>
      <c r="B629" s="73"/>
      <c r="C629" s="73"/>
      <c r="D629" s="73"/>
      <c r="E629" s="73"/>
      <c r="F629" s="72"/>
    </row>
    <row r="630" ht="14.25" customHeight="1">
      <c r="A630" s="73"/>
      <c r="B630" s="73"/>
      <c r="C630" s="73"/>
      <c r="D630" s="73"/>
      <c r="E630" s="73"/>
      <c r="F630" s="72"/>
    </row>
    <row r="631" ht="14.25" customHeight="1">
      <c r="A631" s="73"/>
      <c r="B631" s="73"/>
      <c r="C631" s="73"/>
      <c r="D631" s="73"/>
      <c r="E631" s="73"/>
      <c r="F631" s="72"/>
    </row>
    <row r="632" ht="14.25" customHeight="1">
      <c r="A632" s="73"/>
      <c r="B632" s="73"/>
      <c r="C632" s="73"/>
      <c r="D632" s="73"/>
      <c r="E632" s="73"/>
      <c r="F632" s="72"/>
    </row>
    <row r="633" ht="14.25" customHeight="1">
      <c r="A633" s="73"/>
      <c r="B633" s="73"/>
      <c r="C633" s="73"/>
      <c r="D633" s="73"/>
      <c r="E633" s="73"/>
      <c r="F633" s="72"/>
    </row>
    <row r="634" ht="14.25" customHeight="1">
      <c r="A634" s="73"/>
      <c r="B634" s="73"/>
      <c r="C634" s="73"/>
      <c r="D634" s="73"/>
      <c r="E634" s="73"/>
      <c r="F634" s="72"/>
    </row>
    <row r="635" ht="14.25" customHeight="1">
      <c r="A635" s="73"/>
      <c r="B635" s="73"/>
      <c r="C635" s="73"/>
      <c r="D635" s="73"/>
      <c r="E635" s="73"/>
      <c r="F635" s="72"/>
    </row>
    <row r="636" ht="14.25" customHeight="1">
      <c r="A636" s="73"/>
      <c r="B636" s="73"/>
      <c r="C636" s="73"/>
      <c r="D636" s="73"/>
      <c r="E636" s="73"/>
      <c r="F636" s="72"/>
    </row>
    <row r="637" ht="14.25" customHeight="1">
      <c r="A637" s="73"/>
      <c r="B637" s="73"/>
      <c r="C637" s="73"/>
      <c r="D637" s="73"/>
      <c r="E637" s="73"/>
      <c r="F637" s="72"/>
    </row>
    <row r="638" ht="14.25" customHeight="1">
      <c r="A638" s="73"/>
      <c r="B638" s="73"/>
      <c r="C638" s="73"/>
      <c r="D638" s="73"/>
      <c r="E638" s="73"/>
      <c r="F638" s="72"/>
    </row>
    <row r="639" ht="14.25" customHeight="1">
      <c r="A639" s="73"/>
      <c r="B639" s="73"/>
      <c r="C639" s="73"/>
      <c r="D639" s="73"/>
      <c r="E639" s="73"/>
      <c r="F639" s="72"/>
    </row>
    <row r="640" ht="14.25" customHeight="1">
      <c r="A640" s="73"/>
      <c r="B640" s="73"/>
      <c r="C640" s="73"/>
      <c r="D640" s="73"/>
      <c r="E640" s="73"/>
      <c r="F640" s="72"/>
    </row>
    <row r="641" ht="14.25" customHeight="1">
      <c r="A641" s="73"/>
      <c r="B641" s="73"/>
      <c r="C641" s="73"/>
      <c r="D641" s="73"/>
      <c r="E641" s="73"/>
      <c r="F641" s="72"/>
    </row>
    <row r="642" ht="14.25" customHeight="1">
      <c r="A642" s="73"/>
      <c r="B642" s="73"/>
      <c r="C642" s="73"/>
      <c r="D642" s="73"/>
      <c r="E642" s="73"/>
      <c r="F642" s="72"/>
    </row>
    <row r="643" ht="14.25" customHeight="1">
      <c r="A643" s="73"/>
      <c r="B643" s="73"/>
      <c r="C643" s="73"/>
      <c r="D643" s="73"/>
      <c r="E643" s="73"/>
      <c r="F643" s="72"/>
    </row>
    <row r="644" ht="14.25" customHeight="1">
      <c r="A644" s="73"/>
      <c r="B644" s="73"/>
      <c r="C644" s="73"/>
      <c r="D644" s="73"/>
      <c r="E644" s="73"/>
      <c r="F644" s="72"/>
    </row>
    <row r="645" ht="14.25" customHeight="1">
      <c r="A645" s="73"/>
      <c r="B645" s="73"/>
      <c r="C645" s="73"/>
      <c r="D645" s="73"/>
      <c r="E645" s="73"/>
      <c r="F645" s="72"/>
    </row>
    <row r="646" ht="14.25" customHeight="1">
      <c r="A646" s="73"/>
      <c r="B646" s="73"/>
      <c r="C646" s="73"/>
      <c r="D646" s="73"/>
      <c r="E646" s="73"/>
      <c r="F646" s="72"/>
    </row>
    <row r="647" ht="14.25" customHeight="1">
      <c r="A647" s="73"/>
      <c r="B647" s="73"/>
      <c r="C647" s="73"/>
      <c r="D647" s="73"/>
      <c r="E647" s="73"/>
      <c r="F647" s="72"/>
    </row>
    <row r="648" ht="14.25" customHeight="1">
      <c r="A648" s="73"/>
      <c r="B648" s="73"/>
      <c r="C648" s="73"/>
      <c r="D648" s="73"/>
      <c r="E648" s="73"/>
      <c r="F648" s="72"/>
    </row>
    <row r="649" ht="14.25" customHeight="1">
      <c r="A649" s="73"/>
      <c r="B649" s="73"/>
      <c r="C649" s="73"/>
      <c r="D649" s="73"/>
      <c r="E649" s="73"/>
      <c r="F649" s="72"/>
    </row>
    <row r="650" ht="14.25" customHeight="1">
      <c r="A650" s="73"/>
      <c r="B650" s="73"/>
      <c r="C650" s="73"/>
      <c r="D650" s="73"/>
      <c r="E650" s="73"/>
      <c r="F650" s="72"/>
    </row>
    <row r="651" ht="14.25" customHeight="1">
      <c r="A651" s="73"/>
      <c r="B651" s="73"/>
      <c r="C651" s="73"/>
      <c r="D651" s="73"/>
      <c r="E651" s="73"/>
      <c r="F651" s="72"/>
    </row>
    <row r="652" ht="14.25" customHeight="1">
      <c r="A652" s="73"/>
      <c r="B652" s="73"/>
      <c r="C652" s="73"/>
      <c r="D652" s="73"/>
      <c r="E652" s="73"/>
      <c r="F652" s="72"/>
    </row>
    <row r="653" ht="14.25" customHeight="1">
      <c r="A653" s="73"/>
      <c r="B653" s="73"/>
      <c r="C653" s="73"/>
      <c r="D653" s="73"/>
      <c r="E653" s="73"/>
      <c r="F653" s="72"/>
    </row>
    <row r="654" ht="14.25" customHeight="1">
      <c r="A654" s="73"/>
      <c r="B654" s="73"/>
      <c r="C654" s="73"/>
      <c r="D654" s="73"/>
      <c r="E654" s="73"/>
      <c r="F654" s="72"/>
    </row>
    <row r="655" ht="14.25" customHeight="1">
      <c r="A655" s="73"/>
      <c r="B655" s="73"/>
      <c r="C655" s="73"/>
      <c r="D655" s="73"/>
      <c r="E655" s="73"/>
      <c r="F655" s="72"/>
    </row>
    <row r="656" ht="14.25" customHeight="1">
      <c r="A656" s="73"/>
      <c r="B656" s="73"/>
      <c r="C656" s="73"/>
      <c r="D656" s="73"/>
      <c r="E656" s="73"/>
      <c r="F656" s="72"/>
    </row>
    <row r="657" ht="14.25" customHeight="1">
      <c r="A657" s="73"/>
      <c r="B657" s="73"/>
      <c r="C657" s="73"/>
      <c r="D657" s="73"/>
      <c r="E657" s="73"/>
      <c r="F657" s="72"/>
    </row>
    <row r="658" ht="14.25" customHeight="1">
      <c r="A658" s="73"/>
      <c r="B658" s="73"/>
      <c r="C658" s="73"/>
      <c r="D658" s="73"/>
      <c r="E658" s="73"/>
      <c r="F658" s="72"/>
    </row>
    <row r="659" ht="14.25" customHeight="1">
      <c r="A659" s="73"/>
      <c r="B659" s="73"/>
      <c r="C659" s="73"/>
      <c r="D659" s="73"/>
      <c r="E659" s="73"/>
      <c r="F659" s="72"/>
    </row>
    <row r="660" ht="14.25" customHeight="1">
      <c r="A660" s="73"/>
      <c r="B660" s="73"/>
      <c r="C660" s="73"/>
      <c r="D660" s="73"/>
      <c r="E660" s="73"/>
      <c r="F660" s="72"/>
    </row>
    <row r="661" ht="14.25" customHeight="1">
      <c r="A661" s="73"/>
      <c r="B661" s="73"/>
      <c r="C661" s="73"/>
      <c r="D661" s="73"/>
      <c r="E661" s="73"/>
      <c r="F661" s="72"/>
    </row>
    <row r="662" ht="14.25" customHeight="1">
      <c r="A662" s="73"/>
      <c r="B662" s="73"/>
      <c r="C662" s="73"/>
      <c r="D662" s="73"/>
      <c r="E662" s="73"/>
      <c r="F662" s="72"/>
    </row>
    <row r="663" ht="14.25" customHeight="1">
      <c r="A663" s="73"/>
      <c r="B663" s="73"/>
      <c r="C663" s="73"/>
      <c r="D663" s="73"/>
      <c r="E663" s="73"/>
      <c r="F663" s="72"/>
    </row>
    <row r="664" ht="14.25" customHeight="1">
      <c r="A664" s="73"/>
      <c r="B664" s="73"/>
      <c r="C664" s="73"/>
      <c r="D664" s="73"/>
      <c r="E664" s="73"/>
      <c r="F664" s="72"/>
    </row>
    <row r="665" ht="14.25" customHeight="1">
      <c r="A665" s="73"/>
      <c r="B665" s="73"/>
      <c r="C665" s="73"/>
      <c r="D665" s="73"/>
      <c r="E665" s="73"/>
      <c r="F665" s="72"/>
    </row>
    <row r="666" ht="14.25" customHeight="1">
      <c r="A666" s="73"/>
      <c r="B666" s="73"/>
      <c r="C666" s="73"/>
      <c r="D666" s="73"/>
      <c r="E666" s="73"/>
      <c r="F666" s="72"/>
    </row>
    <row r="667" ht="14.25" customHeight="1">
      <c r="A667" s="73"/>
      <c r="B667" s="73"/>
      <c r="C667" s="73"/>
      <c r="D667" s="73"/>
      <c r="E667" s="73"/>
      <c r="F667" s="72"/>
    </row>
    <row r="668" ht="14.25" customHeight="1">
      <c r="A668" s="73"/>
      <c r="B668" s="73"/>
      <c r="C668" s="73"/>
      <c r="D668" s="73"/>
      <c r="E668" s="73"/>
      <c r="F668" s="72"/>
    </row>
    <row r="669" ht="14.25" customHeight="1">
      <c r="A669" s="73"/>
      <c r="B669" s="73"/>
      <c r="C669" s="73"/>
      <c r="D669" s="73"/>
      <c r="E669" s="73"/>
      <c r="F669" s="72"/>
    </row>
    <row r="670" ht="14.25" customHeight="1">
      <c r="A670" s="73"/>
      <c r="B670" s="73"/>
      <c r="C670" s="73"/>
      <c r="D670" s="73"/>
      <c r="E670" s="73"/>
      <c r="F670" s="72"/>
    </row>
    <row r="671" ht="14.25" customHeight="1">
      <c r="A671" s="73"/>
      <c r="B671" s="73"/>
      <c r="C671" s="73"/>
      <c r="D671" s="73"/>
      <c r="E671" s="73"/>
      <c r="F671" s="72"/>
    </row>
    <row r="672" ht="14.25" customHeight="1">
      <c r="A672" s="73"/>
      <c r="B672" s="73"/>
      <c r="C672" s="73"/>
      <c r="D672" s="73"/>
      <c r="E672" s="73"/>
      <c r="F672" s="72"/>
    </row>
    <row r="673" ht="14.25" customHeight="1">
      <c r="A673" s="73"/>
      <c r="B673" s="73"/>
      <c r="C673" s="73"/>
      <c r="D673" s="73"/>
      <c r="E673" s="73"/>
      <c r="F673" s="72"/>
    </row>
    <row r="674" ht="14.25" customHeight="1">
      <c r="A674" s="73"/>
      <c r="B674" s="73"/>
      <c r="C674" s="73"/>
      <c r="D674" s="73"/>
      <c r="E674" s="73"/>
      <c r="F674" s="72"/>
    </row>
    <row r="675" ht="14.25" customHeight="1">
      <c r="A675" s="73"/>
      <c r="B675" s="73"/>
      <c r="C675" s="73"/>
      <c r="D675" s="73"/>
      <c r="E675" s="73"/>
      <c r="F675" s="72"/>
    </row>
    <row r="676" ht="14.25" customHeight="1">
      <c r="A676" s="73"/>
      <c r="B676" s="73"/>
      <c r="C676" s="73"/>
      <c r="D676" s="73"/>
      <c r="E676" s="73"/>
      <c r="F676" s="72"/>
    </row>
    <row r="677" ht="14.25" customHeight="1">
      <c r="A677" s="73"/>
      <c r="B677" s="73"/>
      <c r="C677" s="73"/>
      <c r="D677" s="73"/>
      <c r="E677" s="73"/>
      <c r="F677" s="72"/>
    </row>
    <row r="678" ht="14.25" customHeight="1">
      <c r="A678" s="73"/>
      <c r="B678" s="73"/>
      <c r="C678" s="73"/>
      <c r="D678" s="73"/>
      <c r="E678" s="73"/>
      <c r="F678" s="72"/>
    </row>
    <row r="679" ht="14.25" customHeight="1">
      <c r="A679" s="73"/>
      <c r="B679" s="73"/>
      <c r="C679" s="73"/>
      <c r="D679" s="73"/>
      <c r="E679" s="73"/>
      <c r="F679" s="72"/>
    </row>
    <row r="680" ht="14.25" customHeight="1">
      <c r="A680" s="73"/>
      <c r="B680" s="73"/>
      <c r="C680" s="73"/>
      <c r="D680" s="73"/>
      <c r="E680" s="73"/>
      <c r="F680" s="72"/>
    </row>
    <row r="681" ht="14.25" customHeight="1">
      <c r="A681" s="73"/>
      <c r="B681" s="73"/>
      <c r="C681" s="73"/>
      <c r="D681" s="73"/>
      <c r="E681" s="73"/>
      <c r="F681" s="72"/>
    </row>
    <row r="682" ht="14.25" customHeight="1">
      <c r="A682" s="73"/>
      <c r="B682" s="73"/>
      <c r="C682" s="73"/>
      <c r="D682" s="73"/>
      <c r="E682" s="73"/>
      <c r="F682" s="72"/>
    </row>
    <row r="683" ht="14.25" customHeight="1">
      <c r="A683" s="73"/>
      <c r="B683" s="73"/>
      <c r="C683" s="73"/>
      <c r="D683" s="73"/>
      <c r="E683" s="73"/>
      <c r="F683" s="72"/>
    </row>
    <row r="684" ht="14.25" customHeight="1">
      <c r="A684" s="73"/>
      <c r="B684" s="73"/>
      <c r="C684" s="73"/>
      <c r="D684" s="73"/>
      <c r="E684" s="73"/>
      <c r="F684" s="72"/>
    </row>
    <row r="685" ht="14.25" customHeight="1">
      <c r="A685" s="73"/>
      <c r="B685" s="73"/>
      <c r="C685" s="73"/>
      <c r="D685" s="73"/>
      <c r="E685" s="73"/>
      <c r="F685" s="72"/>
    </row>
    <row r="686" ht="14.25" customHeight="1">
      <c r="A686" s="73"/>
      <c r="B686" s="73"/>
      <c r="C686" s="73"/>
      <c r="D686" s="73"/>
      <c r="E686" s="73"/>
      <c r="F686" s="72"/>
    </row>
    <row r="687" ht="14.25" customHeight="1">
      <c r="A687" s="73"/>
      <c r="B687" s="73"/>
      <c r="C687" s="73"/>
      <c r="D687" s="73"/>
      <c r="E687" s="73"/>
      <c r="F687" s="72"/>
    </row>
    <row r="688" ht="14.25" customHeight="1">
      <c r="A688" s="73"/>
      <c r="B688" s="73"/>
      <c r="C688" s="73"/>
      <c r="D688" s="73"/>
      <c r="E688" s="73"/>
      <c r="F688" s="72"/>
    </row>
    <row r="689" ht="14.25" customHeight="1">
      <c r="A689" s="73"/>
      <c r="B689" s="73"/>
      <c r="C689" s="73"/>
      <c r="D689" s="73"/>
      <c r="E689" s="73"/>
      <c r="F689" s="72"/>
    </row>
    <row r="690" ht="14.25" customHeight="1">
      <c r="A690" s="73"/>
      <c r="B690" s="73"/>
      <c r="C690" s="73"/>
      <c r="D690" s="73"/>
      <c r="E690" s="73"/>
      <c r="F690" s="72"/>
    </row>
    <row r="691" ht="14.25" customHeight="1">
      <c r="A691" s="73"/>
      <c r="B691" s="73"/>
      <c r="C691" s="73"/>
      <c r="D691" s="73"/>
      <c r="E691" s="73"/>
      <c r="F691" s="72"/>
    </row>
    <row r="692" ht="14.25" customHeight="1">
      <c r="A692" s="73"/>
      <c r="B692" s="73"/>
      <c r="C692" s="73"/>
      <c r="D692" s="73"/>
      <c r="E692" s="73"/>
      <c r="F692" s="72"/>
    </row>
    <row r="693" ht="14.25" customHeight="1">
      <c r="A693" s="73"/>
      <c r="B693" s="73"/>
      <c r="C693" s="73"/>
      <c r="D693" s="73"/>
      <c r="E693" s="73"/>
      <c r="F693" s="72"/>
    </row>
    <row r="694" ht="14.25" customHeight="1">
      <c r="A694" s="73"/>
      <c r="B694" s="73"/>
      <c r="C694" s="73"/>
      <c r="D694" s="73"/>
      <c r="E694" s="73"/>
      <c r="F694" s="72"/>
    </row>
    <row r="695" ht="14.25" customHeight="1">
      <c r="A695" s="73"/>
      <c r="B695" s="73"/>
      <c r="C695" s="73"/>
      <c r="D695" s="73"/>
      <c r="E695" s="73"/>
      <c r="F695" s="72"/>
    </row>
    <row r="696" ht="14.25" customHeight="1">
      <c r="A696" s="73"/>
      <c r="B696" s="73"/>
      <c r="C696" s="73"/>
      <c r="D696" s="73"/>
      <c r="E696" s="73"/>
      <c r="F696" s="72"/>
    </row>
    <row r="697" ht="14.25" customHeight="1">
      <c r="A697" s="73"/>
      <c r="B697" s="73"/>
      <c r="C697" s="73"/>
      <c r="D697" s="73"/>
      <c r="E697" s="73"/>
      <c r="F697" s="72"/>
    </row>
    <row r="698" ht="14.25" customHeight="1">
      <c r="A698" s="73"/>
      <c r="B698" s="73"/>
      <c r="C698" s="73"/>
      <c r="D698" s="73"/>
      <c r="E698" s="73"/>
      <c r="F698" s="72"/>
    </row>
    <row r="699" ht="14.25" customHeight="1">
      <c r="A699" s="73"/>
      <c r="B699" s="73"/>
      <c r="C699" s="73"/>
      <c r="D699" s="73"/>
      <c r="E699" s="73"/>
      <c r="F699" s="72"/>
    </row>
    <row r="700" ht="14.25" customHeight="1">
      <c r="A700" s="73"/>
      <c r="B700" s="73"/>
      <c r="C700" s="73"/>
      <c r="D700" s="73"/>
      <c r="E700" s="73"/>
      <c r="F700" s="72"/>
    </row>
    <row r="701" ht="14.25" customHeight="1">
      <c r="A701" s="73"/>
      <c r="B701" s="73"/>
      <c r="C701" s="73"/>
      <c r="D701" s="73"/>
      <c r="E701" s="73"/>
      <c r="F701" s="72"/>
    </row>
    <row r="702" ht="14.25" customHeight="1">
      <c r="A702" s="73"/>
      <c r="B702" s="73"/>
      <c r="C702" s="73"/>
      <c r="D702" s="73"/>
      <c r="E702" s="73"/>
      <c r="F702" s="72"/>
    </row>
    <row r="703" ht="14.25" customHeight="1">
      <c r="A703" s="73"/>
      <c r="B703" s="73"/>
      <c r="C703" s="73"/>
      <c r="D703" s="73"/>
      <c r="E703" s="73"/>
      <c r="F703" s="72"/>
    </row>
    <row r="704" ht="14.25" customHeight="1">
      <c r="A704" s="73"/>
      <c r="B704" s="73"/>
      <c r="C704" s="73"/>
      <c r="D704" s="73"/>
      <c r="E704" s="73"/>
      <c r="F704" s="72"/>
    </row>
    <row r="705" ht="14.25" customHeight="1">
      <c r="A705" s="73"/>
      <c r="B705" s="73"/>
      <c r="C705" s="73"/>
      <c r="D705" s="73"/>
      <c r="E705" s="73"/>
      <c r="F705" s="72"/>
    </row>
    <row r="706" ht="14.25" customHeight="1">
      <c r="A706" s="73"/>
      <c r="B706" s="73"/>
      <c r="C706" s="73"/>
      <c r="D706" s="73"/>
      <c r="E706" s="73"/>
      <c r="F706" s="72"/>
    </row>
    <row r="707" ht="14.25" customHeight="1">
      <c r="A707" s="73"/>
      <c r="B707" s="73"/>
      <c r="C707" s="73"/>
      <c r="D707" s="73"/>
      <c r="E707" s="73"/>
      <c r="F707" s="72"/>
    </row>
    <row r="708" ht="14.25" customHeight="1">
      <c r="A708" s="73"/>
      <c r="B708" s="73"/>
      <c r="C708" s="73"/>
      <c r="D708" s="73"/>
      <c r="E708" s="73"/>
      <c r="F708" s="72"/>
    </row>
    <row r="709" ht="14.25" customHeight="1">
      <c r="A709" s="73"/>
      <c r="B709" s="73"/>
      <c r="C709" s="73"/>
      <c r="D709" s="73"/>
      <c r="E709" s="73"/>
      <c r="F709" s="72"/>
    </row>
    <row r="710" ht="14.25" customHeight="1">
      <c r="A710" s="73"/>
      <c r="B710" s="73"/>
      <c r="C710" s="73"/>
      <c r="D710" s="73"/>
      <c r="E710" s="73"/>
      <c r="F710" s="72"/>
    </row>
    <row r="711" ht="14.25" customHeight="1">
      <c r="A711" s="73"/>
      <c r="B711" s="73"/>
      <c r="C711" s="73"/>
      <c r="D711" s="73"/>
      <c r="E711" s="73"/>
      <c r="F711" s="72"/>
    </row>
    <row r="712" ht="14.25" customHeight="1">
      <c r="A712" s="73"/>
      <c r="B712" s="73"/>
      <c r="C712" s="73"/>
      <c r="D712" s="73"/>
      <c r="E712" s="73"/>
      <c r="F712" s="72"/>
    </row>
    <row r="713" ht="14.25" customHeight="1">
      <c r="A713" s="73"/>
      <c r="B713" s="73"/>
      <c r="C713" s="73"/>
      <c r="D713" s="73"/>
      <c r="E713" s="73"/>
      <c r="F713" s="72"/>
    </row>
    <row r="714" ht="14.25" customHeight="1">
      <c r="A714" s="73"/>
      <c r="B714" s="73"/>
      <c r="C714" s="73"/>
      <c r="D714" s="73"/>
      <c r="E714" s="73"/>
      <c r="F714" s="72"/>
    </row>
    <row r="715" ht="14.25" customHeight="1">
      <c r="A715" s="73"/>
      <c r="B715" s="73"/>
      <c r="C715" s="73"/>
      <c r="D715" s="73"/>
      <c r="E715" s="73"/>
      <c r="F715" s="72"/>
    </row>
    <row r="716" ht="14.25" customHeight="1">
      <c r="A716" s="73"/>
      <c r="B716" s="73"/>
      <c r="C716" s="73"/>
      <c r="D716" s="73"/>
      <c r="E716" s="73"/>
      <c r="F716" s="72"/>
    </row>
    <row r="717" ht="14.25" customHeight="1">
      <c r="A717" s="73"/>
      <c r="B717" s="73"/>
      <c r="C717" s="73"/>
      <c r="D717" s="73"/>
      <c r="E717" s="73"/>
      <c r="F717" s="72"/>
    </row>
    <row r="718" ht="14.25" customHeight="1">
      <c r="A718" s="73"/>
      <c r="B718" s="73"/>
      <c r="C718" s="73"/>
      <c r="D718" s="73"/>
      <c r="E718" s="73"/>
      <c r="F718" s="72"/>
    </row>
    <row r="719" ht="14.25" customHeight="1">
      <c r="A719" s="73"/>
      <c r="B719" s="73"/>
      <c r="C719" s="73"/>
      <c r="D719" s="73"/>
      <c r="E719" s="73"/>
      <c r="F719" s="72"/>
    </row>
    <row r="720" ht="14.25" customHeight="1">
      <c r="A720" s="73"/>
      <c r="B720" s="73"/>
      <c r="C720" s="73"/>
      <c r="D720" s="73"/>
      <c r="E720" s="73"/>
      <c r="F720" s="72"/>
    </row>
    <row r="721" ht="14.25" customHeight="1">
      <c r="A721" s="73"/>
      <c r="B721" s="73"/>
      <c r="C721" s="73"/>
      <c r="D721" s="73"/>
      <c r="E721" s="73"/>
      <c r="F721" s="72"/>
    </row>
    <row r="722" ht="14.25" customHeight="1">
      <c r="A722" s="73"/>
      <c r="B722" s="73"/>
      <c r="C722" s="73"/>
      <c r="D722" s="73"/>
      <c r="E722" s="73"/>
      <c r="F722" s="72"/>
    </row>
    <row r="723" ht="14.25" customHeight="1">
      <c r="A723" s="73"/>
      <c r="B723" s="73"/>
      <c r="C723" s="73"/>
      <c r="D723" s="73"/>
      <c r="E723" s="73"/>
      <c r="F723" s="72"/>
    </row>
    <row r="724" ht="14.25" customHeight="1">
      <c r="A724" s="73"/>
      <c r="B724" s="73"/>
      <c r="C724" s="73"/>
      <c r="D724" s="73"/>
      <c r="E724" s="73"/>
      <c r="F724" s="72"/>
    </row>
    <row r="725" ht="14.25" customHeight="1">
      <c r="A725" s="73"/>
      <c r="B725" s="73"/>
      <c r="C725" s="73"/>
      <c r="D725" s="73"/>
      <c r="E725" s="73"/>
      <c r="F725" s="72"/>
    </row>
    <row r="726" ht="14.25" customHeight="1">
      <c r="A726" s="73"/>
      <c r="B726" s="73"/>
      <c r="C726" s="73"/>
      <c r="D726" s="73"/>
      <c r="E726" s="73"/>
      <c r="F726" s="72"/>
    </row>
    <row r="727" ht="14.25" customHeight="1">
      <c r="A727" s="73"/>
      <c r="B727" s="73"/>
      <c r="C727" s="73"/>
      <c r="D727" s="73"/>
      <c r="E727" s="73"/>
      <c r="F727" s="72"/>
    </row>
    <row r="728" ht="14.25" customHeight="1">
      <c r="A728" s="73"/>
      <c r="B728" s="73"/>
      <c r="C728" s="73"/>
      <c r="D728" s="73"/>
      <c r="E728" s="73"/>
      <c r="F728" s="72"/>
    </row>
    <row r="729" ht="14.25" customHeight="1">
      <c r="A729" s="73"/>
      <c r="B729" s="73"/>
      <c r="C729" s="73"/>
      <c r="D729" s="73"/>
      <c r="E729" s="73"/>
      <c r="F729" s="72"/>
    </row>
    <row r="730" ht="14.25" customHeight="1">
      <c r="A730" s="73"/>
      <c r="B730" s="73"/>
      <c r="C730" s="73"/>
      <c r="D730" s="73"/>
      <c r="E730" s="73"/>
      <c r="F730" s="72"/>
    </row>
    <row r="731" ht="14.25" customHeight="1">
      <c r="A731" s="73"/>
      <c r="B731" s="73"/>
      <c r="C731" s="73"/>
      <c r="D731" s="73"/>
      <c r="E731" s="73"/>
      <c r="F731" s="72"/>
    </row>
    <row r="732" ht="14.25" customHeight="1">
      <c r="A732" s="73"/>
      <c r="B732" s="73"/>
      <c r="C732" s="73"/>
      <c r="D732" s="73"/>
      <c r="E732" s="73"/>
      <c r="F732" s="72"/>
    </row>
    <row r="733" ht="14.25" customHeight="1">
      <c r="A733" s="73"/>
      <c r="B733" s="73"/>
      <c r="C733" s="73"/>
      <c r="D733" s="73"/>
      <c r="E733" s="73"/>
      <c r="F733" s="72"/>
    </row>
    <row r="734" ht="14.25" customHeight="1">
      <c r="A734" s="73"/>
      <c r="B734" s="73"/>
      <c r="C734" s="73"/>
      <c r="D734" s="73"/>
      <c r="E734" s="73"/>
      <c r="F734" s="72"/>
    </row>
    <row r="735" ht="14.25" customHeight="1">
      <c r="A735" s="73"/>
      <c r="B735" s="73"/>
      <c r="C735" s="73"/>
      <c r="D735" s="73"/>
      <c r="E735" s="73"/>
      <c r="F735" s="72"/>
    </row>
    <row r="736" ht="14.25" customHeight="1">
      <c r="A736" s="73"/>
      <c r="B736" s="73"/>
      <c r="C736" s="73"/>
      <c r="D736" s="73"/>
      <c r="E736" s="73"/>
      <c r="F736" s="72"/>
    </row>
    <row r="737" ht="14.25" customHeight="1">
      <c r="A737" s="73"/>
      <c r="B737" s="73"/>
      <c r="C737" s="73"/>
      <c r="D737" s="73"/>
      <c r="E737" s="73"/>
      <c r="F737" s="72"/>
    </row>
    <row r="738" ht="14.25" customHeight="1">
      <c r="A738" s="73"/>
      <c r="B738" s="73"/>
      <c r="C738" s="73"/>
      <c r="D738" s="73"/>
      <c r="E738" s="73"/>
      <c r="F738" s="72"/>
    </row>
    <row r="739" ht="14.25" customHeight="1">
      <c r="A739" s="73"/>
      <c r="B739" s="73"/>
      <c r="C739" s="73"/>
      <c r="D739" s="73"/>
      <c r="E739" s="73"/>
      <c r="F739" s="72"/>
    </row>
    <row r="740" ht="14.25" customHeight="1">
      <c r="A740" s="73"/>
      <c r="B740" s="73"/>
      <c r="C740" s="73"/>
      <c r="D740" s="73"/>
      <c r="E740" s="73"/>
      <c r="F740" s="72"/>
    </row>
    <row r="741" ht="14.25" customHeight="1">
      <c r="A741" s="73"/>
      <c r="B741" s="73"/>
      <c r="C741" s="73"/>
      <c r="D741" s="73"/>
      <c r="E741" s="73"/>
      <c r="F741" s="72"/>
    </row>
    <row r="742" ht="14.25" customHeight="1">
      <c r="A742" s="73"/>
      <c r="B742" s="73"/>
      <c r="C742" s="73"/>
      <c r="D742" s="73"/>
      <c r="E742" s="73"/>
      <c r="F742" s="72"/>
    </row>
    <row r="743" ht="14.25" customHeight="1">
      <c r="A743" s="73"/>
      <c r="B743" s="73"/>
      <c r="C743" s="73"/>
      <c r="D743" s="73"/>
      <c r="E743" s="73"/>
      <c r="F743" s="72"/>
    </row>
    <row r="744" ht="14.25" customHeight="1">
      <c r="A744" s="73"/>
      <c r="B744" s="73"/>
      <c r="C744" s="73"/>
      <c r="D744" s="73"/>
      <c r="E744" s="73"/>
      <c r="F744" s="72"/>
    </row>
    <row r="745" ht="14.25" customHeight="1">
      <c r="A745" s="73"/>
      <c r="B745" s="73"/>
      <c r="C745" s="73"/>
      <c r="D745" s="73"/>
      <c r="E745" s="73"/>
      <c r="F745" s="72"/>
    </row>
    <row r="746" ht="14.25" customHeight="1">
      <c r="A746" s="73"/>
      <c r="B746" s="73"/>
      <c r="C746" s="73"/>
      <c r="D746" s="73"/>
      <c r="E746" s="73"/>
      <c r="F746" s="72"/>
    </row>
    <row r="747" ht="14.25" customHeight="1">
      <c r="A747" s="73"/>
      <c r="B747" s="73"/>
      <c r="C747" s="73"/>
      <c r="D747" s="73"/>
      <c r="E747" s="73"/>
      <c r="F747" s="72"/>
    </row>
    <row r="748" ht="14.25" customHeight="1">
      <c r="A748" s="73"/>
      <c r="B748" s="73"/>
      <c r="C748" s="73"/>
      <c r="D748" s="73"/>
      <c r="E748" s="73"/>
      <c r="F748" s="72"/>
    </row>
    <row r="749" ht="14.25" customHeight="1">
      <c r="A749" s="73"/>
      <c r="B749" s="73"/>
      <c r="C749" s="73"/>
      <c r="D749" s="73"/>
      <c r="E749" s="73"/>
      <c r="F749" s="72"/>
    </row>
    <row r="750" ht="14.25" customHeight="1">
      <c r="A750" s="73"/>
      <c r="B750" s="73"/>
      <c r="C750" s="73"/>
      <c r="D750" s="73"/>
      <c r="E750" s="73"/>
      <c r="F750" s="72"/>
    </row>
    <row r="751" ht="14.25" customHeight="1">
      <c r="A751" s="73"/>
      <c r="B751" s="73"/>
      <c r="C751" s="73"/>
      <c r="D751" s="73"/>
      <c r="E751" s="73"/>
      <c r="F751" s="72"/>
    </row>
    <row r="752" ht="14.25" customHeight="1">
      <c r="A752" s="73"/>
      <c r="B752" s="73"/>
      <c r="C752" s="73"/>
      <c r="D752" s="73"/>
      <c r="E752" s="73"/>
      <c r="F752" s="72"/>
    </row>
    <row r="753" ht="14.25" customHeight="1">
      <c r="A753" s="73"/>
      <c r="B753" s="73"/>
      <c r="C753" s="73"/>
      <c r="D753" s="73"/>
      <c r="E753" s="73"/>
      <c r="F753" s="72"/>
    </row>
    <row r="754" ht="14.25" customHeight="1">
      <c r="A754" s="73"/>
      <c r="B754" s="73"/>
      <c r="C754" s="73"/>
      <c r="D754" s="73"/>
      <c r="E754" s="73"/>
      <c r="F754" s="72"/>
    </row>
    <row r="755" ht="14.25" customHeight="1">
      <c r="A755" s="73"/>
      <c r="B755" s="73"/>
      <c r="C755" s="73"/>
      <c r="D755" s="73"/>
      <c r="E755" s="73"/>
      <c r="F755" s="72"/>
    </row>
    <row r="756" ht="14.25" customHeight="1">
      <c r="A756" s="73"/>
      <c r="B756" s="73"/>
      <c r="C756" s="73"/>
      <c r="D756" s="73"/>
      <c r="E756" s="73"/>
      <c r="F756" s="72"/>
    </row>
    <row r="757" ht="14.25" customHeight="1">
      <c r="A757" s="73"/>
      <c r="B757" s="73"/>
      <c r="C757" s="73"/>
      <c r="D757" s="73"/>
      <c r="E757" s="73"/>
      <c r="F757" s="72"/>
    </row>
    <row r="758" ht="14.25" customHeight="1">
      <c r="A758" s="73"/>
      <c r="B758" s="73"/>
      <c r="C758" s="73"/>
      <c r="D758" s="73"/>
      <c r="E758" s="73"/>
      <c r="F758" s="72"/>
    </row>
    <row r="759" ht="14.25" customHeight="1">
      <c r="A759" s="73"/>
      <c r="B759" s="73"/>
      <c r="C759" s="73"/>
      <c r="D759" s="73"/>
      <c r="E759" s="73"/>
      <c r="F759" s="72"/>
    </row>
    <row r="760" ht="14.25" customHeight="1">
      <c r="A760" s="73"/>
      <c r="B760" s="73"/>
      <c r="C760" s="73"/>
      <c r="D760" s="73"/>
      <c r="E760" s="73"/>
      <c r="F760" s="72"/>
    </row>
    <row r="761" ht="14.25" customHeight="1">
      <c r="A761" s="73"/>
      <c r="B761" s="73"/>
      <c r="C761" s="73"/>
      <c r="D761" s="73"/>
      <c r="E761" s="73"/>
      <c r="F761" s="72"/>
    </row>
    <row r="762" ht="14.25" customHeight="1">
      <c r="A762" s="73"/>
      <c r="B762" s="73"/>
      <c r="C762" s="73"/>
      <c r="D762" s="73"/>
      <c r="E762" s="73"/>
      <c r="F762" s="72"/>
    </row>
    <row r="763" ht="14.25" customHeight="1">
      <c r="A763" s="73"/>
      <c r="B763" s="73"/>
      <c r="C763" s="73"/>
      <c r="D763" s="73"/>
      <c r="E763" s="73"/>
      <c r="F763" s="72"/>
    </row>
    <row r="764" ht="14.25" customHeight="1">
      <c r="A764" s="73"/>
      <c r="B764" s="73"/>
      <c r="C764" s="73"/>
      <c r="D764" s="73"/>
      <c r="E764" s="73"/>
      <c r="F764" s="72"/>
    </row>
    <row r="765" ht="14.25" customHeight="1">
      <c r="A765" s="73"/>
      <c r="B765" s="73"/>
      <c r="C765" s="73"/>
      <c r="D765" s="73"/>
      <c r="E765" s="73"/>
      <c r="F765" s="72"/>
    </row>
    <row r="766" ht="14.25" customHeight="1">
      <c r="A766" s="73"/>
      <c r="B766" s="73"/>
      <c r="C766" s="73"/>
      <c r="D766" s="73"/>
      <c r="E766" s="73"/>
      <c r="F766" s="72"/>
    </row>
    <row r="767" ht="14.25" customHeight="1">
      <c r="A767" s="73"/>
      <c r="B767" s="73"/>
      <c r="C767" s="73"/>
      <c r="D767" s="73"/>
      <c r="E767" s="73"/>
      <c r="F767" s="72"/>
    </row>
    <row r="768" ht="14.25" customHeight="1">
      <c r="A768" s="73"/>
      <c r="B768" s="73"/>
      <c r="C768" s="73"/>
      <c r="D768" s="73"/>
      <c r="E768" s="73"/>
      <c r="F768" s="72"/>
    </row>
    <row r="769" ht="14.25" customHeight="1">
      <c r="A769" s="73"/>
      <c r="B769" s="73"/>
      <c r="C769" s="73"/>
      <c r="D769" s="73"/>
      <c r="E769" s="73"/>
      <c r="F769" s="72"/>
    </row>
    <row r="770" ht="14.25" customHeight="1">
      <c r="A770" s="73"/>
      <c r="B770" s="73"/>
      <c r="C770" s="73"/>
      <c r="D770" s="73"/>
      <c r="E770" s="73"/>
      <c r="F770" s="72"/>
    </row>
    <row r="771" ht="14.25" customHeight="1">
      <c r="A771" s="73"/>
      <c r="B771" s="73"/>
      <c r="C771" s="73"/>
      <c r="D771" s="73"/>
      <c r="E771" s="73"/>
      <c r="F771" s="72"/>
    </row>
    <row r="772" ht="14.25" customHeight="1">
      <c r="A772" s="73"/>
      <c r="B772" s="73"/>
      <c r="C772" s="73"/>
      <c r="D772" s="73"/>
      <c r="E772" s="73"/>
      <c r="F772" s="72"/>
    </row>
    <row r="773" ht="14.25" customHeight="1">
      <c r="A773" s="73"/>
      <c r="B773" s="73"/>
      <c r="C773" s="73"/>
      <c r="D773" s="73"/>
      <c r="E773" s="73"/>
      <c r="F773" s="72"/>
    </row>
    <row r="774" ht="14.25" customHeight="1">
      <c r="A774" s="73"/>
      <c r="B774" s="73"/>
      <c r="C774" s="73"/>
      <c r="D774" s="73"/>
      <c r="E774" s="73"/>
      <c r="F774" s="72"/>
    </row>
    <row r="775" ht="14.25" customHeight="1">
      <c r="A775" s="73"/>
      <c r="B775" s="73"/>
      <c r="C775" s="73"/>
      <c r="D775" s="73"/>
      <c r="E775" s="73"/>
      <c r="F775" s="72"/>
    </row>
    <row r="776" ht="14.25" customHeight="1">
      <c r="A776" s="73"/>
      <c r="B776" s="73"/>
      <c r="C776" s="73"/>
      <c r="D776" s="73"/>
      <c r="E776" s="73"/>
      <c r="F776" s="72"/>
    </row>
    <row r="777" ht="14.25" customHeight="1">
      <c r="A777" s="73"/>
      <c r="B777" s="73"/>
      <c r="C777" s="73"/>
      <c r="D777" s="73"/>
      <c r="E777" s="73"/>
      <c r="F777" s="72"/>
    </row>
    <row r="778" ht="14.25" customHeight="1">
      <c r="A778" s="73"/>
      <c r="B778" s="73"/>
      <c r="C778" s="73"/>
      <c r="D778" s="73"/>
      <c r="E778" s="73"/>
      <c r="F778" s="72"/>
    </row>
    <row r="779" ht="14.25" customHeight="1">
      <c r="A779" s="73"/>
      <c r="B779" s="73"/>
      <c r="C779" s="73"/>
      <c r="D779" s="73"/>
      <c r="E779" s="73"/>
      <c r="F779" s="72"/>
    </row>
    <row r="780" ht="14.25" customHeight="1">
      <c r="A780" s="73"/>
      <c r="B780" s="73"/>
      <c r="C780" s="73"/>
      <c r="D780" s="73"/>
      <c r="E780" s="73"/>
      <c r="F780" s="72"/>
    </row>
    <row r="781" ht="14.25" customHeight="1">
      <c r="A781" s="73"/>
      <c r="B781" s="73"/>
      <c r="C781" s="73"/>
      <c r="D781" s="73"/>
      <c r="E781" s="73"/>
      <c r="F781" s="72"/>
    </row>
    <row r="782" ht="14.25" customHeight="1">
      <c r="A782" s="73"/>
      <c r="B782" s="73"/>
      <c r="C782" s="73"/>
      <c r="D782" s="73"/>
      <c r="E782" s="73"/>
      <c r="F782" s="72"/>
    </row>
    <row r="783" ht="14.25" customHeight="1">
      <c r="A783" s="73"/>
      <c r="B783" s="73"/>
      <c r="C783" s="73"/>
      <c r="D783" s="73"/>
      <c r="E783" s="73"/>
      <c r="F783" s="72"/>
    </row>
    <row r="784" ht="14.25" customHeight="1">
      <c r="A784" s="73"/>
      <c r="B784" s="73"/>
      <c r="C784" s="73"/>
      <c r="D784" s="73"/>
      <c r="E784" s="73"/>
      <c r="F784" s="72"/>
    </row>
    <row r="785" ht="14.25" customHeight="1">
      <c r="A785" s="73"/>
      <c r="B785" s="73"/>
      <c r="C785" s="73"/>
      <c r="D785" s="73"/>
      <c r="E785" s="73"/>
      <c r="F785" s="72"/>
    </row>
    <row r="786" ht="14.25" customHeight="1">
      <c r="A786" s="73"/>
      <c r="B786" s="73"/>
      <c r="C786" s="73"/>
      <c r="D786" s="73"/>
      <c r="E786" s="73"/>
      <c r="F786" s="72"/>
    </row>
    <row r="787" ht="14.25" customHeight="1">
      <c r="A787" s="73"/>
      <c r="B787" s="73"/>
      <c r="C787" s="73"/>
      <c r="D787" s="73"/>
      <c r="E787" s="73"/>
      <c r="F787" s="72"/>
    </row>
    <row r="788" ht="14.25" customHeight="1">
      <c r="A788" s="73"/>
      <c r="B788" s="73"/>
      <c r="C788" s="73"/>
      <c r="D788" s="73"/>
      <c r="E788" s="73"/>
      <c r="F788" s="72"/>
    </row>
    <row r="789" ht="14.25" customHeight="1">
      <c r="A789" s="73"/>
      <c r="B789" s="73"/>
      <c r="C789" s="73"/>
      <c r="D789" s="73"/>
      <c r="E789" s="73"/>
      <c r="F789" s="72"/>
    </row>
    <row r="790" ht="14.25" customHeight="1">
      <c r="A790" s="73"/>
      <c r="B790" s="73"/>
      <c r="C790" s="73"/>
      <c r="D790" s="73"/>
      <c r="E790" s="73"/>
      <c r="F790" s="72"/>
    </row>
    <row r="791" ht="14.25" customHeight="1">
      <c r="A791" s="73"/>
      <c r="B791" s="73"/>
      <c r="C791" s="73"/>
      <c r="D791" s="73"/>
      <c r="E791" s="73"/>
      <c r="F791" s="72"/>
    </row>
    <row r="792" ht="14.25" customHeight="1">
      <c r="A792" s="73"/>
      <c r="B792" s="73"/>
      <c r="C792" s="73"/>
      <c r="D792" s="73"/>
      <c r="E792" s="73"/>
      <c r="F792" s="72"/>
    </row>
    <row r="793" ht="14.25" customHeight="1">
      <c r="A793" s="73"/>
      <c r="B793" s="73"/>
      <c r="C793" s="73"/>
      <c r="D793" s="73"/>
      <c r="E793" s="73"/>
      <c r="F793" s="72"/>
    </row>
    <row r="794" ht="14.25" customHeight="1">
      <c r="A794" s="73"/>
      <c r="B794" s="73"/>
      <c r="C794" s="73"/>
      <c r="D794" s="73"/>
      <c r="E794" s="73"/>
      <c r="F794" s="72"/>
    </row>
    <row r="795" ht="14.25" customHeight="1">
      <c r="A795" s="73"/>
      <c r="B795" s="73"/>
      <c r="C795" s="73"/>
      <c r="D795" s="73"/>
      <c r="E795" s="73"/>
      <c r="F795" s="72"/>
    </row>
    <row r="796" ht="14.25" customHeight="1">
      <c r="A796" s="73"/>
      <c r="B796" s="73"/>
      <c r="C796" s="73"/>
      <c r="D796" s="73"/>
      <c r="E796" s="73"/>
      <c r="F796" s="72"/>
    </row>
    <row r="797" ht="14.25" customHeight="1">
      <c r="A797" s="73"/>
      <c r="B797" s="73"/>
      <c r="C797" s="73"/>
      <c r="D797" s="73"/>
      <c r="E797" s="73"/>
      <c r="F797" s="72"/>
    </row>
    <row r="798" ht="14.25" customHeight="1">
      <c r="A798" s="73"/>
      <c r="B798" s="73"/>
      <c r="C798" s="73"/>
      <c r="D798" s="73"/>
      <c r="E798" s="73"/>
      <c r="F798" s="72"/>
    </row>
    <row r="799" ht="14.25" customHeight="1">
      <c r="A799" s="73"/>
      <c r="B799" s="73"/>
      <c r="C799" s="73"/>
      <c r="D799" s="73"/>
      <c r="E799" s="73"/>
      <c r="F799" s="72"/>
    </row>
    <row r="800" ht="14.25" customHeight="1">
      <c r="A800" s="73"/>
      <c r="B800" s="73"/>
      <c r="C800" s="73"/>
      <c r="D800" s="73"/>
      <c r="E800" s="73"/>
      <c r="F800" s="72"/>
    </row>
    <row r="801" ht="14.25" customHeight="1">
      <c r="A801" s="73"/>
      <c r="B801" s="73"/>
      <c r="C801" s="73"/>
      <c r="D801" s="73"/>
      <c r="E801" s="73"/>
      <c r="F801" s="72"/>
    </row>
    <row r="802" ht="14.25" customHeight="1">
      <c r="A802" s="73"/>
      <c r="B802" s="73"/>
      <c r="C802" s="73"/>
      <c r="D802" s="73"/>
      <c r="E802" s="73"/>
      <c r="F802" s="72"/>
    </row>
    <row r="803" ht="14.25" customHeight="1">
      <c r="A803" s="73"/>
      <c r="B803" s="73"/>
      <c r="C803" s="73"/>
      <c r="D803" s="73"/>
      <c r="E803" s="73"/>
      <c r="F803" s="72"/>
    </row>
    <row r="804" ht="14.25" customHeight="1">
      <c r="A804" s="73"/>
      <c r="B804" s="73"/>
      <c r="C804" s="73"/>
      <c r="D804" s="73"/>
      <c r="E804" s="73"/>
      <c r="F804" s="72"/>
    </row>
    <row r="805" ht="14.25" customHeight="1">
      <c r="A805" s="73"/>
      <c r="B805" s="73"/>
      <c r="C805" s="73"/>
      <c r="D805" s="73"/>
      <c r="E805" s="73"/>
      <c r="F805" s="72"/>
    </row>
    <row r="806" ht="14.25" customHeight="1">
      <c r="A806" s="73"/>
      <c r="B806" s="73"/>
      <c r="C806" s="73"/>
      <c r="D806" s="73"/>
      <c r="E806" s="73"/>
      <c r="F806" s="72"/>
    </row>
    <row r="807" ht="14.25" customHeight="1">
      <c r="A807" s="73"/>
      <c r="B807" s="73"/>
      <c r="C807" s="73"/>
      <c r="D807" s="73"/>
      <c r="E807" s="73"/>
      <c r="F807" s="72"/>
    </row>
    <row r="808" ht="14.25" customHeight="1">
      <c r="A808" s="73"/>
      <c r="B808" s="73"/>
      <c r="C808" s="73"/>
      <c r="D808" s="73"/>
      <c r="E808" s="73"/>
      <c r="F808" s="72"/>
    </row>
    <row r="809" ht="14.25" customHeight="1">
      <c r="A809" s="73"/>
      <c r="B809" s="73"/>
      <c r="C809" s="73"/>
      <c r="D809" s="73"/>
      <c r="E809" s="73"/>
      <c r="F809" s="72"/>
    </row>
    <row r="810" ht="14.25" customHeight="1">
      <c r="A810" s="73"/>
      <c r="B810" s="73"/>
      <c r="C810" s="73"/>
      <c r="D810" s="73"/>
      <c r="E810" s="73"/>
      <c r="F810" s="72"/>
    </row>
    <row r="811" ht="14.25" customHeight="1">
      <c r="A811" s="73"/>
      <c r="B811" s="73"/>
      <c r="C811" s="73"/>
      <c r="D811" s="73"/>
      <c r="E811" s="73"/>
      <c r="F811" s="72"/>
    </row>
    <row r="812" ht="14.25" customHeight="1">
      <c r="A812" s="73"/>
      <c r="B812" s="73"/>
      <c r="C812" s="73"/>
      <c r="D812" s="73"/>
      <c r="E812" s="73"/>
      <c r="F812" s="72"/>
    </row>
    <row r="813" ht="14.25" customHeight="1">
      <c r="A813" s="73"/>
      <c r="B813" s="73"/>
      <c r="C813" s="73"/>
      <c r="D813" s="73"/>
      <c r="E813" s="73"/>
      <c r="F813" s="72"/>
    </row>
    <row r="814" ht="14.25" customHeight="1">
      <c r="A814" s="73"/>
      <c r="B814" s="73"/>
      <c r="C814" s="73"/>
      <c r="D814" s="73"/>
      <c r="E814" s="73"/>
      <c r="F814" s="72"/>
    </row>
    <row r="815" ht="14.25" customHeight="1">
      <c r="A815" s="73"/>
      <c r="B815" s="73"/>
      <c r="C815" s="73"/>
      <c r="D815" s="73"/>
      <c r="E815" s="73"/>
      <c r="F815" s="72"/>
    </row>
    <row r="816" ht="14.25" customHeight="1">
      <c r="A816" s="73"/>
      <c r="B816" s="73"/>
      <c r="C816" s="73"/>
      <c r="D816" s="73"/>
      <c r="E816" s="73"/>
      <c r="F816" s="72"/>
    </row>
    <row r="817" ht="14.25" customHeight="1">
      <c r="A817" s="73"/>
      <c r="B817" s="73"/>
      <c r="C817" s="73"/>
      <c r="D817" s="73"/>
      <c r="E817" s="73"/>
      <c r="F817" s="72"/>
    </row>
    <row r="818" ht="14.25" customHeight="1">
      <c r="A818" s="73"/>
      <c r="B818" s="73"/>
      <c r="C818" s="73"/>
      <c r="D818" s="73"/>
      <c r="E818" s="73"/>
      <c r="F818" s="72"/>
    </row>
    <row r="819" ht="14.25" customHeight="1">
      <c r="A819" s="73"/>
      <c r="B819" s="73"/>
      <c r="C819" s="73"/>
      <c r="D819" s="73"/>
      <c r="E819" s="73"/>
      <c r="F819" s="72"/>
    </row>
    <row r="820" ht="14.25" customHeight="1">
      <c r="A820" s="73"/>
      <c r="B820" s="73"/>
      <c r="C820" s="73"/>
      <c r="D820" s="73"/>
      <c r="E820" s="73"/>
      <c r="F820" s="72"/>
    </row>
    <row r="821" ht="14.25" customHeight="1">
      <c r="A821" s="73"/>
      <c r="B821" s="73"/>
      <c r="C821" s="73"/>
      <c r="D821" s="73"/>
      <c r="E821" s="73"/>
      <c r="F821" s="72"/>
    </row>
    <row r="822" ht="14.25" customHeight="1">
      <c r="A822" s="73"/>
      <c r="B822" s="73"/>
      <c r="C822" s="73"/>
      <c r="D822" s="73"/>
      <c r="E822" s="73"/>
      <c r="F822" s="72"/>
    </row>
    <row r="823" ht="14.25" customHeight="1">
      <c r="A823" s="73"/>
      <c r="B823" s="73"/>
      <c r="C823" s="73"/>
      <c r="D823" s="73"/>
      <c r="E823" s="73"/>
      <c r="F823" s="72"/>
    </row>
    <row r="824" ht="14.25" customHeight="1">
      <c r="A824" s="73"/>
      <c r="B824" s="73"/>
      <c r="C824" s="73"/>
      <c r="D824" s="73"/>
      <c r="E824" s="73"/>
      <c r="F824" s="72"/>
    </row>
    <row r="825" ht="14.25" customHeight="1">
      <c r="A825" s="73"/>
      <c r="B825" s="73"/>
      <c r="C825" s="73"/>
      <c r="D825" s="73"/>
      <c r="E825" s="73"/>
      <c r="F825" s="72"/>
    </row>
    <row r="826" ht="14.25" customHeight="1">
      <c r="A826" s="73"/>
      <c r="B826" s="73"/>
      <c r="C826" s="73"/>
      <c r="D826" s="73"/>
      <c r="E826" s="73"/>
      <c r="F826" s="72"/>
    </row>
    <row r="827" ht="14.25" customHeight="1">
      <c r="A827" s="73"/>
      <c r="B827" s="73"/>
      <c r="C827" s="73"/>
      <c r="D827" s="73"/>
      <c r="E827" s="73"/>
      <c r="F827" s="72"/>
    </row>
    <row r="828" ht="14.25" customHeight="1">
      <c r="A828" s="73"/>
      <c r="B828" s="73"/>
      <c r="C828" s="73"/>
      <c r="D828" s="73"/>
      <c r="E828" s="73"/>
      <c r="F828" s="72"/>
    </row>
    <row r="829" ht="14.25" customHeight="1">
      <c r="A829" s="73"/>
      <c r="B829" s="73"/>
      <c r="C829" s="73"/>
      <c r="D829" s="73"/>
      <c r="E829" s="73"/>
      <c r="F829" s="72"/>
    </row>
    <row r="830" ht="14.25" customHeight="1">
      <c r="A830" s="73"/>
      <c r="B830" s="73"/>
      <c r="C830" s="73"/>
      <c r="D830" s="73"/>
      <c r="E830" s="73"/>
      <c r="F830" s="72"/>
    </row>
    <row r="831" ht="14.25" customHeight="1">
      <c r="A831" s="73"/>
      <c r="B831" s="73"/>
      <c r="C831" s="73"/>
      <c r="D831" s="73"/>
      <c r="E831" s="73"/>
      <c r="F831" s="72"/>
    </row>
    <row r="832" ht="14.25" customHeight="1">
      <c r="A832" s="73"/>
      <c r="B832" s="73"/>
      <c r="C832" s="73"/>
      <c r="D832" s="73"/>
      <c r="E832" s="73"/>
      <c r="F832" s="72"/>
    </row>
    <row r="833" ht="14.25" customHeight="1">
      <c r="A833" s="73"/>
      <c r="B833" s="73"/>
      <c r="C833" s="73"/>
      <c r="D833" s="73"/>
      <c r="E833" s="73"/>
      <c r="F833" s="72"/>
    </row>
    <row r="834" ht="14.25" customHeight="1">
      <c r="A834" s="73"/>
      <c r="B834" s="73"/>
      <c r="C834" s="73"/>
      <c r="D834" s="73"/>
      <c r="E834" s="73"/>
      <c r="F834" s="72"/>
    </row>
    <row r="835" ht="14.25" customHeight="1">
      <c r="A835" s="73"/>
      <c r="B835" s="73"/>
      <c r="C835" s="73"/>
      <c r="D835" s="73"/>
      <c r="E835" s="73"/>
      <c r="F835" s="72"/>
    </row>
    <row r="836" ht="14.25" customHeight="1">
      <c r="A836" s="73"/>
      <c r="B836" s="73"/>
      <c r="C836" s="73"/>
      <c r="D836" s="73"/>
      <c r="E836" s="73"/>
      <c r="F836" s="72"/>
    </row>
    <row r="837" ht="14.25" customHeight="1">
      <c r="A837" s="73"/>
      <c r="B837" s="73"/>
      <c r="C837" s="73"/>
      <c r="D837" s="73"/>
      <c r="E837" s="73"/>
      <c r="F837" s="72"/>
    </row>
    <row r="838" ht="14.25" customHeight="1">
      <c r="A838" s="73"/>
      <c r="B838" s="73"/>
      <c r="C838" s="73"/>
      <c r="D838" s="73"/>
      <c r="E838" s="73"/>
      <c r="F838" s="72"/>
    </row>
    <row r="839" ht="14.25" customHeight="1">
      <c r="A839" s="73"/>
      <c r="B839" s="73"/>
      <c r="C839" s="73"/>
      <c r="D839" s="73"/>
      <c r="E839" s="73"/>
      <c r="F839" s="72"/>
    </row>
    <row r="840" ht="14.25" customHeight="1">
      <c r="A840" s="73"/>
      <c r="B840" s="73"/>
      <c r="C840" s="73"/>
      <c r="D840" s="73"/>
      <c r="E840" s="73"/>
      <c r="F840" s="72"/>
    </row>
    <row r="841" ht="14.25" customHeight="1">
      <c r="A841" s="73"/>
      <c r="B841" s="73"/>
      <c r="C841" s="73"/>
      <c r="D841" s="73"/>
      <c r="E841" s="73"/>
      <c r="F841" s="72"/>
    </row>
    <row r="842" ht="14.25" customHeight="1">
      <c r="A842" s="73"/>
      <c r="B842" s="73"/>
      <c r="C842" s="73"/>
      <c r="D842" s="73"/>
      <c r="E842" s="73"/>
      <c r="F842" s="72"/>
    </row>
    <row r="843" ht="14.25" customHeight="1">
      <c r="A843" s="73"/>
      <c r="B843" s="73"/>
      <c r="C843" s="73"/>
      <c r="D843" s="73"/>
      <c r="E843" s="73"/>
      <c r="F843" s="72"/>
    </row>
    <row r="844" ht="14.25" customHeight="1">
      <c r="A844" s="73"/>
      <c r="B844" s="73"/>
      <c r="C844" s="73"/>
      <c r="D844" s="73"/>
      <c r="E844" s="73"/>
      <c r="F844" s="72"/>
    </row>
    <row r="845" ht="14.25" customHeight="1">
      <c r="A845" s="73"/>
      <c r="B845" s="73"/>
      <c r="C845" s="73"/>
      <c r="D845" s="73"/>
      <c r="E845" s="73"/>
      <c r="F845" s="72"/>
    </row>
    <row r="846" ht="14.25" customHeight="1">
      <c r="A846" s="73"/>
      <c r="B846" s="73"/>
      <c r="C846" s="73"/>
      <c r="D846" s="73"/>
      <c r="E846" s="73"/>
      <c r="F846" s="72"/>
    </row>
    <row r="847" ht="14.25" customHeight="1">
      <c r="A847" s="73"/>
      <c r="B847" s="73"/>
      <c r="C847" s="73"/>
      <c r="D847" s="73"/>
      <c r="E847" s="73"/>
      <c r="F847" s="72"/>
    </row>
    <row r="848" ht="14.25" customHeight="1">
      <c r="A848" s="73"/>
      <c r="B848" s="73"/>
      <c r="C848" s="73"/>
      <c r="D848" s="73"/>
      <c r="E848" s="73"/>
      <c r="F848" s="72"/>
    </row>
    <row r="849" ht="14.25" customHeight="1">
      <c r="A849" s="73"/>
      <c r="B849" s="73"/>
      <c r="C849" s="73"/>
      <c r="D849" s="73"/>
      <c r="E849" s="73"/>
      <c r="F849" s="72"/>
    </row>
    <row r="850" ht="14.25" customHeight="1">
      <c r="A850" s="73"/>
      <c r="B850" s="73"/>
      <c r="C850" s="73"/>
      <c r="D850" s="73"/>
      <c r="E850" s="73"/>
      <c r="F850" s="72"/>
    </row>
    <row r="851" ht="14.25" customHeight="1">
      <c r="A851" s="73"/>
      <c r="B851" s="73"/>
      <c r="C851" s="73"/>
      <c r="D851" s="73"/>
      <c r="E851" s="73"/>
      <c r="F851" s="72"/>
    </row>
    <row r="852" ht="14.25" customHeight="1">
      <c r="A852" s="73"/>
      <c r="B852" s="73"/>
      <c r="C852" s="73"/>
      <c r="D852" s="73"/>
      <c r="E852" s="73"/>
      <c r="F852" s="72"/>
    </row>
    <row r="853" ht="14.25" customHeight="1">
      <c r="A853" s="73"/>
      <c r="B853" s="73"/>
      <c r="C853" s="73"/>
      <c r="D853" s="73"/>
      <c r="E853" s="73"/>
      <c r="F853" s="72"/>
    </row>
    <row r="854" ht="14.25" customHeight="1">
      <c r="A854" s="73"/>
      <c r="B854" s="73"/>
      <c r="C854" s="73"/>
      <c r="D854" s="73"/>
      <c r="E854" s="73"/>
      <c r="F854" s="72"/>
    </row>
    <row r="855" ht="14.25" customHeight="1">
      <c r="A855" s="73"/>
      <c r="B855" s="73"/>
      <c r="C855" s="73"/>
      <c r="D855" s="73"/>
      <c r="E855" s="73"/>
      <c r="F855" s="72"/>
    </row>
    <row r="856" ht="14.25" customHeight="1">
      <c r="A856" s="73"/>
      <c r="B856" s="73"/>
      <c r="C856" s="73"/>
      <c r="D856" s="73"/>
      <c r="E856" s="73"/>
      <c r="F856" s="72"/>
    </row>
    <row r="857" ht="14.25" customHeight="1">
      <c r="A857" s="73"/>
      <c r="B857" s="73"/>
      <c r="C857" s="73"/>
      <c r="D857" s="73"/>
      <c r="E857" s="73"/>
      <c r="F857" s="72"/>
    </row>
    <row r="858" ht="14.25" customHeight="1">
      <c r="A858" s="73"/>
      <c r="B858" s="73"/>
      <c r="C858" s="73"/>
      <c r="D858" s="73"/>
      <c r="E858" s="73"/>
      <c r="F858" s="72"/>
    </row>
    <row r="859" ht="14.25" customHeight="1">
      <c r="A859" s="73"/>
      <c r="B859" s="73"/>
      <c r="C859" s="73"/>
      <c r="D859" s="73"/>
      <c r="E859" s="73"/>
      <c r="F859" s="72"/>
    </row>
    <row r="860" ht="14.25" customHeight="1">
      <c r="A860" s="73"/>
      <c r="B860" s="73"/>
      <c r="C860" s="73"/>
      <c r="D860" s="73"/>
      <c r="E860" s="73"/>
      <c r="F860" s="72"/>
    </row>
    <row r="861" ht="14.25" customHeight="1">
      <c r="A861" s="73"/>
      <c r="B861" s="73"/>
      <c r="C861" s="73"/>
      <c r="D861" s="73"/>
      <c r="E861" s="73"/>
      <c r="F861" s="72"/>
    </row>
    <row r="862" ht="14.25" customHeight="1">
      <c r="A862" s="73"/>
      <c r="B862" s="73"/>
      <c r="C862" s="73"/>
      <c r="D862" s="73"/>
      <c r="E862" s="73"/>
      <c r="F862" s="72"/>
    </row>
    <row r="863" ht="14.25" customHeight="1">
      <c r="A863" s="73"/>
      <c r="B863" s="73"/>
      <c r="C863" s="73"/>
      <c r="D863" s="73"/>
      <c r="E863" s="73"/>
      <c r="F863" s="72"/>
    </row>
    <row r="864" ht="14.25" customHeight="1">
      <c r="A864" s="73"/>
      <c r="B864" s="73"/>
      <c r="C864" s="73"/>
      <c r="D864" s="73"/>
      <c r="E864" s="73"/>
      <c r="F864" s="72"/>
    </row>
    <row r="865" ht="14.25" customHeight="1">
      <c r="A865" s="73"/>
      <c r="B865" s="73"/>
      <c r="C865" s="73"/>
      <c r="D865" s="73"/>
      <c r="E865" s="73"/>
      <c r="F865" s="72"/>
    </row>
    <row r="866" ht="14.25" customHeight="1">
      <c r="A866" s="73"/>
      <c r="B866" s="73"/>
      <c r="C866" s="73"/>
      <c r="D866" s="73"/>
      <c r="E866" s="73"/>
      <c r="F866" s="72"/>
    </row>
    <row r="867" ht="14.25" customHeight="1">
      <c r="A867" s="73"/>
      <c r="B867" s="73"/>
      <c r="C867" s="73"/>
      <c r="D867" s="73"/>
      <c r="E867" s="73"/>
      <c r="F867" s="72"/>
    </row>
    <row r="868" ht="14.25" customHeight="1">
      <c r="A868" s="73"/>
      <c r="B868" s="73"/>
      <c r="C868" s="73"/>
      <c r="D868" s="73"/>
      <c r="E868" s="73"/>
      <c r="F868" s="72"/>
    </row>
    <row r="869" ht="14.25" customHeight="1">
      <c r="A869" s="73"/>
      <c r="B869" s="73"/>
      <c r="C869" s="73"/>
      <c r="D869" s="73"/>
      <c r="E869" s="73"/>
      <c r="F869" s="72"/>
    </row>
    <row r="870" ht="14.25" customHeight="1">
      <c r="A870" s="73"/>
      <c r="B870" s="73"/>
      <c r="C870" s="73"/>
      <c r="D870" s="73"/>
      <c r="E870" s="73"/>
      <c r="F870" s="72"/>
    </row>
    <row r="871" ht="14.25" customHeight="1">
      <c r="A871" s="73"/>
      <c r="B871" s="73"/>
      <c r="C871" s="73"/>
      <c r="D871" s="73"/>
      <c r="E871" s="73"/>
      <c r="F871" s="72"/>
    </row>
    <row r="872" ht="14.25" customHeight="1">
      <c r="A872" s="73"/>
      <c r="B872" s="73"/>
      <c r="C872" s="73"/>
      <c r="D872" s="73"/>
      <c r="E872" s="73"/>
      <c r="F872" s="72"/>
    </row>
    <row r="873" ht="14.25" customHeight="1">
      <c r="A873" s="73"/>
      <c r="B873" s="73"/>
      <c r="C873" s="73"/>
      <c r="D873" s="73"/>
      <c r="E873" s="73"/>
      <c r="F873" s="72"/>
    </row>
    <row r="874" ht="14.25" customHeight="1">
      <c r="A874" s="73"/>
      <c r="B874" s="73"/>
      <c r="C874" s="73"/>
      <c r="D874" s="73"/>
      <c r="E874" s="73"/>
      <c r="F874" s="72"/>
    </row>
    <row r="875" ht="14.25" customHeight="1">
      <c r="A875" s="73"/>
      <c r="B875" s="73"/>
      <c r="C875" s="73"/>
      <c r="D875" s="73"/>
      <c r="E875" s="73"/>
      <c r="F875" s="72"/>
    </row>
    <row r="876" ht="14.25" customHeight="1">
      <c r="A876" s="73"/>
      <c r="B876" s="73"/>
      <c r="C876" s="73"/>
      <c r="D876" s="73"/>
      <c r="E876" s="73"/>
      <c r="F876" s="72"/>
    </row>
    <row r="877" ht="14.25" customHeight="1">
      <c r="A877" s="73"/>
      <c r="B877" s="73"/>
      <c r="C877" s="73"/>
      <c r="D877" s="73"/>
      <c r="E877" s="73"/>
      <c r="F877" s="72"/>
    </row>
    <row r="878" ht="14.25" customHeight="1">
      <c r="A878" s="73"/>
      <c r="B878" s="73"/>
      <c r="C878" s="73"/>
      <c r="D878" s="73"/>
      <c r="E878" s="73"/>
      <c r="F878" s="72"/>
    </row>
    <row r="879" ht="14.25" customHeight="1">
      <c r="A879" s="73"/>
      <c r="B879" s="73"/>
      <c r="C879" s="73"/>
      <c r="D879" s="73"/>
      <c r="E879" s="73"/>
      <c r="F879" s="72"/>
    </row>
    <row r="880" ht="14.25" customHeight="1">
      <c r="A880" s="73"/>
      <c r="B880" s="73"/>
      <c r="C880" s="73"/>
      <c r="D880" s="73"/>
      <c r="E880" s="73"/>
      <c r="F880" s="72"/>
    </row>
    <row r="881" ht="14.25" customHeight="1">
      <c r="A881" s="73"/>
      <c r="B881" s="73"/>
      <c r="C881" s="73"/>
      <c r="D881" s="73"/>
      <c r="E881" s="73"/>
      <c r="F881" s="72"/>
    </row>
    <row r="882" ht="14.25" customHeight="1">
      <c r="A882" s="73"/>
      <c r="B882" s="73"/>
      <c r="C882" s="73"/>
      <c r="D882" s="73"/>
      <c r="E882" s="73"/>
      <c r="F882" s="72"/>
    </row>
    <row r="883" ht="14.25" customHeight="1">
      <c r="A883" s="73"/>
      <c r="B883" s="73"/>
      <c r="C883" s="73"/>
      <c r="D883" s="73"/>
      <c r="E883" s="73"/>
      <c r="F883" s="72"/>
    </row>
    <row r="884" ht="14.25" customHeight="1">
      <c r="A884" s="73"/>
      <c r="B884" s="73"/>
      <c r="C884" s="73"/>
      <c r="D884" s="73"/>
      <c r="E884" s="73"/>
      <c r="F884" s="72"/>
    </row>
    <row r="885" ht="14.25" customHeight="1">
      <c r="A885" s="73"/>
      <c r="B885" s="73"/>
      <c r="C885" s="73"/>
      <c r="D885" s="73"/>
      <c r="E885" s="73"/>
      <c r="F885" s="72"/>
    </row>
    <row r="886" ht="14.25" customHeight="1">
      <c r="A886" s="73"/>
      <c r="B886" s="73"/>
      <c r="C886" s="73"/>
      <c r="D886" s="73"/>
      <c r="E886" s="73"/>
      <c r="F886" s="72"/>
    </row>
    <row r="887" ht="14.25" customHeight="1">
      <c r="A887" s="73"/>
      <c r="B887" s="73"/>
      <c r="C887" s="73"/>
      <c r="D887" s="73"/>
      <c r="E887" s="73"/>
      <c r="F887" s="72"/>
    </row>
    <row r="888" ht="14.25" customHeight="1">
      <c r="A888" s="73"/>
      <c r="B888" s="73"/>
      <c r="C888" s="73"/>
      <c r="D888" s="73"/>
      <c r="E888" s="73"/>
      <c r="F888" s="72"/>
    </row>
    <row r="889" ht="14.25" customHeight="1">
      <c r="A889" s="73"/>
      <c r="B889" s="73"/>
      <c r="C889" s="73"/>
      <c r="D889" s="73"/>
      <c r="E889" s="73"/>
      <c r="F889" s="72"/>
    </row>
    <row r="890" ht="14.25" customHeight="1">
      <c r="A890" s="73"/>
      <c r="B890" s="73"/>
      <c r="C890" s="73"/>
      <c r="D890" s="73"/>
      <c r="E890" s="73"/>
      <c r="F890" s="72"/>
    </row>
    <row r="891" ht="14.25" customHeight="1">
      <c r="A891" s="73"/>
      <c r="B891" s="73"/>
      <c r="C891" s="73"/>
      <c r="D891" s="73"/>
      <c r="E891" s="73"/>
      <c r="F891" s="72"/>
    </row>
    <row r="892" ht="14.25" customHeight="1">
      <c r="A892" s="73"/>
      <c r="B892" s="73"/>
      <c r="C892" s="73"/>
      <c r="D892" s="73"/>
      <c r="E892" s="73"/>
      <c r="F892" s="72"/>
    </row>
    <row r="893" ht="14.25" customHeight="1">
      <c r="A893" s="73"/>
      <c r="B893" s="73"/>
      <c r="C893" s="73"/>
      <c r="D893" s="73"/>
      <c r="E893" s="73"/>
      <c r="F893" s="72"/>
    </row>
    <row r="894" ht="14.25" customHeight="1">
      <c r="A894" s="73"/>
      <c r="B894" s="73"/>
      <c r="C894" s="73"/>
      <c r="D894" s="73"/>
      <c r="E894" s="73"/>
      <c r="F894" s="72"/>
    </row>
    <row r="895" ht="14.25" customHeight="1">
      <c r="A895" s="73"/>
      <c r="B895" s="73"/>
      <c r="C895" s="73"/>
      <c r="D895" s="73"/>
      <c r="E895" s="73"/>
      <c r="F895" s="72"/>
    </row>
    <row r="896" ht="14.25" customHeight="1">
      <c r="A896" s="73"/>
      <c r="B896" s="73"/>
      <c r="C896" s="73"/>
      <c r="D896" s="73"/>
      <c r="E896" s="73"/>
      <c r="F896" s="72"/>
    </row>
    <row r="897" ht="14.25" customHeight="1">
      <c r="A897" s="73"/>
      <c r="B897" s="73"/>
      <c r="C897" s="73"/>
      <c r="D897" s="73"/>
      <c r="E897" s="73"/>
      <c r="F897" s="72"/>
    </row>
    <row r="898" ht="14.25" customHeight="1">
      <c r="A898" s="73"/>
      <c r="B898" s="73"/>
      <c r="C898" s="73"/>
      <c r="D898" s="73"/>
      <c r="E898" s="73"/>
      <c r="F898" s="72"/>
    </row>
    <row r="899" ht="14.25" customHeight="1">
      <c r="A899" s="73"/>
      <c r="B899" s="73"/>
      <c r="C899" s="73"/>
      <c r="D899" s="73"/>
      <c r="E899" s="73"/>
      <c r="F899" s="72"/>
    </row>
    <row r="900" ht="14.25" customHeight="1">
      <c r="A900" s="73"/>
      <c r="B900" s="73"/>
      <c r="C900" s="73"/>
      <c r="D900" s="73"/>
      <c r="E900" s="73"/>
      <c r="F900" s="72"/>
    </row>
    <row r="901" ht="14.25" customHeight="1">
      <c r="A901" s="73"/>
      <c r="B901" s="73"/>
      <c r="C901" s="73"/>
      <c r="D901" s="73"/>
      <c r="E901" s="73"/>
      <c r="F901" s="72"/>
    </row>
    <row r="902" ht="14.25" customHeight="1">
      <c r="A902" s="73"/>
      <c r="B902" s="73"/>
      <c r="C902" s="73"/>
      <c r="D902" s="73"/>
      <c r="E902" s="73"/>
      <c r="F902" s="72"/>
    </row>
    <row r="903" ht="14.25" customHeight="1">
      <c r="A903" s="73"/>
      <c r="B903" s="73"/>
      <c r="C903" s="73"/>
      <c r="D903" s="73"/>
      <c r="E903" s="73"/>
      <c r="F903" s="72"/>
    </row>
    <row r="904" ht="14.25" customHeight="1">
      <c r="A904" s="73"/>
      <c r="B904" s="73"/>
      <c r="C904" s="73"/>
      <c r="D904" s="73"/>
      <c r="E904" s="73"/>
      <c r="F904" s="72"/>
    </row>
    <row r="905" ht="14.25" customHeight="1">
      <c r="A905" s="73"/>
      <c r="B905" s="73"/>
      <c r="C905" s="73"/>
      <c r="D905" s="73"/>
      <c r="E905" s="73"/>
      <c r="F905" s="72"/>
    </row>
    <row r="906" ht="14.25" customHeight="1">
      <c r="A906" s="73"/>
      <c r="B906" s="73"/>
      <c r="C906" s="73"/>
      <c r="D906" s="73"/>
      <c r="E906" s="73"/>
      <c r="F906" s="72"/>
    </row>
    <row r="907" ht="14.25" customHeight="1">
      <c r="A907" s="73"/>
      <c r="B907" s="73"/>
      <c r="C907" s="73"/>
      <c r="D907" s="73"/>
      <c r="E907" s="73"/>
      <c r="F907" s="72"/>
    </row>
    <row r="908" ht="14.25" customHeight="1">
      <c r="A908" s="73"/>
      <c r="B908" s="73"/>
      <c r="C908" s="73"/>
      <c r="D908" s="73"/>
      <c r="E908" s="73"/>
      <c r="F908" s="72"/>
    </row>
    <row r="909" ht="14.25" customHeight="1">
      <c r="A909" s="73"/>
      <c r="B909" s="73"/>
      <c r="C909" s="73"/>
      <c r="D909" s="73"/>
      <c r="E909" s="73"/>
      <c r="F909" s="72"/>
    </row>
    <row r="910" ht="14.25" customHeight="1">
      <c r="A910" s="73"/>
      <c r="B910" s="73"/>
      <c r="C910" s="73"/>
      <c r="D910" s="73"/>
      <c r="E910" s="73"/>
      <c r="F910" s="72"/>
    </row>
    <row r="911" ht="14.25" customHeight="1">
      <c r="A911" s="73"/>
      <c r="B911" s="73"/>
      <c r="C911" s="73"/>
      <c r="D911" s="73"/>
      <c r="E911" s="73"/>
      <c r="F911" s="72"/>
    </row>
    <row r="912" ht="14.25" customHeight="1">
      <c r="A912" s="73"/>
      <c r="B912" s="73"/>
      <c r="C912" s="73"/>
      <c r="D912" s="73"/>
      <c r="E912" s="73"/>
      <c r="F912" s="72"/>
    </row>
    <row r="913" ht="14.25" customHeight="1">
      <c r="A913" s="73"/>
      <c r="B913" s="73"/>
      <c r="C913" s="73"/>
      <c r="D913" s="73"/>
      <c r="E913" s="73"/>
      <c r="F913" s="72"/>
    </row>
    <row r="914" ht="14.25" customHeight="1">
      <c r="A914" s="73"/>
      <c r="B914" s="73"/>
      <c r="C914" s="73"/>
      <c r="D914" s="73"/>
      <c r="E914" s="73"/>
      <c r="F914" s="72"/>
    </row>
    <row r="915" ht="14.25" customHeight="1">
      <c r="A915" s="73"/>
      <c r="B915" s="73"/>
      <c r="C915" s="73"/>
      <c r="D915" s="73"/>
      <c r="E915" s="73"/>
      <c r="F915" s="72"/>
    </row>
    <row r="916" ht="14.25" customHeight="1">
      <c r="A916" s="73"/>
      <c r="B916" s="73"/>
      <c r="C916" s="73"/>
      <c r="D916" s="73"/>
      <c r="E916" s="73"/>
      <c r="F916" s="72"/>
    </row>
    <row r="917" ht="14.25" customHeight="1">
      <c r="A917" s="73"/>
      <c r="B917" s="73"/>
      <c r="C917" s="73"/>
      <c r="D917" s="73"/>
      <c r="E917" s="73"/>
      <c r="F917" s="72"/>
    </row>
    <row r="918" ht="14.25" customHeight="1">
      <c r="A918" s="73"/>
      <c r="B918" s="73"/>
      <c r="C918" s="73"/>
      <c r="D918" s="73"/>
      <c r="E918" s="73"/>
      <c r="F918" s="72"/>
    </row>
    <row r="919" ht="14.25" customHeight="1">
      <c r="A919" s="73"/>
      <c r="B919" s="73"/>
      <c r="C919" s="73"/>
      <c r="D919" s="73"/>
      <c r="E919" s="73"/>
      <c r="F919" s="72"/>
    </row>
    <row r="920" ht="14.25" customHeight="1">
      <c r="A920" s="73"/>
      <c r="B920" s="73"/>
      <c r="C920" s="73"/>
      <c r="D920" s="73"/>
      <c r="E920" s="73"/>
      <c r="F920" s="72"/>
    </row>
    <row r="921" ht="14.25" customHeight="1">
      <c r="A921" s="73"/>
      <c r="B921" s="73"/>
      <c r="C921" s="73"/>
      <c r="D921" s="73"/>
      <c r="E921" s="73"/>
      <c r="F921" s="72"/>
    </row>
    <row r="922" ht="14.25" customHeight="1">
      <c r="A922" s="73"/>
      <c r="B922" s="73"/>
      <c r="C922" s="73"/>
      <c r="D922" s="73"/>
      <c r="E922" s="73"/>
      <c r="F922" s="72"/>
    </row>
    <row r="923" ht="14.25" customHeight="1">
      <c r="A923" s="73"/>
      <c r="B923" s="73"/>
      <c r="C923" s="73"/>
      <c r="D923" s="73"/>
      <c r="E923" s="73"/>
      <c r="F923" s="72"/>
    </row>
    <row r="924" ht="14.25" customHeight="1">
      <c r="A924" s="73"/>
      <c r="B924" s="73"/>
      <c r="C924" s="73"/>
      <c r="D924" s="73"/>
      <c r="E924" s="73"/>
      <c r="F924" s="72"/>
    </row>
    <row r="925" ht="14.25" customHeight="1">
      <c r="A925" s="73"/>
      <c r="B925" s="73"/>
      <c r="C925" s="73"/>
      <c r="D925" s="73"/>
      <c r="E925" s="73"/>
      <c r="F925" s="72"/>
    </row>
    <row r="926" ht="14.25" customHeight="1">
      <c r="A926" s="73"/>
      <c r="B926" s="73"/>
      <c r="C926" s="73"/>
      <c r="D926" s="73"/>
      <c r="E926" s="73"/>
      <c r="F926" s="72"/>
    </row>
    <row r="927" ht="14.25" customHeight="1">
      <c r="A927" s="73"/>
      <c r="B927" s="73"/>
      <c r="C927" s="73"/>
      <c r="D927" s="73"/>
      <c r="E927" s="73"/>
      <c r="F927" s="72"/>
    </row>
    <row r="928" ht="14.25" customHeight="1">
      <c r="A928" s="73"/>
      <c r="B928" s="73"/>
      <c r="C928" s="73"/>
      <c r="D928" s="73"/>
      <c r="E928" s="73"/>
      <c r="F928" s="72"/>
    </row>
    <row r="929" ht="14.25" customHeight="1">
      <c r="A929" s="73"/>
      <c r="B929" s="73"/>
      <c r="C929" s="73"/>
      <c r="D929" s="73"/>
      <c r="E929" s="73"/>
      <c r="F929" s="72"/>
    </row>
    <row r="930" ht="14.25" customHeight="1">
      <c r="A930" s="73"/>
      <c r="B930" s="73"/>
      <c r="C930" s="73"/>
      <c r="D930" s="73"/>
      <c r="E930" s="73"/>
      <c r="F930" s="72"/>
    </row>
    <row r="931" ht="14.25" customHeight="1">
      <c r="A931" s="73"/>
      <c r="B931" s="73"/>
      <c r="C931" s="73"/>
      <c r="D931" s="73"/>
      <c r="E931" s="73"/>
      <c r="F931" s="72"/>
    </row>
    <row r="932" ht="14.25" customHeight="1">
      <c r="A932" s="73"/>
      <c r="B932" s="73"/>
      <c r="C932" s="73"/>
      <c r="D932" s="73"/>
      <c r="E932" s="73"/>
      <c r="F932" s="72"/>
    </row>
    <row r="933" ht="14.25" customHeight="1">
      <c r="A933" s="73"/>
      <c r="B933" s="73"/>
      <c r="C933" s="73"/>
      <c r="D933" s="73"/>
      <c r="E933" s="73"/>
      <c r="F933" s="72"/>
    </row>
    <row r="934" ht="14.25" customHeight="1">
      <c r="A934" s="73"/>
      <c r="B934" s="73"/>
      <c r="C934" s="73"/>
      <c r="D934" s="73"/>
      <c r="E934" s="73"/>
      <c r="F934" s="72"/>
    </row>
    <row r="935" ht="14.25" customHeight="1">
      <c r="A935" s="73"/>
      <c r="B935" s="73"/>
      <c r="C935" s="73"/>
      <c r="D935" s="73"/>
      <c r="E935" s="73"/>
      <c r="F935" s="72"/>
    </row>
    <row r="936" ht="14.25" customHeight="1">
      <c r="A936" s="73"/>
      <c r="B936" s="73"/>
      <c r="C936" s="73"/>
      <c r="D936" s="73"/>
      <c r="E936" s="73"/>
      <c r="F936" s="72"/>
    </row>
    <row r="937" ht="14.25" customHeight="1">
      <c r="A937" s="73"/>
      <c r="B937" s="73"/>
      <c r="C937" s="73"/>
      <c r="D937" s="73"/>
      <c r="E937" s="73"/>
      <c r="F937" s="72"/>
    </row>
    <row r="938" ht="14.25" customHeight="1">
      <c r="A938" s="73"/>
      <c r="B938" s="73"/>
      <c r="C938" s="73"/>
      <c r="D938" s="73"/>
      <c r="E938" s="73"/>
      <c r="F938" s="72"/>
    </row>
    <row r="939" ht="14.25" customHeight="1">
      <c r="A939" s="73"/>
      <c r="B939" s="73"/>
      <c r="C939" s="73"/>
      <c r="D939" s="73"/>
      <c r="E939" s="73"/>
      <c r="F939" s="72"/>
    </row>
    <row r="940" ht="14.25" customHeight="1">
      <c r="A940" s="73"/>
      <c r="B940" s="73"/>
      <c r="C940" s="73"/>
      <c r="D940" s="73"/>
      <c r="E940" s="73"/>
      <c r="F940" s="72"/>
    </row>
    <row r="941" ht="14.25" customHeight="1">
      <c r="A941" s="73"/>
      <c r="B941" s="73"/>
      <c r="C941" s="73"/>
      <c r="D941" s="73"/>
      <c r="E941" s="73"/>
      <c r="F941" s="72"/>
    </row>
    <row r="942" ht="14.25" customHeight="1">
      <c r="A942" s="73"/>
      <c r="B942" s="73"/>
      <c r="C942" s="73"/>
      <c r="D942" s="73"/>
      <c r="E942" s="73"/>
      <c r="F942" s="72"/>
    </row>
    <row r="943" ht="14.25" customHeight="1">
      <c r="A943" s="73"/>
      <c r="B943" s="73"/>
      <c r="C943" s="73"/>
      <c r="D943" s="73"/>
      <c r="E943" s="73"/>
      <c r="F943" s="72"/>
    </row>
    <row r="944" ht="14.25" customHeight="1">
      <c r="A944" s="73"/>
      <c r="B944" s="73"/>
      <c r="C944" s="73"/>
      <c r="D944" s="73"/>
      <c r="E944" s="73"/>
      <c r="F944" s="72"/>
    </row>
    <row r="945" ht="14.25" customHeight="1">
      <c r="A945" s="73"/>
      <c r="B945" s="73"/>
      <c r="C945" s="73"/>
      <c r="D945" s="73"/>
      <c r="E945" s="73"/>
      <c r="F945" s="72"/>
    </row>
    <row r="946" ht="14.25" customHeight="1">
      <c r="A946" s="73"/>
      <c r="B946" s="73"/>
      <c r="C946" s="73"/>
      <c r="D946" s="73"/>
      <c r="E946" s="73"/>
      <c r="F946" s="72"/>
    </row>
    <row r="947" ht="14.25" customHeight="1">
      <c r="A947" s="73"/>
      <c r="B947" s="73"/>
      <c r="C947" s="73"/>
      <c r="D947" s="73"/>
      <c r="E947" s="73"/>
      <c r="F947" s="72"/>
    </row>
    <row r="948" ht="14.25" customHeight="1">
      <c r="A948" s="73"/>
      <c r="B948" s="73"/>
      <c r="C948" s="73"/>
      <c r="D948" s="73"/>
      <c r="E948" s="73"/>
      <c r="F948" s="72"/>
    </row>
    <row r="949" ht="14.25" customHeight="1">
      <c r="A949" s="73"/>
      <c r="B949" s="73"/>
      <c r="C949" s="73"/>
      <c r="D949" s="73"/>
      <c r="E949" s="73"/>
      <c r="F949" s="72"/>
    </row>
    <row r="950" ht="14.25" customHeight="1">
      <c r="A950" s="73"/>
      <c r="B950" s="73"/>
      <c r="C950" s="73"/>
      <c r="D950" s="73"/>
      <c r="E950" s="73"/>
      <c r="F950" s="72"/>
    </row>
    <row r="951" ht="14.25" customHeight="1">
      <c r="A951" s="73"/>
      <c r="B951" s="73"/>
      <c r="C951" s="73"/>
      <c r="D951" s="73"/>
      <c r="E951" s="73"/>
      <c r="F951" s="72"/>
    </row>
    <row r="952" ht="14.25" customHeight="1">
      <c r="A952" s="73"/>
      <c r="B952" s="73"/>
      <c r="C952" s="73"/>
      <c r="D952" s="73"/>
      <c r="E952" s="73"/>
      <c r="F952" s="72"/>
    </row>
    <row r="953" ht="14.25" customHeight="1">
      <c r="A953" s="73"/>
      <c r="B953" s="73"/>
      <c r="C953" s="73"/>
      <c r="D953" s="73"/>
      <c r="E953" s="73"/>
      <c r="F953" s="72"/>
    </row>
    <row r="954" ht="14.25" customHeight="1">
      <c r="A954" s="73"/>
      <c r="B954" s="73"/>
      <c r="C954" s="73"/>
      <c r="D954" s="73"/>
      <c r="E954" s="73"/>
      <c r="F954" s="72"/>
    </row>
    <row r="955" ht="14.25" customHeight="1">
      <c r="A955" s="73"/>
      <c r="B955" s="73"/>
      <c r="C955" s="73"/>
      <c r="D955" s="73"/>
      <c r="E955" s="73"/>
      <c r="F955" s="72"/>
    </row>
    <row r="956" ht="14.25" customHeight="1">
      <c r="A956" s="73"/>
      <c r="B956" s="73"/>
      <c r="C956" s="73"/>
      <c r="D956" s="73"/>
      <c r="E956" s="73"/>
      <c r="F956" s="72"/>
    </row>
    <row r="957" ht="14.25" customHeight="1">
      <c r="A957" s="73"/>
      <c r="B957" s="73"/>
      <c r="C957" s="73"/>
      <c r="D957" s="73"/>
      <c r="E957" s="73"/>
      <c r="F957" s="72"/>
    </row>
    <row r="958" ht="14.25" customHeight="1">
      <c r="A958" s="73"/>
      <c r="B958" s="73"/>
      <c r="C958" s="73"/>
      <c r="D958" s="73"/>
      <c r="E958" s="73"/>
      <c r="F958" s="72"/>
    </row>
    <row r="959" ht="14.25" customHeight="1">
      <c r="A959" s="73"/>
      <c r="B959" s="73"/>
      <c r="C959" s="73"/>
      <c r="D959" s="73"/>
      <c r="E959" s="73"/>
      <c r="F959" s="72"/>
    </row>
    <row r="960" ht="14.25" customHeight="1">
      <c r="A960" s="73"/>
      <c r="B960" s="73"/>
      <c r="C960" s="73"/>
      <c r="D960" s="73"/>
      <c r="E960" s="73"/>
      <c r="F960" s="72"/>
    </row>
    <row r="961" ht="14.25" customHeight="1">
      <c r="A961" s="73"/>
      <c r="B961" s="73"/>
      <c r="C961" s="73"/>
      <c r="D961" s="73"/>
      <c r="E961" s="73"/>
      <c r="F961" s="72"/>
    </row>
    <row r="962" ht="14.25" customHeight="1">
      <c r="A962" s="73"/>
      <c r="B962" s="73"/>
      <c r="C962" s="73"/>
      <c r="D962" s="73"/>
      <c r="E962" s="73"/>
      <c r="F962" s="72"/>
    </row>
    <row r="963" ht="14.25" customHeight="1">
      <c r="A963" s="73"/>
      <c r="B963" s="73"/>
      <c r="C963" s="73"/>
      <c r="D963" s="73"/>
      <c r="E963" s="73"/>
      <c r="F963" s="72"/>
    </row>
    <row r="964" ht="14.25" customHeight="1">
      <c r="A964" s="73"/>
      <c r="B964" s="73"/>
      <c r="C964" s="73"/>
      <c r="D964" s="73"/>
      <c r="E964" s="73"/>
      <c r="F964" s="72"/>
    </row>
    <row r="965" ht="14.25" customHeight="1">
      <c r="A965" s="73"/>
      <c r="B965" s="73"/>
      <c r="C965" s="73"/>
      <c r="D965" s="73"/>
      <c r="E965" s="73"/>
      <c r="F965" s="72"/>
    </row>
    <row r="966" ht="14.25" customHeight="1">
      <c r="A966" s="73"/>
      <c r="B966" s="73"/>
      <c r="C966" s="73"/>
      <c r="D966" s="73"/>
      <c r="E966" s="73"/>
      <c r="F966" s="72"/>
    </row>
    <row r="967" ht="14.25" customHeight="1">
      <c r="A967" s="73"/>
      <c r="B967" s="73"/>
      <c r="C967" s="73"/>
      <c r="D967" s="73"/>
      <c r="E967" s="73"/>
      <c r="F967" s="72"/>
    </row>
    <row r="968" ht="14.25" customHeight="1">
      <c r="A968" s="73"/>
      <c r="B968" s="73"/>
      <c r="C968" s="73"/>
      <c r="D968" s="73"/>
      <c r="E968" s="73"/>
      <c r="F968" s="72"/>
    </row>
    <row r="969" ht="14.25" customHeight="1">
      <c r="A969" s="73"/>
      <c r="B969" s="73"/>
      <c r="C969" s="73"/>
      <c r="D969" s="73"/>
      <c r="E969" s="73"/>
      <c r="F969" s="72"/>
    </row>
    <row r="970" ht="14.25" customHeight="1">
      <c r="A970" s="73"/>
      <c r="B970" s="73"/>
      <c r="C970" s="73"/>
      <c r="D970" s="73"/>
      <c r="E970" s="73"/>
      <c r="F970" s="72"/>
    </row>
    <row r="971" ht="14.25" customHeight="1">
      <c r="A971" s="73"/>
      <c r="B971" s="73"/>
      <c r="C971" s="73"/>
      <c r="D971" s="73"/>
      <c r="E971" s="73"/>
      <c r="F971" s="72"/>
    </row>
    <row r="972" ht="14.25" customHeight="1">
      <c r="A972" s="73"/>
      <c r="B972" s="73"/>
      <c r="C972" s="73"/>
      <c r="D972" s="73"/>
      <c r="E972" s="73"/>
      <c r="F972" s="72"/>
    </row>
    <row r="973" ht="14.25" customHeight="1">
      <c r="A973" s="73"/>
      <c r="B973" s="73"/>
      <c r="C973" s="73"/>
      <c r="D973" s="73"/>
      <c r="E973" s="73"/>
      <c r="F973" s="72"/>
    </row>
    <row r="974" ht="14.25" customHeight="1">
      <c r="A974" s="73"/>
      <c r="B974" s="73"/>
      <c r="C974" s="73"/>
      <c r="D974" s="73"/>
      <c r="E974" s="73"/>
      <c r="F974" s="72"/>
    </row>
    <row r="975" ht="14.25" customHeight="1">
      <c r="A975" s="73"/>
      <c r="B975" s="73"/>
      <c r="C975" s="73"/>
      <c r="D975" s="73"/>
      <c r="E975" s="73"/>
      <c r="F975" s="72"/>
    </row>
    <row r="976" ht="14.25" customHeight="1">
      <c r="A976" s="73"/>
      <c r="B976" s="73"/>
      <c r="C976" s="73"/>
      <c r="D976" s="73"/>
      <c r="E976" s="73"/>
      <c r="F976" s="72"/>
    </row>
    <row r="977" ht="14.25" customHeight="1">
      <c r="A977" s="73"/>
      <c r="B977" s="73"/>
      <c r="C977" s="73"/>
      <c r="D977" s="73"/>
      <c r="E977" s="73"/>
      <c r="F977" s="72"/>
    </row>
    <row r="978" ht="14.25" customHeight="1">
      <c r="A978" s="73"/>
      <c r="B978" s="73"/>
      <c r="C978" s="73"/>
      <c r="D978" s="73"/>
      <c r="E978" s="73"/>
      <c r="F978" s="72"/>
    </row>
    <row r="979" ht="14.25" customHeight="1">
      <c r="A979" s="73"/>
      <c r="B979" s="73"/>
      <c r="C979" s="73"/>
      <c r="D979" s="73"/>
      <c r="E979" s="73"/>
      <c r="F979" s="72"/>
    </row>
    <row r="980" ht="14.25" customHeight="1">
      <c r="A980" s="73"/>
      <c r="B980" s="73"/>
      <c r="C980" s="73"/>
      <c r="D980" s="73"/>
      <c r="E980" s="73"/>
      <c r="F980" s="72"/>
    </row>
    <row r="981" ht="14.25" customHeight="1">
      <c r="A981" s="73"/>
      <c r="B981" s="73"/>
      <c r="C981" s="73"/>
      <c r="D981" s="73"/>
      <c r="E981" s="73"/>
      <c r="F981" s="72"/>
    </row>
    <row r="982" ht="14.25" customHeight="1">
      <c r="A982" s="73"/>
      <c r="B982" s="73"/>
      <c r="C982" s="73"/>
      <c r="D982" s="73"/>
      <c r="E982" s="73"/>
      <c r="F982" s="72"/>
    </row>
    <row r="983" ht="14.25" customHeight="1">
      <c r="A983" s="73"/>
      <c r="B983" s="73"/>
      <c r="C983" s="73"/>
      <c r="D983" s="73"/>
      <c r="E983" s="73"/>
      <c r="F983" s="72"/>
    </row>
    <row r="984" ht="14.25" customHeight="1">
      <c r="A984" s="73"/>
      <c r="B984" s="73"/>
      <c r="C984" s="73"/>
      <c r="D984" s="73"/>
      <c r="E984" s="73"/>
      <c r="F984" s="72"/>
    </row>
    <row r="985" ht="14.25" customHeight="1">
      <c r="A985" s="73"/>
      <c r="B985" s="73"/>
      <c r="C985" s="73"/>
      <c r="D985" s="73"/>
      <c r="E985" s="73"/>
      <c r="F985" s="72"/>
    </row>
    <row r="986" ht="14.25" customHeight="1">
      <c r="A986" s="73"/>
      <c r="B986" s="73"/>
      <c r="C986" s="73"/>
      <c r="D986" s="73"/>
      <c r="E986" s="73"/>
      <c r="F986" s="72"/>
    </row>
    <row r="987" ht="14.25" customHeight="1">
      <c r="A987" s="73"/>
      <c r="B987" s="73"/>
      <c r="C987" s="73"/>
      <c r="D987" s="73"/>
      <c r="E987" s="73"/>
      <c r="F987" s="72"/>
    </row>
    <row r="988" ht="14.25" customHeight="1">
      <c r="A988" s="73"/>
      <c r="B988" s="73"/>
      <c r="C988" s="73"/>
      <c r="D988" s="73"/>
      <c r="E988" s="73"/>
      <c r="F988" s="72"/>
    </row>
    <row r="989" ht="14.25" customHeight="1">
      <c r="A989" s="73"/>
      <c r="B989" s="73"/>
      <c r="C989" s="73"/>
      <c r="D989" s="73"/>
      <c r="E989" s="73"/>
      <c r="F989" s="72"/>
    </row>
    <row r="990" ht="14.25" customHeight="1">
      <c r="A990" s="73"/>
      <c r="B990" s="73"/>
      <c r="C990" s="73"/>
      <c r="D990" s="73"/>
      <c r="E990" s="73"/>
      <c r="F990" s="72"/>
    </row>
    <row r="991" ht="14.25" customHeight="1">
      <c r="A991" s="73"/>
      <c r="B991" s="73"/>
      <c r="C991" s="73"/>
      <c r="D991" s="73"/>
      <c r="E991" s="73"/>
      <c r="F991" s="72"/>
    </row>
    <row r="992" ht="14.25" customHeight="1">
      <c r="A992" s="73"/>
      <c r="B992" s="73"/>
      <c r="C992" s="73"/>
      <c r="D992" s="73"/>
      <c r="E992" s="73"/>
      <c r="F992" s="72"/>
    </row>
    <row r="993" ht="14.25" customHeight="1">
      <c r="A993" s="73"/>
      <c r="B993" s="73"/>
      <c r="C993" s="73"/>
      <c r="D993" s="73"/>
      <c r="E993" s="73"/>
      <c r="F993" s="72"/>
    </row>
    <row r="994" ht="14.25" customHeight="1">
      <c r="A994" s="73"/>
      <c r="B994" s="73"/>
      <c r="C994" s="73"/>
      <c r="D994" s="73"/>
      <c r="E994" s="73"/>
      <c r="F994" s="72"/>
    </row>
    <row r="995" ht="14.25" customHeight="1">
      <c r="A995" s="73"/>
      <c r="B995" s="73"/>
      <c r="C995" s="73"/>
      <c r="D995" s="73"/>
      <c r="E995" s="73"/>
      <c r="F995" s="72"/>
    </row>
    <row r="996" ht="14.25" customHeight="1">
      <c r="A996" s="73"/>
      <c r="B996" s="73"/>
      <c r="C996" s="73"/>
      <c r="D996" s="73"/>
      <c r="E996" s="73"/>
      <c r="F996" s="72"/>
    </row>
    <row r="997" ht="14.25" customHeight="1">
      <c r="A997" s="73"/>
      <c r="B997" s="73"/>
      <c r="C997" s="73"/>
      <c r="D997" s="73"/>
      <c r="E997" s="73"/>
      <c r="F997" s="72"/>
    </row>
    <row r="998" ht="14.25" customHeight="1">
      <c r="A998" s="73"/>
      <c r="B998" s="73"/>
      <c r="C998" s="73"/>
      <c r="D998" s="73"/>
      <c r="E998" s="73"/>
      <c r="F998" s="72"/>
    </row>
    <row r="999" ht="14.25" customHeight="1">
      <c r="A999" s="73"/>
      <c r="B999" s="73"/>
      <c r="C999" s="73"/>
      <c r="D999" s="73"/>
      <c r="E999" s="73"/>
      <c r="F999" s="72"/>
    </row>
    <row r="1000" ht="14.25" customHeight="1">
      <c r="A1000" s="73"/>
      <c r="B1000" s="73"/>
      <c r="C1000" s="73"/>
      <c r="D1000" s="73"/>
      <c r="E1000" s="73"/>
      <c r="F1000" s="72"/>
    </row>
  </sheetData>
  <mergeCells count="130">
    <mergeCell ref="F43:F44"/>
    <mergeCell ref="G43:I43"/>
    <mergeCell ref="V43:X43"/>
    <mergeCell ref="Y43:Y44"/>
    <mergeCell ref="B33:B34"/>
    <mergeCell ref="A39:E39"/>
    <mergeCell ref="A42:Z42"/>
    <mergeCell ref="A43:B44"/>
    <mergeCell ref="C43:C44"/>
    <mergeCell ref="D43:D44"/>
    <mergeCell ref="E43:E44"/>
    <mergeCell ref="Z43:Z44"/>
    <mergeCell ref="P2:R2"/>
    <mergeCell ref="S2:U2"/>
    <mergeCell ref="V2:X2"/>
    <mergeCell ref="Y2:Y3"/>
    <mergeCell ref="AC6:AF6"/>
    <mergeCell ref="AD13:AE13"/>
    <mergeCell ref="A1:Z1"/>
    <mergeCell ref="A2:B3"/>
    <mergeCell ref="C2:C3"/>
    <mergeCell ref="D2:D3"/>
    <mergeCell ref="E2:E3"/>
    <mergeCell ref="F2:F3"/>
    <mergeCell ref="G2:I2"/>
    <mergeCell ref="Z2:Z3"/>
    <mergeCell ref="J2:L2"/>
    <mergeCell ref="M2:O2"/>
    <mergeCell ref="B4:B5"/>
    <mergeCell ref="C4:C5"/>
    <mergeCell ref="B6:B7"/>
    <mergeCell ref="C6:C7"/>
    <mergeCell ref="B13:B14"/>
    <mergeCell ref="B16:B17"/>
    <mergeCell ref="O17:O18"/>
    <mergeCell ref="B20:B23"/>
    <mergeCell ref="C20:C23"/>
    <mergeCell ref="C27:C28"/>
    <mergeCell ref="B30:B32"/>
    <mergeCell ref="C30:C32"/>
    <mergeCell ref="P43:R43"/>
    <mergeCell ref="S43:U43"/>
    <mergeCell ref="AC46:AF46"/>
    <mergeCell ref="O57:O58"/>
    <mergeCell ref="V59:Y59"/>
    <mergeCell ref="J43:L43"/>
    <mergeCell ref="M43:O43"/>
    <mergeCell ref="A47:A48"/>
    <mergeCell ref="B47:B48"/>
    <mergeCell ref="C47:C48"/>
    <mergeCell ref="A52:E52"/>
    <mergeCell ref="A56:O56"/>
    <mergeCell ref="A57:B58"/>
    <mergeCell ref="C57:C58"/>
    <mergeCell ref="D57:D58"/>
    <mergeCell ref="E57:E58"/>
    <mergeCell ref="F57:F58"/>
    <mergeCell ref="N57:N58"/>
    <mergeCell ref="C59:C65"/>
    <mergeCell ref="K70:L70"/>
    <mergeCell ref="M70:N70"/>
    <mergeCell ref="O70:P70"/>
    <mergeCell ref="Q70:R70"/>
    <mergeCell ref="V72:V81"/>
    <mergeCell ref="A66:E66"/>
    <mergeCell ref="A69:V69"/>
    <mergeCell ref="A70:B71"/>
    <mergeCell ref="C70:C71"/>
    <mergeCell ref="D70:D71"/>
    <mergeCell ref="E70:E71"/>
    <mergeCell ref="F70:F71"/>
    <mergeCell ref="S70:T70"/>
    <mergeCell ref="G70:H70"/>
    <mergeCell ref="I70:J70"/>
    <mergeCell ref="A82:F83"/>
    <mergeCell ref="B87:F87"/>
    <mergeCell ref="C88:F88"/>
    <mergeCell ref="H90:I90"/>
    <mergeCell ref="I93:I94"/>
    <mergeCell ref="E106:E107"/>
    <mergeCell ref="F106:F107"/>
    <mergeCell ref="B93:D94"/>
    <mergeCell ref="B96:H96"/>
    <mergeCell ref="D97:F97"/>
    <mergeCell ref="D98:E98"/>
    <mergeCell ref="K98:M98"/>
    <mergeCell ref="X106:X107"/>
    <mergeCell ref="Y106:Y107"/>
    <mergeCell ref="Z106:Z107"/>
    <mergeCell ref="AA106:AA107"/>
    <mergeCell ref="AB106:AB107"/>
    <mergeCell ref="AC106:AD107"/>
    <mergeCell ref="E93:E94"/>
    <mergeCell ref="H93:H94"/>
    <mergeCell ref="B105:H105"/>
    <mergeCell ref="L105:T105"/>
    <mergeCell ref="V105:AD105"/>
    <mergeCell ref="C106:C107"/>
    <mergeCell ref="D106:D107"/>
    <mergeCell ref="I106:I107"/>
    <mergeCell ref="J106:J107"/>
    <mergeCell ref="J108:J112"/>
    <mergeCell ref="I119:J119"/>
    <mergeCell ref="L106:L107"/>
    <mergeCell ref="M106:M107"/>
    <mergeCell ref="L132:L133"/>
    <mergeCell ref="N106:N107"/>
    <mergeCell ref="O106:O107"/>
    <mergeCell ref="P106:P107"/>
    <mergeCell ref="Q106:Q107"/>
    <mergeCell ref="R106:R107"/>
    <mergeCell ref="S106:T107"/>
    <mergeCell ref="T108:T112"/>
    <mergeCell ref="V106:V107"/>
    <mergeCell ref="W106:W107"/>
    <mergeCell ref="AD108:AD112"/>
    <mergeCell ref="C131:C132"/>
    <mergeCell ref="C135:C138"/>
    <mergeCell ref="D135:D138"/>
    <mergeCell ref="D142:D143"/>
    <mergeCell ref="C145:C147"/>
    <mergeCell ref="D145:D147"/>
    <mergeCell ref="C148:C149"/>
    <mergeCell ref="G106:G107"/>
    <mergeCell ref="H106:H107"/>
    <mergeCell ref="C119:C120"/>
    <mergeCell ref="D119:D120"/>
    <mergeCell ref="C121:C122"/>
    <mergeCell ref="D121:D122"/>
    <mergeCell ref="C128:C129"/>
  </mergeCells>
  <conditionalFormatting sqref="Y4:Y38">
    <cfRule type="cellIs" dxfId="0" priority="1" operator="lessThan">
      <formula>-1</formula>
    </cfRule>
  </conditionalFormatting>
  <conditionalFormatting sqref="Y39">
    <cfRule type="cellIs" dxfId="1" priority="2" operator="greaterThan">
      <formula>0</formula>
    </cfRule>
  </conditionalFormatting>
  <conditionalFormatting sqref="Y45:Y51">
    <cfRule type="cellIs" dxfId="0" priority="3" operator="lessThan">
      <formula>0</formula>
    </cfRule>
  </conditionalFormatting>
  <conditionalFormatting sqref="Z4">
    <cfRule type="cellIs" dxfId="0" priority="4" operator="greaterThan">
      <formula>$F$4</formula>
    </cfRule>
  </conditionalFormatting>
  <conditionalFormatting sqref="Z5">
    <cfRule type="cellIs" dxfId="0" priority="5" operator="greaterThan">
      <formula>$F$5</formula>
    </cfRule>
  </conditionalFormatting>
  <conditionalFormatting sqref="Z6">
    <cfRule type="cellIs" dxfId="0" priority="6" operator="greaterThan">
      <formula>$F$6</formula>
    </cfRule>
  </conditionalFormatting>
  <conditionalFormatting sqref="Z7">
    <cfRule type="cellIs" dxfId="0" priority="7" operator="greaterThan">
      <formula>$F$7</formula>
    </cfRule>
  </conditionalFormatting>
  <conditionalFormatting sqref="Z8">
    <cfRule type="cellIs" dxfId="0" priority="8" operator="greaterThan">
      <formula>$F$8</formula>
    </cfRule>
  </conditionalFormatting>
  <conditionalFormatting sqref="Z9">
    <cfRule type="cellIs" dxfId="0" priority="9" operator="greaterThan">
      <formula>$F$9</formula>
    </cfRule>
  </conditionalFormatting>
  <conditionalFormatting sqref="Z10">
    <cfRule type="cellIs" dxfId="0" priority="10" operator="greaterThan">
      <formula>$F$10</formula>
    </cfRule>
  </conditionalFormatting>
  <conditionalFormatting sqref="Z11">
    <cfRule type="cellIs" dxfId="0" priority="11" operator="greaterThan">
      <formula>$F$11</formula>
    </cfRule>
  </conditionalFormatting>
  <conditionalFormatting sqref="Z12">
    <cfRule type="cellIs" dxfId="0" priority="12" operator="greaterThan">
      <formula>$F$12</formula>
    </cfRule>
  </conditionalFormatting>
  <conditionalFormatting sqref="Z13">
    <cfRule type="cellIs" dxfId="0" priority="13" operator="greaterThan">
      <formula>$F$13</formula>
    </cfRule>
  </conditionalFormatting>
  <conditionalFormatting sqref="Z14">
    <cfRule type="cellIs" dxfId="0" priority="14" operator="greaterThan">
      <formula>$F$14</formula>
    </cfRule>
  </conditionalFormatting>
  <conditionalFormatting sqref="Z15">
    <cfRule type="cellIs" dxfId="0" priority="15" operator="greaterThan">
      <formula>$F$15</formula>
    </cfRule>
  </conditionalFormatting>
  <conditionalFormatting sqref="Z16:Z17">
    <cfRule type="cellIs" dxfId="0" priority="16" operator="greaterThan">
      <formula>$F$16</formula>
    </cfRule>
  </conditionalFormatting>
  <conditionalFormatting sqref="Z18">
    <cfRule type="cellIs" dxfId="0" priority="17" operator="greaterThan">
      <formula>$F$18</formula>
    </cfRule>
  </conditionalFormatting>
  <conditionalFormatting sqref="Z19">
    <cfRule type="cellIs" dxfId="0" priority="18" operator="greaterThan">
      <formula>$F$19</formula>
    </cfRule>
  </conditionalFormatting>
  <conditionalFormatting sqref="Z20">
    <cfRule type="cellIs" dxfId="0" priority="19" operator="greaterThan">
      <formula>$F$20</formula>
    </cfRule>
  </conditionalFormatting>
  <conditionalFormatting sqref="Z21">
    <cfRule type="cellIs" dxfId="0" priority="20" operator="greaterThan">
      <formula>$F$21</formula>
    </cfRule>
  </conditionalFormatting>
  <conditionalFormatting sqref="Z24">
    <cfRule type="cellIs" dxfId="0" priority="21" operator="greaterThan">
      <formula>$F$24</formula>
    </cfRule>
  </conditionalFormatting>
  <conditionalFormatting sqref="Z25">
    <cfRule type="cellIs" dxfId="0" priority="22" operator="greaterThan">
      <formula>$F$25</formula>
    </cfRule>
  </conditionalFormatting>
  <conditionalFormatting sqref="Z26">
    <cfRule type="cellIs" dxfId="0" priority="23" operator="greaterThan">
      <formula>$F$26</formula>
    </cfRule>
  </conditionalFormatting>
  <conditionalFormatting sqref="Z27">
    <cfRule type="cellIs" dxfId="0" priority="24" operator="greaterThan">
      <formula>$F$27</formula>
    </cfRule>
  </conditionalFormatting>
  <conditionalFormatting sqref="Z28">
    <cfRule type="cellIs" dxfId="0" priority="25" operator="greaterThan">
      <formula>$F$28</formula>
    </cfRule>
  </conditionalFormatting>
  <conditionalFormatting sqref="Z29">
    <cfRule type="cellIs" dxfId="0" priority="26" operator="greaterThan">
      <formula>$F$29</formula>
    </cfRule>
  </conditionalFormatting>
  <conditionalFormatting sqref="Z30">
    <cfRule type="cellIs" dxfId="0" priority="27" operator="greaterThan">
      <formula>$F$30</formula>
    </cfRule>
  </conditionalFormatting>
  <conditionalFormatting sqref="Z31">
    <cfRule type="cellIs" dxfId="0" priority="28" operator="greaterThan">
      <formula>$F$31</formula>
    </cfRule>
  </conditionalFormatting>
  <conditionalFormatting sqref="Z32">
    <cfRule type="cellIs" dxfId="0" priority="29" operator="greaterThan">
      <formula>$F$32</formula>
    </cfRule>
  </conditionalFormatting>
  <conditionalFormatting sqref="Z33">
    <cfRule type="cellIs" dxfId="0" priority="30" operator="greaterThan">
      <formula>$F$33</formula>
    </cfRule>
  </conditionalFormatting>
  <conditionalFormatting sqref="Z34:Z37">
    <cfRule type="cellIs" dxfId="0" priority="31" operator="greaterThan">
      <formula>$F$34</formula>
    </cfRule>
  </conditionalFormatting>
  <conditionalFormatting sqref="Z38">
    <cfRule type="cellIs" dxfId="0" priority="32" operator="greaterThan">
      <formula>$F$38</formula>
    </cfRule>
  </conditionalFormatting>
  <conditionalFormatting sqref="Z39">
    <cfRule type="cellIs" dxfId="1" priority="33" operator="lessThan">
      <formula>46700</formula>
    </cfRule>
  </conditionalFormatting>
  <printOptions/>
  <pageMargins bottom="0.75" footer="0.0" header="0.0" left="0.7" right="0.7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34.75"/>
    <col customWidth="1" min="3" max="3" width="36.88"/>
    <col customWidth="1" min="4" max="4" width="32.38"/>
    <col customWidth="1" min="5" max="5" width="19.75"/>
    <col customWidth="1" min="6" max="6" width="35.88"/>
    <col customWidth="1" min="7" max="7" width="20.0"/>
    <col customWidth="1" min="8" max="8" width="17.0"/>
    <col customWidth="1" min="9" max="9" width="15.63"/>
    <col customWidth="1" min="10" max="10" width="17.25"/>
    <col customWidth="1" min="11" max="11" width="15.25"/>
    <col customWidth="1" min="12" max="12" width="18.88"/>
    <col customWidth="1" min="13" max="13" width="16.75"/>
    <col customWidth="1" min="14" max="14" width="21.63"/>
    <col customWidth="1" min="15" max="15" width="20.88"/>
    <col customWidth="1" min="16" max="16" width="19.0"/>
    <col customWidth="1" min="17" max="17" width="15.63"/>
    <col customWidth="1" min="18" max="18" width="14.88"/>
    <col customWidth="1" min="19" max="19" width="18.5"/>
    <col customWidth="1" min="20" max="20" width="22.25"/>
    <col customWidth="1" min="21" max="21" width="16.5"/>
    <col customWidth="1" min="22" max="22" width="16.63"/>
    <col customWidth="1" min="23" max="23" width="17.25"/>
    <col customWidth="1" min="24" max="27" width="10.63"/>
    <col customWidth="1" min="28" max="28" width="19.13"/>
    <col customWidth="1" min="29" max="29" width="18.63"/>
    <col customWidth="1" min="30" max="30" width="14.63"/>
    <col customWidth="1" min="31" max="31" width="10.63"/>
    <col customWidth="1" min="32" max="32" width="21.38"/>
    <col customWidth="1" min="33" max="33" width="16.5"/>
    <col customWidth="1" min="34" max="34" width="21.0"/>
    <col customWidth="1" min="35" max="35" width="18.25"/>
    <col customWidth="1" min="36" max="36" width="10.63"/>
    <col customWidth="1" min="37" max="37" width="15.63"/>
    <col customWidth="1" min="38" max="39" width="10.63"/>
    <col customWidth="1" min="40" max="42" width="13.88"/>
    <col customWidth="1" min="43" max="44" width="14.38"/>
    <col customWidth="1" min="45" max="46" width="14.75"/>
    <col customWidth="1" min="47" max="48" width="18.38"/>
    <col customWidth="1" min="49" max="49" width="10.63"/>
    <col customWidth="1" min="50" max="50" width="13.38"/>
    <col customWidth="1" min="51" max="53" width="10.63"/>
    <col customWidth="1" min="54" max="54" width="15.5"/>
    <col customWidth="1" min="55" max="55" width="10.63"/>
  </cols>
  <sheetData>
    <row r="1" ht="14.2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8">
        <v>46209.0</v>
      </c>
      <c r="H2" s="2"/>
      <c r="I2" s="3"/>
      <c r="J2" s="8">
        <v>46210.0</v>
      </c>
      <c r="K2" s="2"/>
      <c r="L2" s="3"/>
      <c r="M2" s="8">
        <v>46211.0</v>
      </c>
      <c r="N2" s="2"/>
      <c r="O2" s="3"/>
      <c r="P2" s="8">
        <v>46212.0</v>
      </c>
      <c r="Q2" s="2"/>
      <c r="R2" s="3"/>
      <c r="S2" s="8">
        <v>46213.0</v>
      </c>
      <c r="T2" s="2"/>
      <c r="U2" s="3"/>
      <c r="V2" s="8">
        <v>46214.0</v>
      </c>
      <c r="W2" s="2"/>
      <c r="X2" s="3"/>
      <c r="Y2" s="8">
        <v>46215.0</v>
      </c>
      <c r="Z2" s="2"/>
      <c r="AA2" s="3"/>
      <c r="AB2" s="9" t="s">
        <v>7</v>
      </c>
      <c r="AC2" s="7" t="s">
        <v>8</v>
      </c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13" t="s">
        <v>10</v>
      </c>
      <c r="I3" s="13" t="s">
        <v>11</v>
      </c>
      <c r="J3" s="13" t="s">
        <v>9</v>
      </c>
      <c r="K3" s="13" t="s">
        <v>10</v>
      </c>
      <c r="L3" s="13" t="s">
        <v>12</v>
      </c>
      <c r="M3" s="13" t="s">
        <v>9</v>
      </c>
      <c r="N3" s="13" t="s">
        <v>10</v>
      </c>
      <c r="O3" s="13" t="s">
        <v>12</v>
      </c>
      <c r="P3" s="13" t="s">
        <v>9</v>
      </c>
      <c r="Q3" s="13" t="s">
        <v>10</v>
      </c>
      <c r="R3" s="13" t="s">
        <v>12</v>
      </c>
      <c r="S3" s="13" t="s">
        <v>9</v>
      </c>
      <c r="T3" s="13" t="s">
        <v>10</v>
      </c>
      <c r="U3" s="13" t="s">
        <v>11</v>
      </c>
      <c r="V3" s="13" t="s">
        <v>9</v>
      </c>
      <c r="W3" s="13" t="s">
        <v>10</v>
      </c>
      <c r="X3" s="13" t="s">
        <v>11</v>
      </c>
      <c r="Y3" s="13" t="s">
        <v>9</v>
      </c>
      <c r="Z3" s="13" t="s">
        <v>10</v>
      </c>
      <c r="AA3" s="13" t="s">
        <v>11</v>
      </c>
      <c r="AB3" s="12"/>
      <c r="AC3" s="12"/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>
        <f t="shared" ref="AB4:AB18" si="1">F4-(G4+H4+J4+K4+M4+N4+P4+Q4+S4+T4+V4+W4+U4+O4+I4+L4+R4+X4)</f>
        <v>1200</v>
      </c>
      <c r="AC4" s="18">
        <f t="shared" ref="AC4:AC16" si="2">SUM(G4:X4)</f>
        <v>0</v>
      </c>
      <c r="AD4" s="20"/>
    </row>
    <row r="5" ht="14.25" customHeight="1">
      <c r="A5" s="14">
        <v>2.0</v>
      </c>
      <c r="B5" s="12"/>
      <c r="C5" s="12"/>
      <c r="D5" s="21" t="s">
        <v>17</v>
      </c>
      <c r="E5" s="21"/>
      <c r="F5" s="22">
        <v>500.0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18">
        <f t="shared" si="1"/>
        <v>500</v>
      </c>
      <c r="AC5" s="18">
        <f t="shared" si="2"/>
        <v>0</v>
      </c>
      <c r="AD5" s="20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30">
        <v>1500.51</v>
      </c>
      <c r="H6" s="24"/>
      <c r="I6" s="24"/>
      <c r="J6" s="24"/>
      <c r="K6" s="24"/>
      <c r="L6" s="24"/>
      <c r="M6" s="24"/>
      <c r="N6" s="24"/>
      <c r="O6" s="24"/>
      <c r="P6" s="30">
        <v>1000.0</v>
      </c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18">
        <f t="shared" si="1"/>
        <v>-0.51</v>
      </c>
      <c r="AC6" s="18">
        <f t="shared" si="2"/>
        <v>2500.51</v>
      </c>
      <c r="AD6" s="20"/>
      <c r="AF6" s="31" t="s">
        <v>23</v>
      </c>
      <c r="AG6" s="2"/>
      <c r="AH6" s="2"/>
      <c r="AI6" s="3"/>
      <c r="AK6" s="32"/>
    </row>
    <row r="7" ht="14.25" customHeight="1">
      <c r="A7" s="25">
        <v>4.0</v>
      </c>
      <c r="B7" s="12"/>
      <c r="C7" s="12"/>
      <c r="D7" s="27" t="s">
        <v>17</v>
      </c>
      <c r="E7" s="27"/>
      <c r="F7" s="28">
        <v>500.0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18">
        <f t="shared" si="1"/>
        <v>500</v>
      </c>
      <c r="AC7" s="18">
        <f t="shared" si="2"/>
        <v>0</v>
      </c>
      <c r="AD7" s="20"/>
      <c r="AF7" s="35" t="s">
        <v>25</v>
      </c>
      <c r="AG7" s="35" t="s">
        <v>26</v>
      </c>
      <c r="AH7" s="35" t="s">
        <v>27</v>
      </c>
      <c r="AI7" s="35" t="s">
        <v>28</v>
      </c>
      <c r="AK7" s="32"/>
    </row>
    <row r="8" ht="14.25" customHeight="1">
      <c r="A8" s="25">
        <v>5.0</v>
      </c>
      <c r="B8" s="27" t="s">
        <v>30</v>
      </c>
      <c r="C8" s="27" t="s">
        <v>19</v>
      </c>
      <c r="D8" s="27" t="s">
        <v>31</v>
      </c>
      <c r="E8" s="27" t="s">
        <v>32</v>
      </c>
      <c r="F8" s="28">
        <v>1500.0</v>
      </c>
      <c r="G8" s="24"/>
      <c r="H8" s="24"/>
      <c r="I8" s="24"/>
      <c r="J8" s="30">
        <v>1500.0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18">
        <f t="shared" si="1"/>
        <v>0</v>
      </c>
      <c r="AC8" s="18">
        <f t="shared" si="2"/>
        <v>1500</v>
      </c>
      <c r="AD8" s="20"/>
      <c r="AF8" s="37" t="s">
        <v>9</v>
      </c>
      <c r="AG8" s="38">
        <f t="shared" ref="AG8:AG9" si="3">AI8/AH8</f>
        <v>1591.007864</v>
      </c>
      <c r="AH8" s="39">
        <v>22.89</v>
      </c>
      <c r="AI8" s="40">
        <f>G42+J42+M42+P42+S42+V42</f>
        <v>36418.17</v>
      </c>
    </row>
    <row r="9" ht="14.25" customHeight="1">
      <c r="A9" s="25">
        <v>6.0</v>
      </c>
      <c r="B9" s="27" t="s">
        <v>35</v>
      </c>
      <c r="C9" s="27" t="s">
        <v>19</v>
      </c>
      <c r="D9" s="27" t="s">
        <v>31</v>
      </c>
      <c r="E9" s="27" t="s">
        <v>36</v>
      </c>
      <c r="F9" s="28">
        <v>1500.0</v>
      </c>
      <c r="G9" s="30">
        <v>1113.85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18">
        <f t="shared" si="1"/>
        <v>386.15</v>
      </c>
      <c r="AC9" s="18">
        <f t="shared" si="2"/>
        <v>1113.85</v>
      </c>
      <c r="AD9" s="20"/>
      <c r="AF9" s="37" t="s">
        <v>10</v>
      </c>
      <c r="AG9" s="38">
        <f t="shared" si="3"/>
        <v>712.1061599</v>
      </c>
      <c r="AH9" s="39">
        <v>22.89</v>
      </c>
      <c r="AI9" s="43">
        <f>H42+K42+N42+Q42+T42+W42+Z42</f>
        <v>16300.11</v>
      </c>
    </row>
    <row r="10" ht="14.25" customHeight="1">
      <c r="A10" s="25">
        <v>7.0</v>
      </c>
      <c r="B10" s="27" t="s">
        <v>39</v>
      </c>
      <c r="C10" s="27" t="s">
        <v>19</v>
      </c>
      <c r="D10" s="27"/>
      <c r="E10" s="27"/>
      <c r="F10" s="28">
        <v>1500.0</v>
      </c>
      <c r="G10" s="30">
        <v>1381.48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18">
        <f t="shared" si="1"/>
        <v>118.52</v>
      </c>
      <c r="AC10" s="18">
        <f t="shared" si="2"/>
        <v>1381.48</v>
      </c>
      <c r="AD10" s="20"/>
      <c r="AF10" s="37" t="s">
        <v>11</v>
      </c>
      <c r="AG10" s="39"/>
      <c r="AH10" s="39"/>
      <c r="AI10" s="40">
        <f>R42+U42+O42</f>
        <v>3868.47</v>
      </c>
    </row>
    <row r="11" ht="14.25" customHeight="1">
      <c r="A11" s="14">
        <v>8.0</v>
      </c>
      <c r="B11" s="21" t="s">
        <v>41</v>
      </c>
      <c r="C11" s="21" t="s">
        <v>42</v>
      </c>
      <c r="D11" s="21" t="s">
        <v>43</v>
      </c>
      <c r="E11" s="21" t="s">
        <v>44</v>
      </c>
      <c r="F11" s="22">
        <v>700.0</v>
      </c>
      <c r="G11" s="24"/>
      <c r="H11" s="24"/>
      <c r="I11" s="24">
        <v>440.0</v>
      </c>
      <c r="J11" s="24"/>
      <c r="K11" s="24"/>
      <c r="L11" s="24"/>
      <c r="M11" s="24"/>
      <c r="N11" s="24"/>
      <c r="O11" s="24"/>
      <c r="P11" s="24"/>
      <c r="Q11" s="24"/>
      <c r="R11" s="24">
        <v>800.0</v>
      </c>
      <c r="S11" s="24"/>
      <c r="T11" s="24"/>
      <c r="U11" s="24"/>
      <c r="V11" s="24"/>
      <c r="W11" s="24"/>
      <c r="X11" s="24"/>
      <c r="Y11" s="24"/>
      <c r="Z11" s="24"/>
      <c r="AA11" s="24"/>
      <c r="AB11" s="18">
        <f t="shared" si="1"/>
        <v>-540</v>
      </c>
      <c r="AC11" s="18">
        <f t="shared" si="2"/>
        <v>1240</v>
      </c>
      <c r="AD11" s="20">
        <v>540.0</v>
      </c>
      <c r="AE11" s="34">
        <v>1240.0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</row>
    <row r="12" ht="14.25" customHeight="1">
      <c r="A12" s="14">
        <v>9.0</v>
      </c>
      <c r="B12" s="21" t="s">
        <v>45</v>
      </c>
      <c r="C12" s="21" t="s">
        <v>46</v>
      </c>
      <c r="D12" s="21" t="s">
        <v>47</v>
      </c>
      <c r="E12" s="21" t="s">
        <v>48</v>
      </c>
      <c r="F12" s="22">
        <v>1500.0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>
        <v>1068.47</v>
      </c>
      <c r="V12" s="24"/>
      <c r="W12" s="24"/>
      <c r="X12" s="24"/>
      <c r="Y12" s="24"/>
      <c r="Z12" s="24"/>
      <c r="AA12" s="24"/>
      <c r="AB12" s="18">
        <f t="shared" si="1"/>
        <v>431.53</v>
      </c>
      <c r="AC12" s="18">
        <f t="shared" si="2"/>
        <v>1068.47</v>
      </c>
      <c r="AD12" s="20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</row>
    <row r="13" ht="14.25" customHeight="1">
      <c r="A13" s="25">
        <v>10.0</v>
      </c>
      <c r="B13" s="26" t="s">
        <v>50</v>
      </c>
      <c r="C13" s="27" t="s">
        <v>51</v>
      </c>
      <c r="D13" s="27" t="s">
        <v>52</v>
      </c>
      <c r="E13" s="27" t="s">
        <v>53</v>
      </c>
      <c r="F13" s="28">
        <v>1500.0</v>
      </c>
      <c r="G13" s="24"/>
      <c r="H13" s="24"/>
      <c r="I13" s="24"/>
      <c r="J13" s="30">
        <v>1500.0</v>
      </c>
      <c r="K13" s="24"/>
      <c r="L13" s="24"/>
      <c r="M13" s="24"/>
      <c r="N13" s="24"/>
      <c r="O13" s="24"/>
      <c r="P13" s="30">
        <v>1000.0</v>
      </c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18">
        <f t="shared" si="1"/>
        <v>-1000</v>
      </c>
      <c r="AC13" s="18">
        <f t="shared" si="2"/>
        <v>2500</v>
      </c>
      <c r="AD13" s="20">
        <v>1000.0</v>
      </c>
      <c r="AE13" s="34">
        <v>2500.0</v>
      </c>
      <c r="AG13" s="45"/>
      <c r="AI13" s="46"/>
      <c r="AJ13" s="46"/>
      <c r="AK13" s="46"/>
    </row>
    <row r="14" ht="14.25" customHeight="1">
      <c r="A14" s="25">
        <v>11.0</v>
      </c>
      <c r="B14" s="12"/>
      <c r="C14" s="27" t="s">
        <v>54</v>
      </c>
      <c r="D14" s="27" t="s">
        <v>17</v>
      </c>
      <c r="E14" s="27"/>
      <c r="F14" s="28">
        <v>500.0</v>
      </c>
      <c r="G14" s="24"/>
      <c r="H14" s="24"/>
      <c r="I14" s="24"/>
      <c r="J14" s="30">
        <v>500.0</v>
      </c>
      <c r="K14" s="24"/>
      <c r="L14" s="24"/>
      <c r="M14" s="24"/>
      <c r="N14" s="24"/>
      <c r="O14" s="24"/>
      <c r="P14" s="24"/>
      <c r="Q14" s="24"/>
      <c r="R14" s="24"/>
      <c r="S14" s="30">
        <v>500.0</v>
      </c>
      <c r="T14" s="24"/>
      <c r="U14" s="24"/>
      <c r="V14" s="24"/>
      <c r="W14" s="24"/>
      <c r="X14" s="24"/>
      <c r="Y14" s="24"/>
      <c r="Z14" s="24"/>
      <c r="AA14" s="24"/>
      <c r="AB14" s="18">
        <f t="shared" si="1"/>
        <v>-500</v>
      </c>
      <c r="AC14" s="18">
        <f t="shared" si="2"/>
        <v>1000</v>
      </c>
      <c r="AD14" s="20">
        <v>500.0</v>
      </c>
      <c r="AE14" s="34">
        <v>1000.0</v>
      </c>
      <c r="AG14" s="48" t="s">
        <v>55</v>
      </c>
      <c r="AH14" s="3"/>
      <c r="AI14" s="50"/>
      <c r="AJ14" s="50"/>
      <c r="AK14" s="46"/>
    </row>
    <row r="15" ht="14.25" customHeight="1">
      <c r="A15" s="25">
        <v>12.0</v>
      </c>
      <c r="B15" s="27" t="s">
        <v>57</v>
      </c>
      <c r="C15" s="27" t="s">
        <v>51</v>
      </c>
      <c r="D15" s="27" t="s">
        <v>58</v>
      </c>
      <c r="E15" s="27" t="s">
        <v>59</v>
      </c>
      <c r="F15" s="28">
        <v>1500.0</v>
      </c>
      <c r="G15" s="24"/>
      <c r="H15" s="24"/>
      <c r="I15" s="24"/>
      <c r="J15" s="30">
        <v>1500.0</v>
      </c>
      <c r="K15" s="24"/>
      <c r="L15" s="24"/>
      <c r="M15" s="24"/>
      <c r="N15" s="24"/>
      <c r="O15" s="24"/>
      <c r="P15" s="24"/>
      <c r="Q15" s="24"/>
      <c r="R15" s="24"/>
      <c r="S15" s="30">
        <v>2000.0</v>
      </c>
      <c r="T15" s="24"/>
      <c r="U15" s="24"/>
      <c r="V15" s="24"/>
      <c r="W15" s="24"/>
      <c r="X15" s="24"/>
      <c r="Y15" s="24"/>
      <c r="Z15" s="24"/>
      <c r="AA15" s="24"/>
      <c r="AB15" s="18">
        <f t="shared" si="1"/>
        <v>-2000</v>
      </c>
      <c r="AC15" s="18">
        <f t="shared" si="2"/>
        <v>3500</v>
      </c>
      <c r="AD15" s="20">
        <v>2000.0</v>
      </c>
      <c r="AE15" s="34">
        <v>3500.0</v>
      </c>
      <c r="AG15" s="52" t="s">
        <v>9</v>
      </c>
      <c r="AH15" s="54">
        <f>S56+P56+M56+J56+G56</f>
        <v>44921.53</v>
      </c>
      <c r="AI15" s="50">
        <f>S56+P56+M56+J56+G56</f>
        <v>44921.53</v>
      </c>
      <c r="AJ15" s="46"/>
      <c r="AK15" s="50"/>
    </row>
    <row r="16" ht="14.25" customHeight="1">
      <c r="A16" s="14">
        <v>13.0</v>
      </c>
      <c r="B16" s="55" t="s">
        <v>61</v>
      </c>
      <c r="C16" s="21" t="s">
        <v>63</v>
      </c>
      <c r="D16" s="21" t="s">
        <v>65</v>
      </c>
      <c r="E16" s="21" t="s">
        <v>66</v>
      </c>
      <c r="F16" s="22">
        <v>2500.0</v>
      </c>
      <c r="G16" s="30">
        <v>1501.58</v>
      </c>
      <c r="H16" s="24"/>
      <c r="I16" s="24"/>
      <c r="J16" s="24"/>
      <c r="K16" s="24"/>
      <c r="L16" s="24"/>
      <c r="M16" s="24"/>
      <c r="N16" s="24"/>
      <c r="O16" s="24"/>
      <c r="P16" s="30">
        <v>1308.94</v>
      </c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18">
        <f t="shared" si="1"/>
        <v>-310.52</v>
      </c>
      <c r="AC16" s="18">
        <f t="shared" si="2"/>
        <v>2810.52</v>
      </c>
      <c r="AD16" s="20">
        <v>310.0</v>
      </c>
      <c r="AE16" s="34">
        <v>2810.52</v>
      </c>
      <c r="AG16" s="52" t="s">
        <v>10</v>
      </c>
      <c r="AH16" s="56">
        <f t="shared" ref="AH16:AH17" si="4">AI9+AI52</f>
        <v>16800.11</v>
      </c>
      <c r="AI16" s="46"/>
      <c r="AJ16" s="46"/>
      <c r="AK16" s="46"/>
      <c r="BC16" s="19"/>
    </row>
    <row r="17" ht="14.25" customHeight="1">
      <c r="A17" s="14"/>
      <c r="B17" s="12"/>
      <c r="C17" s="21" t="s">
        <v>63</v>
      </c>
      <c r="D17" s="21" t="s">
        <v>17</v>
      </c>
      <c r="E17" s="21"/>
      <c r="F17" s="22">
        <v>300.0</v>
      </c>
      <c r="G17" s="24"/>
      <c r="H17" s="58">
        <v>400.0</v>
      </c>
      <c r="I17" s="59" t="s">
        <v>80</v>
      </c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18" t="str">
        <f t="shared" si="1"/>
        <v>#VALUE!</v>
      </c>
      <c r="AC17" s="18"/>
      <c r="AD17" s="20">
        <v>100.0</v>
      </c>
      <c r="AG17" s="52" t="s">
        <v>12</v>
      </c>
      <c r="AH17" s="24">
        <f t="shared" si="4"/>
        <v>3868.47</v>
      </c>
      <c r="BC17" s="19"/>
    </row>
    <row r="18" ht="14.25" customHeight="1">
      <c r="A18" s="14">
        <v>14.0</v>
      </c>
      <c r="B18" s="21" t="s">
        <v>68</v>
      </c>
      <c r="C18" s="21" t="s">
        <v>63</v>
      </c>
      <c r="D18" s="21" t="s">
        <v>69</v>
      </c>
      <c r="E18" s="21" t="s">
        <v>70</v>
      </c>
      <c r="F18" s="22">
        <v>2500.0</v>
      </c>
      <c r="H18" s="58">
        <v>1712.0</v>
      </c>
      <c r="I18" s="12"/>
      <c r="J18" s="24"/>
      <c r="K18" s="24"/>
      <c r="L18" s="24"/>
      <c r="M18" s="24"/>
      <c r="N18" s="58">
        <v>788.0</v>
      </c>
      <c r="O18" s="23" t="s">
        <v>84</v>
      </c>
      <c r="P18" s="24"/>
      <c r="Q18" s="24"/>
      <c r="R18" s="24"/>
      <c r="S18" s="24"/>
      <c r="T18" s="58">
        <v>800.0</v>
      </c>
      <c r="U18" s="23" t="s">
        <v>86</v>
      </c>
      <c r="V18" s="24"/>
      <c r="W18" s="24"/>
      <c r="X18" s="24"/>
      <c r="Y18" s="24"/>
      <c r="Z18" s="24"/>
      <c r="AA18" s="24"/>
      <c r="AB18" s="18" t="str">
        <f t="shared" si="1"/>
        <v>#VALUE!</v>
      </c>
      <c r="AC18" s="18">
        <f>SUM(H18:X18)</f>
        <v>3300</v>
      </c>
      <c r="AD18" s="20">
        <v>800.0</v>
      </c>
      <c r="AE18" s="34">
        <v>3300.0</v>
      </c>
      <c r="BC18" s="19"/>
    </row>
    <row r="19" ht="14.25" customHeight="1">
      <c r="A19" s="14">
        <v>15.0</v>
      </c>
      <c r="B19" s="21" t="s">
        <v>71</v>
      </c>
      <c r="C19" s="21" t="s">
        <v>63</v>
      </c>
      <c r="D19" s="21" t="s">
        <v>58</v>
      </c>
      <c r="E19" s="21" t="s">
        <v>72</v>
      </c>
      <c r="F19" s="22">
        <v>4000.0</v>
      </c>
      <c r="G19" s="24"/>
      <c r="H19" s="24"/>
      <c r="I19" s="24"/>
      <c r="J19" s="24"/>
      <c r="K19" s="24"/>
      <c r="L19" s="24"/>
      <c r="M19" s="24"/>
      <c r="N19" s="58">
        <v>2500.11</v>
      </c>
      <c r="O19" s="23" t="s">
        <v>91</v>
      </c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19"/>
      <c r="AC19" s="18">
        <f t="shared" ref="AC19:AC41" si="5">SUM(G19:X19)</f>
        <v>2500.11</v>
      </c>
      <c r="AD19" s="20"/>
      <c r="BC19" s="19"/>
    </row>
    <row r="20" ht="14.25" customHeight="1">
      <c r="A20" s="25">
        <v>16.0</v>
      </c>
      <c r="B20" s="26" t="s">
        <v>74</v>
      </c>
      <c r="C20" s="26" t="s">
        <v>75</v>
      </c>
      <c r="D20" s="27" t="s">
        <v>65</v>
      </c>
      <c r="E20" s="27" t="s">
        <v>76</v>
      </c>
      <c r="F20" s="28">
        <v>2500.0</v>
      </c>
      <c r="G20" s="30">
        <v>1299.56</v>
      </c>
      <c r="H20" s="24"/>
      <c r="I20" s="24"/>
      <c r="J20" s="24"/>
      <c r="K20" s="24"/>
      <c r="L20" s="24"/>
      <c r="M20" s="24"/>
      <c r="N20" s="24"/>
      <c r="O20" s="24"/>
      <c r="P20" s="30">
        <v>720.35</v>
      </c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18">
        <f t="shared" ref="AB20:AB23" si="6">F20-(G20+H20+J20+K20+M20+N20+P20+Q20+S20+T20+V20+W20+U20+O20+I20+L20+R20+X20)</f>
        <v>480.09</v>
      </c>
      <c r="AC20" s="18">
        <f t="shared" si="5"/>
        <v>2019.91</v>
      </c>
      <c r="AD20" s="20"/>
    </row>
    <row r="21" ht="14.25" customHeight="1">
      <c r="A21" s="25">
        <v>17.0</v>
      </c>
      <c r="B21" s="44"/>
      <c r="C21" s="44"/>
      <c r="D21" s="27" t="s">
        <v>77</v>
      </c>
      <c r="E21" s="27"/>
      <c r="F21" s="57">
        <v>1000.0</v>
      </c>
      <c r="G21" s="30">
        <v>1000.0</v>
      </c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18">
        <f t="shared" si="6"/>
        <v>0</v>
      </c>
      <c r="AC21" s="18">
        <f t="shared" si="5"/>
        <v>1000</v>
      </c>
      <c r="AD21" s="20"/>
    </row>
    <row r="22" ht="14.25" customHeight="1">
      <c r="A22" s="25">
        <v>18.0</v>
      </c>
      <c r="B22" s="44"/>
      <c r="C22" s="44"/>
      <c r="D22" s="27" t="s">
        <v>78</v>
      </c>
      <c r="E22" s="27"/>
      <c r="F22" s="57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18">
        <f t="shared" si="6"/>
        <v>0</v>
      </c>
      <c r="AC22" s="18">
        <f t="shared" si="5"/>
        <v>0</v>
      </c>
      <c r="AD22" s="20"/>
      <c r="AG22" s="20"/>
    </row>
    <row r="23" ht="14.25" customHeight="1">
      <c r="A23" s="25">
        <v>19.0</v>
      </c>
      <c r="B23" s="12"/>
      <c r="C23" s="12"/>
      <c r="D23" s="27" t="s">
        <v>81</v>
      </c>
      <c r="E23" s="27"/>
      <c r="F23" s="57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18">
        <f t="shared" si="6"/>
        <v>0</v>
      </c>
      <c r="AC23" s="18">
        <f t="shared" si="5"/>
        <v>0</v>
      </c>
      <c r="AD23" s="20"/>
    </row>
    <row r="24" ht="14.25" customHeight="1">
      <c r="A24" s="25">
        <v>20.0</v>
      </c>
      <c r="B24" s="27" t="s">
        <v>82</v>
      </c>
      <c r="C24" s="27" t="s">
        <v>75</v>
      </c>
      <c r="D24" s="27" t="s">
        <v>65</v>
      </c>
      <c r="E24" s="27" t="s">
        <v>83</v>
      </c>
      <c r="F24" s="28">
        <v>1500.0</v>
      </c>
      <c r="G24" s="24"/>
      <c r="H24" s="24"/>
      <c r="I24" s="24"/>
      <c r="J24" s="24"/>
      <c r="K24" s="24"/>
      <c r="L24" s="24"/>
      <c r="M24" s="30">
        <v>1167.53</v>
      </c>
      <c r="N24" s="24"/>
      <c r="O24" s="24"/>
      <c r="P24" s="30">
        <v>332.47</v>
      </c>
      <c r="Q24" s="24"/>
      <c r="R24" s="24"/>
      <c r="S24" s="24"/>
      <c r="T24" s="24"/>
      <c r="U24" s="24"/>
      <c r="V24" s="24"/>
      <c r="W24" s="58">
        <v>500.0</v>
      </c>
      <c r="X24" s="23" t="s">
        <v>112</v>
      </c>
      <c r="Y24" s="24"/>
      <c r="Z24" s="24"/>
      <c r="AA24" s="24"/>
      <c r="AB24" s="18" t="str">
        <f t="shared" ref="AB24:AB25" si="7">F24-(G24+H24+J24+K24+M24+N24+P24+Q24+S24+T24+V24+W24+O24+R24+U24+I24+L24+X24)</f>
        <v>#VALUE!</v>
      </c>
      <c r="AC24" s="18">
        <f t="shared" si="5"/>
        <v>2000</v>
      </c>
      <c r="AD24" s="20">
        <v>500.0</v>
      </c>
      <c r="AE24" s="34">
        <v>2000.0</v>
      </c>
    </row>
    <row r="25" ht="14.25" customHeight="1">
      <c r="A25" s="25">
        <v>21.0</v>
      </c>
      <c r="B25" s="27" t="s">
        <v>89</v>
      </c>
      <c r="C25" s="27" t="s">
        <v>75</v>
      </c>
      <c r="D25" s="27" t="s">
        <v>58</v>
      </c>
      <c r="E25" s="27" t="s">
        <v>90</v>
      </c>
      <c r="F25" s="28">
        <v>3000.0</v>
      </c>
      <c r="G25" s="24"/>
      <c r="H25" s="24"/>
      <c r="I25" s="24"/>
      <c r="J25" s="30">
        <v>3000.0</v>
      </c>
      <c r="K25" s="24"/>
      <c r="L25" s="24"/>
      <c r="M25" s="24"/>
      <c r="N25" s="24"/>
      <c r="O25" s="24"/>
      <c r="P25" s="30">
        <v>1000.0</v>
      </c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18">
        <f t="shared" si="7"/>
        <v>-1000</v>
      </c>
      <c r="AC25" s="18">
        <f t="shared" si="5"/>
        <v>4000</v>
      </c>
      <c r="AD25" s="20">
        <v>1000.0</v>
      </c>
      <c r="AE25" s="34">
        <v>4000.0</v>
      </c>
    </row>
    <row r="26" ht="14.25" customHeight="1">
      <c r="A26" s="25">
        <v>22.0</v>
      </c>
      <c r="B26" s="27" t="s">
        <v>93</v>
      </c>
      <c r="C26" s="27" t="s">
        <v>75</v>
      </c>
      <c r="D26" s="27" t="s">
        <v>69</v>
      </c>
      <c r="E26" s="27" t="s">
        <v>94</v>
      </c>
      <c r="F26" s="28">
        <v>2500.0</v>
      </c>
      <c r="G26" s="30">
        <v>1254.83</v>
      </c>
      <c r="H26" s="24"/>
      <c r="I26" s="24"/>
      <c r="J26" s="24"/>
      <c r="K26" s="24"/>
      <c r="L26" s="24"/>
      <c r="M26" s="30">
        <v>1246.0</v>
      </c>
      <c r="N26" s="24"/>
      <c r="O26" s="24"/>
      <c r="P26" s="24"/>
      <c r="Q26" s="24"/>
      <c r="R26" s="24"/>
      <c r="S26" s="24"/>
      <c r="T26" s="24"/>
      <c r="U26" s="24"/>
      <c r="V26" s="24"/>
      <c r="W26" s="23">
        <v>800.0</v>
      </c>
      <c r="X26" s="66" t="s">
        <v>121</v>
      </c>
      <c r="Y26" s="24"/>
      <c r="Z26" s="24"/>
      <c r="AA26" s="24"/>
      <c r="AB26" s="18" t="str">
        <f>F26-(G26+H26+J26+K26+M26+N26+P26+Q26+S26+T26+V26+W26+O26+R26+U26+I26+L26+U40)</f>
        <v>#VALUE!</v>
      </c>
      <c r="AC26" s="18">
        <f t="shared" si="5"/>
        <v>3300.83</v>
      </c>
      <c r="AD26" s="20">
        <v>800.0</v>
      </c>
      <c r="AE26" s="34">
        <v>3300.0</v>
      </c>
    </row>
    <row r="27" ht="14.25" customHeight="1">
      <c r="A27" s="14">
        <v>23.0</v>
      </c>
      <c r="B27" s="21" t="s">
        <v>96</v>
      </c>
      <c r="C27" s="55" t="s">
        <v>98</v>
      </c>
      <c r="D27" s="21" t="s">
        <v>99</v>
      </c>
      <c r="E27" s="21" t="s">
        <v>100</v>
      </c>
      <c r="F27" s="22">
        <v>2500.0</v>
      </c>
      <c r="G27" s="24"/>
      <c r="H27" s="24"/>
      <c r="I27" s="24"/>
      <c r="J27" s="24"/>
      <c r="K27" s="24"/>
      <c r="L27" s="24"/>
      <c r="M27" s="24"/>
      <c r="N27" s="58">
        <v>1000.0</v>
      </c>
      <c r="O27" s="23" t="s">
        <v>123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18" t="str">
        <f t="shared" ref="AB27:AB39" si="8">F27-(G27+H27+J27+K27+M27+N27+P27+Q27+S27+T27+V27+W27+O27+R27+U27+I27+L27+X27)</f>
        <v>#VALUE!</v>
      </c>
      <c r="AC27" s="18">
        <f t="shared" si="5"/>
        <v>1000</v>
      </c>
      <c r="AD27" s="20"/>
    </row>
    <row r="28" ht="14.25" customHeight="1">
      <c r="A28" s="14">
        <v>24.0</v>
      </c>
      <c r="B28" s="21" t="s">
        <v>102</v>
      </c>
      <c r="C28" s="12"/>
      <c r="D28" s="21" t="s">
        <v>17</v>
      </c>
      <c r="E28" s="21"/>
      <c r="F28" s="22">
        <v>1000.0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18">
        <f t="shared" si="8"/>
        <v>1000</v>
      </c>
      <c r="AC28" s="18">
        <f t="shared" si="5"/>
        <v>0</v>
      </c>
      <c r="AD28" s="20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</row>
    <row r="29" ht="14.25" customHeight="1">
      <c r="A29" s="25">
        <v>25.0</v>
      </c>
      <c r="B29" s="27" t="s">
        <v>104</v>
      </c>
      <c r="C29" s="27" t="s">
        <v>105</v>
      </c>
      <c r="D29" s="27" t="s">
        <v>20</v>
      </c>
      <c r="E29" s="27" t="s">
        <v>106</v>
      </c>
      <c r="F29" s="28">
        <v>2500.0</v>
      </c>
      <c r="G29" s="30">
        <v>1664.06</v>
      </c>
      <c r="H29" s="24"/>
      <c r="I29" s="24"/>
      <c r="J29" s="24"/>
      <c r="K29" s="24"/>
      <c r="L29" s="24"/>
      <c r="M29" s="24"/>
      <c r="N29" s="24"/>
      <c r="O29" s="24">
        <v>2000.0</v>
      </c>
      <c r="P29" s="24"/>
      <c r="Q29" s="24"/>
      <c r="R29" s="24"/>
      <c r="S29" s="24"/>
      <c r="T29" s="24"/>
      <c r="U29" s="24"/>
      <c r="V29" s="24"/>
      <c r="W29" s="58">
        <v>1000.0</v>
      </c>
      <c r="X29" s="23" t="s">
        <v>128</v>
      </c>
      <c r="Y29" s="24"/>
      <c r="Z29" s="24"/>
      <c r="AA29" s="24"/>
      <c r="AB29" s="18" t="str">
        <f t="shared" si="8"/>
        <v>#VALUE!</v>
      </c>
      <c r="AC29" s="18">
        <f t="shared" si="5"/>
        <v>4664.06</v>
      </c>
      <c r="AD29" s="20">
        <v>2164.06</v>
      </c>
      <c r="AE29" s="34">
        <v>4664.0</v>
      </c>
    </row>
    <row r="30" ht="14.25" customHeight="1">
      <c r="A30" s="25">
        <v>26.0</v>
      </c>
      <c r="B30" s="26" t="s">
        <v>107</v>
      </c>
      <c r="C30" s="26" t="s">
        <v>105</v>
      </c>
      <c r="D30" s="27" t="s">
        <v>109</v>
      </c>
      <c r="E30" s="27" t="s">
        <v>110</v>
      </c>
      <c r="F30" s="28">
        <v>1000.0</v>
      </c>
      <c r="G30" s="30">
        <v>1000.0</v>
      </c>
      <c r="H30" s="24"/>
      <c r="I30" s="24"/>
      <c r="J30" s="24"/>
      <c r="K30" s="24"/>
      <c r="L30" s="24"/>
      <c r="M30" s="24"/>
      <c r="N30" s="24"/>
      <c r="O30" s="24"/>
      <c r="P30" s="30">
        <v>500.0</v>
      </c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18">
        <f t="shared" si="8"/>
        <v>-500</v>
      </c>
      <c r="AC30" s="18">
        <f t="shared" si="5"/>
        <v>1500</v>
      </c>
      <c r="AD30" s="20">
        <v>500.0</v>
      </c>
      <c r="AE30" s="34">
        <v>1500.0</v>
      </c>
    </row>
    <row r="31" ht="14.25" customHeight="1">
      <c r="A31" s="25">
        <v>27.0</v>
      </c>
      <c r="B31" s="44"/>
      <c r="C31" s="44"/>
      <c r="D31" s="27" t="s">
        <v>111</v>
      </c>
      <c r="E31" s="27"/>
      <c r="F31" s="28">
        <v>500.0</v>
      </c>
      <c r="G31" s="30">
        <v>500.0</v>
      </c>
      <c r="H31" s="24"/>
      <c r="I31" s="24"/>
      <c r="J31" s="24"/>
      <c r="K31" s="24"/>
      <c r="L31" s="24"/>
      <c r="M31" s="24"/>
      <c r="N31" s="24"/>
      <c r="O31" s="24"/>
      <c r="P31" s="30">
        <v>228.9</v>
      </c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18">
        <f t="shared" si="8"/>
        <v>-228.9</v>
      </c>
      <c r="AC31" s="18">
        <f t="shared" si="5"/>
        <v>728.9</v>
      </c>
      <c r="AD31" s="20">
        <v>228.9</v>
      </c>
      <c r="AE31" s="34">
        <v>728.9</v>
      </c>
    </row>
    <row r="32" ht="14.25" customHeight="1">
      <c r="A32" s="25">
        <v>28.0</v>
      </c>
      <c r="B32" s="12"/>
      <c r="C32" s="12"/>
      <c r="D32" s="27" t="s">
        <v>111</v>
      </c>
      <c r="E32" s="27"/>
      <c r="F32" s="28">
        <v>500.0</v>
      </c>
      <c r="G32" s="24"/>
      <c r="H32" s="24"/>
      <c r="I32" s="24"/>
      <c r="J32" s="24"/>
      <c r="K32" s="24"/>
      <c r="L32" s="24"/>
      <c r="M32" s="24"/>
      <c r="N32" s="24"/>
      <c r="O32" s="24"/>
      <c r="P32" s="30">
        <v>400.0</v>
      </c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18">
        <f t="shared" si="8"/>
        <v>100</v>
      </c>
      <c r="AC32" s="18">
        <f t="shared" si="5"/>
        <v>400</v>
      </c>
      <c r="AD32" s="20"/>
    </row>
    <row r="33" ht="14.25" customHeight="1">
      <c r="A33" s="25">
        <v>29.0</v>
      </c>
      <c r="B33" s="26" t="s">
        <v>114</v>
      </c>
      <c r="C33" s="27"/>
      <c r="D33" s="27"/>
      <c r="E33" s="27" t="s">
        <v>115</v>
      </c>
      <c r="F33" s="28">
        <v>800.0</v>
      </c>
      <c r="G33" s="30">
        <v>800.0</v>
      </c>
      <c r="H33" s="24"/>
      <c r="I33" s="24"/>
      <c r="J33" s="24"/>
      <c r="K33" s="24"/>
      <c r="L33" s="24"/>
      <c r="M33" s="24"/>
      <c r="N33" s="24"/>
      <c r="O33" s="24"/>
      <c r="P33" s="30">
        <v>500.0</v>
      </c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18">
        <f t="shared" si="8"/>
        <v>-500</v>
      </c>
      <c r="AC33" s="18">
        <f t="shared" si="5"/>
        <v>1300</v>
      </c>
      <c r="AD33" s="20">
        <v>300.0</v>
      </c>
      <c r="AE33" s="34">
        <v>1300.0</v>
      </c>
    </row>
    <row r="34" ht="14.25" customHeight="1">
      <c r="A34" s="25">
        <v>30.0</v>
      </c>
      <c r="B34" s="12"/>
      <c r="C34" s="27"/>
      <c r="D34" s="27" t="s">
        <v>17</v>
      </c>
      <c r="E34" s="27"/>
      <c r="F34" s="28">
        <v>500.0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18">
        <f t="shared" si="8"/>
        <v>500</v>
      </c>
      <c r="AC34" s="18">
        <f t="shared" si="5"/>
        <v>0</v>
      </c>
      <c r="AD34" s="20"/>
    </row>
    <row r="35" ht="14.25" customHeight="1">
      <c r="A35" s="25">
        <v>31.0</v>
      </c>
      <c r="B35" s="82" t="s">
        <v>135</v>
      </c>
      <c r="C35" s="27" t="s">
        <v>136</v>
      </c>
      <c r="D35" s="27"/>
      <c r="E35" s="27" t="s">
        <v>137</v>
      </c>
      <c r="F35" s="28">
        <v>1500.0</v>
      </c>
      <c r="G35" s="30">
        <v>586.12</v>
      </c>
      <c r="H35" s="24"/>
      <c r="I35" s="24"/>
      <c r="J35" s="24"/>
      <c r="K35" s="24"/>
      <c r="L35" s="24"/>
      <c r="M35" s="24"/>
      <c r="N35" s="24"/>
      <c r="O35" s="24"/>
      <c r="P35" s="30">
        <v>737.52</v>
      </c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18">
        <f t="shared" si="8"/>
        <v>176.36</v>
      </c>
      <c r="AC35" s="18">
        <f t="shared" si="5"/>
        <v>1323.64</v>
      </c>
      <c r="AD35" s="20"/>
    </row>
    <row r="36" ht="14.25" customHeight="1">
      <c r="A36" s="25">
        <v>32.0</v>
      </c>
      <c r="B36" s="82" t="s">
        <v>142</v>
      </c>
      <c r="C36" s="27" t="s">
        <v>143</v>
      </c>
      <c r="D36" s="27" t="s">
        <v>20</v>
      </c>
      <c r="E36" s="27" t="s">
        <v>144</v>
      </c>
      <c r="F36" s="28">
        <v>1500.0</v>
      </c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18">
        <f t="shared" si="8"/>
        <v>1500</v>
      </c>
      <c r="AC36" s="18">
        <f t="shared" si="5"/>
        <v>0</v>
      </c>
      <c r="AD36" s="20"/>
    </row>
    <row r="37" ht="14.25" customHeight="1">
      <c r="A37" s="25">
        <v>33.0</v>
      </c>
      <c r="B37" s="82" t="s">
        <v>145</v>
      </c>
      <c r="C37" s="27" t="s">
        <v>146</v>
      </c>
      <c r="D37" s="27" t="s">
        <v>43</v>
      </c>
      <c r="E37" s="27"/>
      <c r="F37" s="28">
        <v>700.0</v>
      </c>
      <c r="G37" s="30">
        <v>574.47</v>
      </c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30">
        <v>800.0</v>
      </c>
      <c r="T37" s="24"/>
      <c r="U37" s="24"/>
      <c r="V37" s="24"/>
      <c r="W37" s="24"/>
      <c r="X37" s="24"/>
      <c r="Y37" s="24"/>
      <c r="Z37" s="24"/>
      <c r="AA37" s="24"/>
      <c r="AB37" s="18">
        <f t="shared" si="8"/>
        <v>-674.47</v>
      </c>
      <c r="AC37" s="18">
        <f t="shared" si="5"/>
        <v>1374.47</v>
      </c>
      <c r="AD37" s="20">
        <v>674.47</v>
      </c>
      <c r="AE37" s="34">
        <v>1374.47</v>
      </c>
    </row>
    <row r="38" ht="14.25" customHeight="1">
      <c r="A38" s="25">
        <v>34.0</v>
      </c>
      <c r="B38" s="27" t="s">
        <v>118</v>
      </c>
      <c r="C38" s="27"/>
      <c r="D38" s="27" t="s">
        <v>119</v>
      </c>
      <c r="E38" s="27" t="s">
        <v>120</v>
      </c>
      <c r="F38" s="28">
        <v>3000.0</v>
      </c>
      <c r="G38" s="24"/>
      <c r="H38" s="58">
        <v>1200.0</v>
      </c>
      <c r="I38" s="23" t="s">
        <v>150</v>
      </c>
      <c r="J38" s="24"/>
      <c r="K38" s="23" t="s">
        <v>151</v>
      </c>
      <c r="L38" s="24"/>
      <c r="M38" s="24"/>
      <c r="N38" s="58">
        <v>800.0</v>
      </c>
      <c r="O38" s="23" t="s">
        <v>152</v>
      </c>
      <c r="P38" s="24"/>
      <c r="Q38" s="58">
        <v>1000.0</v>
      </c>
      <c r="R38" s="83" t="s">
        <v>153</v>
      </c>
      <c r="S38" s="24"/>
      <c r="T38" s="24"/>
      <c r="U38" s="24"/>
      <c r="V38" s="24"/>
      <c r="W38" s="24"/>
      <c r="X38" s="24"/>
      <c r="Y38" s="24"/>
      <c r="Z38" s="24"/>
      <c r="AA38" s="24"/>
      <c r="AB38" s="18" t="str">
        <f t="shared" si="8"/>
        <v>#VALUE!</v>
      </c>
      <c r="AC38" s="18">
        <f t="shared" si="5"/>
        <v>3000</v>
      </c>
      <c r="AD38" s="20"/>
    </row>
    <row r="39" ht="14.25" customHeight="1">
      <c r="A39" s="25"/>
      <c r="B39" s="82" t="s">
        <v>155</v>
      </c>
      <c r="C39" s="27"/>
      <c r="D39" s="27" t="s">
        <v>20</v>
      </c>
      <c r="E39" s="27" t="s">
        <v>156</v>
      </c>
      <c r="F39" s="28">
        <v>1500.0</v>
      </c>
      <c r="G39" s="24"/>
      <c r="H39" s="24"/>
      <c r="I39" s="24"/>
      <c r="J39" s="24"/>
      <c r="K39" s="58">
        <v>1000.0</v>
      </c>
      <c r="L39" s="24">
        <v>200.0</v>
      </c>
      <c r="M39" s="24"/>
      <c r="N39" s="24"/>
      <c r="O39" s="24"/>
      <c r="P39" s="30">
        <v>800.0</v>
      </c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18">
        <f t="shared" si="8"/>
        <v>-500</v>
      </c>
      <c r="AC39" s="18">
        <f t="shared" si="5"/>
        <v>2000</v>
      </c>
      <c r="AD39" s="20">
        <v>500.0</v>
      </c>
      <c r="AE39" s="34">
        <v>2000.0</v>
      </c>
    </row>
    <row r="40" ht="14.25" customHeight="1">
      <c r="A40" s="25"/>
      <c r="B40" s="27"/>
      <c r="C40" s="27"/>
      <c r="D40" s="27" t="s">
        <v>20</v>
      </c>
      <c r="E40" s="27" t="s">
        <v>159</v>
      </c>
      <c r="F40" s="28">
        <v>1500.0</v>
      </c>
      <c r="G40" s="24"/>
      <c r="H40" s="24"/>
      <c r="I40" s="24"/>
      <c r="J40" s="24"/>
      <c r="K40" s="58">
        <v>1000.0</v>
      </c>
      <c r="L40" s="24">
        <v>200.0</v>
      </c>
      <c r="M40" s="24"/>
      <c r="N40" s="24"/>
      <c r="O40" s="24"/>
      <c r="P40" s="24"/>
      <c r="Q40" s="24"/>
      <c r="R40" s="24"/>
      <c r="S40" s="24"/>
      <c r="T40" s="58">
        <v>800.0</v>
      </c>
      <c r="U40" s="23" t="s">
        <v>161</v>
      </c>
      <c r="V40" s="24"/>
      <c r="W40" s="24"/>
      <c r="X40" s="24"/>
      <c r="Y40" s="24"/>
      <c r="Z40" s="24"/>
      <c r="AA40" s="24"/>
      <c r="AB40" s="18" t="str">
        <f>F40-(G40+H40+J40+K40+M40+N40+P40+Q40+S40+T40+V40+W40+O40+R40+#REF!+I40+L40+X40)</f>
        <v>#REF!</v>
      </c>
      <c r="AC40" s="18">
        <f t="shared" si="5"/>
        <v>2000</v>
      </c>
      <c r="AD40" s="20">
        <v>500.0</v>
      </c>
      <c r="AE40" s="34">
        <v>2000.0</v>
      </c>
    </row>
    <row r="41" ht="14.25" customHeight="1">
      <c r="A41" s="25"/>
      <c r="B41" s="27"/>
      <c r="C41" s="27"/>
      <c r="D41" s="27" t="s">
        <v>20</v>
      </c>
      <c r="E41" s="27" t="s">
        <v>164</v>
      </c>
      <c r="F41" s="28">
        <v>1500.0</v>
      </c>
      <c r="G41" s="24"/>
      <c r="H41" s="24"/>
      <c r="I41" s="24"/>
      <c r="J41" s="24"/>
      <c r="K41" s="58">
        <v>1000.0</v>
      </c>
      <c r="L41" s="24">
        <v>200.0</v>
      </c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18">
        <f>F41-(G41+H41+J41+K41+M41+N41+P41+Q41+S41+T41+V41+W41+O41+R41+U41+I41+L41+X41)</f>
        <v>300</v>
      </c>
      <c r="AC41" s="18">
        <f t="shared" si="5"/>
        <v>1200</v>
      </c>
      <c r="AD41" s="20"/>
      <c r="AE41" s="34">
        <v>1200.0</v>
      </c>
    </row>
    <row r="42" ht="14.25" customHeight="1">
      <c r="A42" s="68" t="s">
        <v>122</v>
      </c>
      <c r="B42" s="2"/>
      <c r="C42" s="2"/>
      <c r="D42" s="2"/>
      <c r="E42" s="3"/>
      <c r="F42" s="69">
        <f t="shared" ref="F42:X42" si="9">SUM(F4:F41)</f>
        <v>55200</v>
      </c>
      <c r="G42" s="70">
        <f t="shared" si="9"/>
        <v>14176.46</v>
      </c>
      <c r="H42" s="70">
        <f t="shared" si="9"/>
        <v>3312</v>
      </c>
      <c r="I42" s="70">
        <f t="shared" si="9"/>
        <v>440</v>
      </c>
      <c r="J42" s="70">
        <f t="shared" si="9"/>
        <v>8000</v>
      </c>
      <c r="K42" s="70">
        <f t="shared" si="9"/>
        <v>3000</v>
      </c>
      <c r="L42" s="70">
        <f t="shared" si="9"/>
        <v>600</v>
      </c>
      <c r="M42" s="70">
        <f t="shared" si="9"/>
        <v>2413.53</v>
      </c>
      <c r="N42" s="70">
        <f t="shared" si="9"/>
        <v>5088.11</v>
      </c>
      <c r="O42" s="70">
        <f t="shared" si="9"/>
        <v>2000</v>
      </c>
      <c r="P42" s="70">
        <f t="shared" si="9"/>
        <v>8528.18</v>
      </c>
      <c r="Q42" s="70">
        <f t="shared" si="9"/>
        <v>1000</v>
      </c>
      <c r="R42" s="70">
        <f t="shared" si="9"/>
        <v>800</v>
      </c>
      <c r="S42" s="70">
        <f t="shared" si="9"/>
        <v>3300</v>
      </c>
      <c r="T42" s="70">
        <f t="shared" si="9"/>
        <v>1600</v>
      </c>
      <c r="U42" s="70">
        <f t="shared" si="9"/>
        <v>1068.47</v>
      </c>
      <c r="V42" s="70">
        <f t="shared" si="9"/>
        <v>0</v>
      </c>
      <c r="W42" s="70">
        <f t="shared" si="9"/>
        <v>2300</v>
      </c>
      <c r="X42" s="70">
        <f t="shared" si="9"/>
        <v>0</v>
      </c>
      <c r="Y42" s="70"/>
      <c r="Z42" s="70"/>
      <c r="AA42" s="70"/>
      <c r="AB42" s="70" t="str">
        <f>SUM(AB4:AB41)</f>
        <v>#VALUE!</v>
      </c>
      <c r="AC42" s="70">
        <f>SUM(AC4:AC38)</f>
        <v>52026.75</v>
      </c>
    </row>
    <row r="43" ht="14.25" customHeight="1">
      <c r="A43" s="73"/>
      <c r="B43" s="73"/>
      <c r="C43" s="73"/>
      <c r="D43" s="73"/>
      <c r="E43" s="73"/>
      <c r="F43" s="72"/>
      <c r="AB43" s="20">
        <f>F42-AC42</f>
        <v>3173.25</v>
      </c>
      <c r="AC43" s="20">
        <f>G42+H42+J42+K42+M42+N42+O42+P42+Q42+R42+S42+T42+U42+V42+W42</f>
        <v>56586.75</v>
      </c>
    </row>
    <row r="44" ht="14.25" customHeight="1">
      <c r="A44" s="73"/>
      <c r="B44" s="73"/>
      <c r="C44" s="73"/>
      <c r="D44" s="73"/>
      <c r="E44" s="73"/>
      <c r="F44" s="72"/>
    </row>
    <row r="45" ht="14.25" customHeight="1">
      <c r="A45" s="77" t="s">
        <v>177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9"/>
    </row>
    <row r="46" ht="28.5" customHeight="1">
      <c r="A46" s="4" t="s">
        <v>2</v>
      </c>
      <c r="B46" s="5"/>
      <c r="C46" s="6" t="s">
        <v>3</v>
      </c>
      <c r="D46" s="6" t="s">
        <v>4</v>
      </c>
      <c r="E46" s="6" t="s">
        <v>5</v>
      </c>
      <c r="F46" s="7" t="s">
        <v>134</v>
      </c>
      <c r="G46" s="8">
        <v>46209.0</v>
      </c>
      <c r="H46" s="2"/>
      <c r="I46" s="3"/>
      <c r="J46" s="8">
        <v>46210.0</v>
      </c>
      <c r="K46" s="2"/>
      <c r="L46" s="3"/>
      <c r="M46" s="8">
        <v>46211.0</v>
      </c>
      <c r="N46" s="2"/>
      <c r="O46" s="3"/>
      <c r="P46" s="8">
        <v>46212.0</v>
      </c>
      <c r="Q46" s="2"/>
      <c r="R46" s="3"/>
      <c r="S46" s="8">
        <v>46213.0</v>
      </c>
      <c r="T46" s="2"/>
      <c r="U46" s="3"/>
      <c r="V46" s="8">
        <v>46214.0</v>
      </c>
      <c r="W46" s="2"/>
      <c r="X46" s="3"/>
      <c r="Y46" s="8">
        <v>46215.0</v>
      </c>
      <c r="Z46" s="2"/>
      <c r="AA46" s="3"/>
      <c r="AB46" s="9" t="s">
        <v>7</v>
      </c>
      <c r="AC46" s="7" t="s">
        <v>8</v>
      </c>
    </row>
    <row r="47" ht="14.25" customHeight="1">
      <c r="A47" s="10"/>
      <c r="B47" s="11"/>
      <c r="C47" s="12"/>
      <c r="D47" s="12"/>
      <c r="E47" s="12"/>
      <c r="F47" s="12"/>
      <c r="G47" s="13" t="s">
        <v>9</v>
      </c>
      <c r="H47" s="13" t="s">
        <v>10</v>
      </c>
      <c r="I47" s="13" t="s">
        <v>12</v>
      </c>
      <c r="J47" s="13" t="s">
        <v>9</v>
      </c>
      <c r="K47" s="13" t="s">
        <v>10</v>
      </c>
      <c r="L47" s="13" t="s">
        <v>12</v>
      </c>
      <c r="M47" s="13" t="s">
        <v>9</v>
      </c>
      <c r="N47" s="13" t="s">
        <v>10</v>
      </c>
      <c r="O47" s="13" t="s">
        <v>12</v>
      </c>
      <c r="P47" s="13" t="s">
        <v>9</v>
      </c>
      <c r="Q47" s="13" t="s">
        <v>10</v>
      </c>
      <c r="R47" s="13" t="s">
        <v>12</v>
      </c>
      <c r="S47" s="13" t="s">
        <v>9</v>
      </c>
      <c r="T47" s="13" t="s">
        <v>10</v>
      </c>
      <c r="U47" s="13" t="s">
        <v>12</v>
      </c>
      <c r="V47" s="13" t="s">
        <v>9</v>
      </c>
      <c r="W47" s="13" t="s">
        <v>10</v>
      </c>
      <c r="X47" s="13" t="s">
        <v>12</v>
      </c>
      <c r="Y47" s="13" t="s">
        <v>9</v>
      </c>
      <c r="Z47" s="13" t="s">
        <v>10</v>
      </c>
      <c r="AA47" s="13" t="s">
        <v>12</v>
      </c>
      <c r="AB47" s="12"/>
      <c r="AC47" s="12"/>
    </row>
    <row r="48" ht="14.25" customHeight="1">
      <c r="A48" s="25">
        <v>1.0</v>
      </c>
      <c r="B48" s="27" t="s">
        <v>138</v>
      </c>
      <c r="C48" s="27" t="s">
        <v>139</v>
      </c>
      <c r="D48" s="27" t="s">
        <v>140</v>
      </c>
      <c r="E48" s="27" t="s">
        <v>141</v>
      </c>
      <c r="F48" s="28">
        <v>2500.0</v>
      </c>
      <c r="G48" s="30">
        <v>2250.33</v>
      </c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>
        <v>500.0</v>
      </c>
      <c r="X48" s="23" t="s">
        <v>181</v>
      </c>
      <c r="Y48" s="24"/>
      <c r="Z48" s="24"/>
      <c r="AA48" s="24"/>
      <c r="AB48" s="24">
        <f t="shared" ref="AB48:AB52" si="10">F48-(G48+H48+J48+K48+M48+N48+P48+Q48+R48+S48+T48+V48+W48)</f>
        <v>-250.33</v>
      </c>
      <c r="AC48" s="24">
        <f t="shared" ref="AC48:AC52" si="11">(G48+H48+J48+K48+M48+N48+P48+Q48+R48+S48+T48+V48+W48)</f>
        <v>2750.33</v>
      </c>
    </row>
    <row r="49" ht="14.25" customHeight="1">
      <c r="A49" s="25">
        <v>2.0</v>
      </c>
      <c r="B49" s="27" t="s">
        <v>147</v>
      </c>
      <c r="C49" s="27" t="s">
        <v>139</v>
      </c>
      <c r="D49" s="27" t="s">
        <v>119</v>
      </c>
      <c r="E49" s="27" t="s">
        <v>148</v>
      </c>
      <c r="F49" s="28">
        <v>1500.0</v>
      </c>
      <c r="G49" s="24"/>
      <c r="H49" s="24"/>
      <c r="I49" s="24"/>
      <c r="J49" s="30">
        <v>1500.0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47">
        <f t="shared" si="10"/>
        <v>0</v>
      </c>
      <c r="AC49" s="24">
        <f t="shared" si="11"/>
        <v>1500</v>
      </c>
      <c r="AF49" s="31" t="s">
        <v>22</v>
      </c>
      <c r="AG49" s="2"/>
      <c r="AH49" s="2"/>
      <c r="AI49" s="3"/>
    </row>
    <row r="50" ht="14.25" customHeight="1">
      <c r="A50" s="84">
        <v>3.0</v>
      </c>
      <c r="B50" s="26" t="s">
        <v>157</v>
      </c>
      <c r="C50" s="26" t="s">
        <v>139</v>
      </c>
      <c r="D50" s="27" t="s">
        <v>158</v>
      </c>
      <c r="E50" s="27" t="s">
        <v>16</v>
      </c>
      <c r="F50" s="28">
        <v>2000.0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>
        <f t="shared" si="10"/>
        <v>2000</v>
      </c>
      <c r="AC50" s="24">
        <f t="shared" si="11"/>
        <v>0</v>
      </c>
      <c r="AF50" s="35" t="s">
        <v>25</v>
      </c>
      <c r="AG50" s="35" t="s">
        <v>26</v>
      </c>
      <c r="AH50" s="35" t="s">
        <v>27</v>
      </c>
      <c r="AI50" s="35" t="s">
        <v>28</v>
      </c>
    </row>
    <row r="51" ht="14.25" customHeight="1">
      <c r="A51" s="12"/>
      <c r="B51" s="12"/>
      <c r="C51" s="12"/>
      <c r="D51" s="27" t="s">
        <v>17</v>
      </c>
      <c r="E51" s="27"/>
      <c r="F51" s="28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47">
        <f t="shared" si="10"/>
        <v>0</v>
      </c>
      <c r="AC51" s="24">
        <f t="shared" si="11"/>
        <v>0</v>
      </c>
      <c r="AF51" s="37" t="s">
        <v>9</v>
      </c>
      <c r="AG51" s="85"/>
      <c r="AH51" s="85"/>
      <c r="AI51" s="24">
        <f>(G55+J55+M55+P55+S55+V55)</f>
        <v>8503.36</v>
      </c>
    </row>
    <row r="52" ht="14.25" customHeight="1">
      <c r="A52" s="25">
        <v>4.0</v>
      </c>
      <c r="B52" s="27" t="s">
        <v>165</v>
      </c>
      <c r="C52" s="27" t="s">
        <v>166</v>
      </c>
      <c r="D52" s="27" t="s">
        <v>119</v>
      </c>
      <c r="E52" s="27" t="s">
        <v>167</v>
      </c>
      <c r="F52" s="28">
        <v>1500.0</v>
      </c>
      <c r="G52" s="29">
        <v>1500.0</v>
      </c>
      <c r="H52" s="24"/>
      <c r="I52" s="24"/>
      <c r="J52" s="24"/>
      <c r="K52" s="24"/>
      <c r="L52" s="24"/>
      <c r="M52" s="23">
        <v>461.03</v>
      </c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>
        <f t="shared" si="10"/>
        <v>-461.03</v>
      </c>
      <c r="AC52" s="24">
        <f t="shared" si="11"/>
        <v>1961.03</v>
      </c>
      <c r="AF52" s="37" t="s">
        <v>10</v>
      </c>
      <c r="AG52" s="85"/>
      <c r="AH52" s="85"/>
      <c r="AI52" s="24">
        <f>H55+K55+N55+Q55+T55+W55</f>
        <v>500</v>
      </c>
    </row>
    <row r="53" ht="14.25" customHeight="1">
      <c r="A53" s="25">
        <v>5.0</v>
      </c>
      <c r="B53" s="27" t="s">
        <v>168</v>
      </c>
      <c r="C53" s="27" t="s">
        <v>166</v>
      </c>
      <c r="D53" s="27" t="s">
        <v>119</v>
      </c>
      <c r="E53" s="27" t="s">
        <v>169</v>
      </c>
      <c r="F53" s="28">
        <v>1500.0</v>
      </c>
      <c r="G53" s="96">
        <v>1500.0</v>
      </c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 t="str">
        <f>F53-(M53+H53+J53+K53+#REF!+N53+P53+Q53+R53+S53+T53+V53+W53)</f>
        <v>#REF!</v>
      </c>
      <c r="AC53" s="24" t="str">
        <f>(M53+H53+J53+K53+#REF!+N53+P53+Q53+R53+S53+T53+V53+W53)</f>
        <v>#REF!</v>
      </c>
      <c r="AF53" s="37" t="s">
        <v>12</v>
      </c>
      <c r="AG53" s="85"/>
      <c r="AH53" s="85"/>
      <c r="AI53" s="85"/>
    </row>
    <row r="54" ht="14.25" customHeight="1">
      <c r="A54" s="25">
        <v>6.0</v>
      </c>
      <c r="B54" s="27" t="s">
        <v>170</v>
      </c>
      <c r="C54" s="27" t="s">
        <v>171</v>
      </c>
      <c r="D54" s="27" t="s">
        <v>158</v>
      </c>
      <c r="E54" s="27" t="s">
        <v>172</v>
      </c>
      <c r="F54" s="28">
        <v>2000.0</v>
      </c>
      <c r="G54" s="29">
        <v>1292.0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>
        <f>F54-(G54+H54+J54+K54+M54+N54+P54+Q54+R54+S54+T54+V54+W54)</f>
        <v>708</v>
      </c>
      <c r="AC54" s="24">
        <f>(G54+H54+J54+K54+M54+N54+P54+Q54+R54+S54+T54+V54+W54)</f>
        <v>1292</v>
      </c>
    </row>
    <row r="55" ht="14.25" customHeight="1">
      <c r="A55" s="68" t="s">
        <v>122</v>
      </c>
      <c r="B55" s="2"/>
      <c r="C55" s="2"/>
      <c r="D55" s="2"/>
      <c r="E55" s="3"/>
      <c r="F55" s="69">
        <f t="shared" ref="F55:H55" si="12">SUM(F48:F54)</f>
        <v>11000</v>
      </c>
      <c r="G55" s="86">
        <f t="shared" si="12"/>
        <v>6542.33</v>
      </c>
      <c r="H55" s="86">
        <f t="shared" si="12"/>
        <v>0</v>
      </c>
      <c r="I55" s="86"/>
      <c r="J55" s="86">
        <f t="shared" ref="J55:K55" si="13">SUM(J48:J54)</f>
        <v>1500</v>
      </c>
      <c r="K55" s="86">
        <f t="shared" si="13"/>
        <v>0</v>
      </c>
      <c r="L55" s="86"/>
      <c r="M55" s="86">
        <f t="shared" ref="M55:N55" si="14">SUM(M48:M54)</f>
        <v>461.03</v>
      </c>
      <c r="N55" s="86">
        <f t="shared" si="14"/>
        <v>0</v>
      </c>
      <c r="O55" s="86"/>
      <c r="P55" s="86">
        <f t="shared" ref="P55:T55" si="15">SUM(P48:P54)</f>
        <v>0</v>
      </c>
      <c r="Q55" s="86">
        <f t="shared" si="15"/>
        <v>0</v>
      </c>
      <c r="R55" s="86">
        <f t="shared" si="15"/>
        <v>0</v>
      </c>
      <c r="S55" s="86">
        <f t="shared" si="15"/>
        <v>0</v>
      </c>
      <c r="T55" s="86">
        <f t="shared" si="15"/>
        <v>0</v>
      </c>
      <c r="U55" s="86"/>
      <c r="V55" s="86">
        <f t="shared" ref="V55:W55" si="16">SUM(V48:V54)</f>
        <v>0</v>
      </c>
      <c r="W55" s="86">
        <f t="shared" si="16"/>
        <v>500</v>
      </c>
      <c r="X55" s="86"/>
      <c r="Y55" s="86"/>
      <c r="Z55" s="86"/>
      <c r="AA55" s="86"/>
      <c r="AB55" s="70" t="str">
        <f t="shared" ref="AB55:AC55" si="17">SUM(AB48:AB54)</f>
        <v>#REF!</v>
      </c>
      <c r="AC55" s="70" t="str">
        <f t="shared" si="17"/>
        <v>#REF!</v>
      </c>
    </row>
    <row r="56" ht="14.25" customHeight="1">
      <c r="A56" s="73"/>
      <c r="B56" s="73"/>
      <c r="C56" s="73"/>
      <c r="D56" s="73"/>
      <c r="E56" s="73"/>
      <c r="F56" s="72"/>
      <c r="G56" s="105">
        <f>G42+G55</f>
        <v>20718.79</v>
      </c>
      <c r="J56" s="105">
        <f>J55+J42</f>
        <v>9500</v>
      </c>
      <c r="M56" s="105">
        <f>M55+M42</f>
        <v>2874.56</v>
      </c>
      <c r="P56" s="105">
        <f>P42+P55</f>
        <v>8528.18</v>
      </c>
      <c r="S56" s="105">
        <f>S42+S55</f>
        <v>3300</v>
      </c>
    </row>
    <row r="57" ht="14.25" customHeight="1">
      <c r="A57" s="73"/>
      <c r="B57" s="73"/>
      <c r="C57" s="73"/>
      <c r="D57" s="73"/>
      <c r="E57" s="73"/>
      <c r="F57" s="72"/>
    </row>
    <row r="58" ht="14.25" customHeight="1">
      <c r="A58" s="73"/>
      <c r="B58" s="73"/>
      <c r="C58" s="73"/>
      <c r="D58" s="73"/>
      <c r="E58" s="73"/>
      <c r="F58" s="72"/>
    </row>
    <row r="59" ht="14.25" customHeight="1">
      <c r="A59" s="1" t="s">
        <v>211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</row>
    <row r="60" ht="28.5" customHeight="1">
      <c r="A60" s="4" t="s">
        <v>2</v>
      </c>
      <c r="B60" s="5"/>
      <c r="C60" s="6" t="s">
        <v>3</v>
      </c>
      <c r="D60" s="6" t="s">
        <v>4</v>
      </c>
      <c r="E60" s="6" t="s">
        <v>5</v>
      </c>
      <c r="F60" s="7" t="s">
        <v>134</v>
      </c>
      <c r="G60" s="109">
        <v>46209.0</v>
      </c>
      <c r="H60" s="109">
        <v>46210.0</v>
      </c>
      <c r="I60" s="109">
        <v>46211.0</v>
      </c>
      <c r="J60" s="109">
        <v>46212.0</v>
      </c>
      <c r="K60" s="109">
        <v>46213.0</v>
      </c>
      <c r="L60" s="109">
        <v>46214.0</v>
      </c>
      <c r="M60" s="109">
        <v>46215.0</v>
      </c>
      <c r="N60" s="9" t="s">
        <v>7</v>
      </c>
      <c r="O60" s="7" t="s">
        <v>8</v>
      </c>
      <c r="R60" s="111"/>
      <c r="T60" s="111"/>
      <c r="U60" s="111"/>
      <c r="W60" s="111"/>
      <c r="X60" s="111"/>
      <c r="Y60" s="111"/>
      <c r="Z60" s="111"/>
      <c r="AA60" s="111"/>
    </row>
    <row r="61" ht="14.25" customHeight="1">
      <c r="A61" s="10"/>
      <c r="B61" s="11"/>
      <c r="C61" s="12"/>
      <c r="D61" s="12"/>
      <c r="E61" s="12"/>
      <c r="F61" s="12"/>
      <c r="G61" s="13" t="s">
        <v>9</v>
      </c>
      <c r="H61" s="13" t="s">
        <v>9</v>
      </c>
      <c r="I61" s="13" t="s">
        <v>9</v>
      </c>
      <c r="J61" s="13" t="s">
        <v>9</v>
      </c>
      <c r="K61" s="13" t="s">
        <v>9</v>
      </c>
      <c r="L61" s="13" t="s">
        <v>9</v>
      </c>
      <c r="M61" s="13" t="s">
        <v>9</v>
      </c>
      <c r="N61" s="12"/>
      <c r="O61" s="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</row>
    <row r="62" ht="14.25" customHeight="1">
      <c r="A62" s="25">
        <v>1.0</v>
      </c>
      <c r="B62" s="89" t="s">
        <v>178</v>
      </c>
      <c r="C62" s="84" t="s">
        <v>179</v>
      </c>
      <c r="D62" s="27"/>
      <c r="E62" s="90" t="s">
        <v>180</v>
      </c>
      <c r="F62" s="28"/>
      <c r="G62" s="85"/>
      <c r="H62" s="85"/>
      <c r="I62" s="85"/>
      <c r="J62" s="85"/>
      <c r="K62" s="85"/>
      <c r="L62" s="85"/>
      <c r="M62" s="85"/>
      <c r="N62" s="85"/>
      <c r="O62" s="24">
        <f t="shared" ref="O62:O68" si="18">SUM(G62:N62)</f>
        <v>0</v>
      </c>
      <c r="V62" s="113"/>
    </row>
    <row r="63" ht="14.25" customHeight="1">
      <c r="A63" s="25">
        <v>2.0</v>
      </c>
      <c r="B63" s="89" t="s">
        <v>183</v>
      </c>
      <c r="C63" s="44"/>
      <c r="D63" s="27"/>
      <c r="E63" s="90" t="s">
        <v>184</v>
      </c>
      <c r="F63" s="28"/>
      <c r="G63" s="85"/>
      <c r="H63" s="85"/>
      <c r="I63" s="85"/>
      <c r="J63" s="85"/>
      <c r="K63" s="85"/>
      <c r="L63" s="85"/>
      <c r="M63" s="85"/>
      <c r="N63" s="85"/>
      <c r="O63" s="24">
        <f t="shared" si="18"/>
        <v>0</v>
      </c>
      <c r="V63" s="113"/>
      <c r="W63" s="113"/>
      <c r="X63" s="113"/>
      <c r="Y63" s="113"/>
      <c r="Z63" s="113"/>
      <c r="AA63" s="113"/>
      <c r="AB63" s="113"/>
    </row>
    <row r="64" ht="14.25" customHeight="1">
      <c r="A64" s="25">
        <v>3.0</v>
      </c>
      <c r="B64" s="89" t="s">
        <v>185</v>
      </c>
      <c r="C64" s="44"/>
      <c r="D64" s="27"/>
      <c r="E64" s="90" t="s">
        <v>186</v>
      </c>
      <c r="F64" s="28"/>
      <c r="G64" s="85"/>
      <c r="H64" s="85"/>
      <c r="I64" s="85"/>
      <c r="J64" s="85"/>
      <c r="K64" s="85"/>
      <c r="L64" s="85"/>
      <c r="M64" s="85"/>
      <c r="N64" s="85"/>
      <c r="O64" s="24">
        <f t="shared" si="18"/>
        <v>0</v>
      </c>
      <c r="V64" s="73"/>
      <c r="W64" s="73"/>
      <c r="X64" s="73"/>
      <c r="Y64" s="73"/>
      <c r="Z64" s="73"/>
      <c r="AA64" s="73"/>
      <c r="AB64" s="72"/>
    </row>
    <row r="65" ht="14.25" customHeight="1">
      <c r="A65" s="25">
        <v>4.0</v>
      </c>
      <c r="B65" s="89" t="s">
        <v>185</v>
      </c>
      <c r="C65" s="44"/>
      <c r="D65" s="27"/>
      <c r="E65" s="90" t="s">
        <v>186</v>
      </c>
      <c r="F65" s="28"/>
      <c r="G65" s="85"/>
      <c r="H65" s="85"/>
      <c r="I65" s="85"/>
      <c r="J65" s="85"/>
      <c r="K65" s="85"/>
      <c r="L65" s="85"/>
      <c r="M65" s="85"/>
      <c r="N65" s="85"/>
      <c r="O65" s="24">
        <f t="shared" si="18"/>
        <v>0</v>
      </c>
      <c r="V65" s="73"/>
      <c r="W65" s="73"/>
      <c r="X65" s="73"/>
      <c r="Y65" s="73"/>
      <c r="Z65" s="73"/>
      <c r="AA65" s="73"/>
      <c r="AB65" s="73"/>
    </row>
    <row r="66" ht="14.25" customHeight="1">
      <c r="A66" s="25">
        <v>5.0</v>
      </c>
      <c r="B66" s="89" t="s">
        <v>187</v>
      </c>
      <c r="C66" s="44"/>
      <c r="D66" s="27"/>
      <c r="E66" s="90" t="s">
        <v>188</v>
      </c>
      <c r="F66" s="28"/>
      <c r="G66" s="85"/>
      <c r="H66" s="85"/>
      <c r="I66" s="85"/>
      <c r="J66" s="85"/>
      <c r="K66" s="85"/>
      <c r="L66" s="85"/>
      <c r="M66" s="85"/>
      <c r="N66" s="85"/>
      <c r="O66" s="24">
        <f t="shared" si="18"/>
        <v>0</v>
      </c>
      <c r="V66" s="73"/>
      <c r="W66" s="73"/>
      <c r="X66" s="73"/>
      <c r="Y66" s="73"/>
      <c r="Z66" s="73"/>
      <c r="AA66" s="73"/>
      <c r="AB66" s="73"/>
    </row>
    <row r="67" ht="14.25" customHeight="1">
      <c r="A67" s="25">
        <v>6.0</v>
      </c>
      <c r="B67" s="89" t="s">
        <v>189</v>
      </c>
      <c r="C67" s="44"/>
      <c r="D67" s="27"/>
      <c r="E67" s="90" t="s">
        <v>190</v>
      </c>
      <c r="F67" s="28"/>
      <c r="G67" s="85"/>
      <c r="H67" s="24">
        <v>10530.11</v>
      </c>
      <c r="I67" s="85"/>
      <c r="J67" s="85"/>
      <c r="K67" s="85"/>
      <c r="L67" s="85"/>
      <c r="M67" s="85"/>
      <c r="N67" s="85"/>
      <c r="O67" s="24">
        <f t="shared" si="18"/>
        <v>10530.11</v>
      </c>
    </row>
    <row r="68" ht="14.25" customHeight="1">
      <c r="A68" s="25">
        <v>7.0</v>
      </c>
      <c r="B68" s="89" t="s">
        <v>191</v>
      </c>
      <c r="C68" s="12"/>
      <c r="D68" s="27"/>
      <c r="E68" s="90" t="s">
        <v>192</v>
      </c>
      <c r="F68" s="28"/>
      <c r="G68" s="85"/>
      <c r="H68" s="85"/>
      <c r="I68" s="85"/>
      <c r="J68" s="85"/>
      <c r="K68" s="85"/>
      <c r="L68" s="85"/>
      <c r="M68" s="85"/>
      <c r="N68" s="85"/>
      <c r="O68" s="24">
        <f t="shared" si="18"/>
        <v>0</v>
      </c>
    </row>
    <row r="69" ht="14.25" customHeight="1">
      <c r="A69" s="68" t="s">
        <v>122</v>
      </c>
      <c r="B69" s="2"/>
      <c r="C69" s="2"/>
      <c r="D69" s="2"/>
      <c r="E69" s="3"/>
      <c r="F69" s="93"/>
      <c r="G69" s="85">
        <f t="shared" ref="G69:O69" si="19">SUM(G62:G68)</f>
        <v>0</v>
      </c>
      <c r="H69" s="24">
        <f t="shared" si="19"/>
        <v>10530.11</v>
      </c>
      <c r="I69" s="85">
        <f t="shared" si="19"/>
        <v>0</v>
      </c>
      <c r="J69" s="85">
        <f t="shared" si="19"/>
        <v>0</v>
      </c>
      <c r="K69" s="85">
        <f t="shared" si="19"/>
        <v>0</v>
      </c>
      <c r="L69" s="85">
        <f t="shared" si="19"/>
        <v>0</v>
      </c>
      <c r="M69" s="85">
        <f t="shared" si="19"/>
        <v>0</v>
      </c>
      <c r="N69" s="85">
        <f t="shared" si="19"/>
        <v>0</v>
      </c>
      <c r="O69" s="24">
        <f t="shared" si="19"/>
        <v>10530.11</v>
      </c>
    </row>
    <row r="70" ht="14.25" customHeight="1">
      <c r="A70" s="73"/>
      <c r="B70" s="73"/>
      <c r="C70" s="73"/>
      <c r="D70" s="73"/>
      <c r="E70" s="73"/>
      <c r="F70" s="72"/>
    </row>
    <row r="71" ht="14.25" customHeight="1">
      <c r="A71" s="73"/>
      <c r="B71" s="73"/>
      <c r="C71" s="73"/>
      <c r="D71" s="73"/>
      <c r="E71" s="73"/>
      <c r="F71" s="72"/>
    </row>
    <row r="72" ht="14.25" customHeight="1">
      <c r="A72" s="1" t="s">
        <v>193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3"/>
    </row>
    <row r="73" ht="14.25" customHeight="1">
      <c r="A73" s="4" t="s">
        <v>2</v>
      </c>
      <c r="B73" s="5"/>
      <c r="C73" s="6" t="s">
        <v>194</v>
      </c>
      <c r="D73" s="6" t="s">
        <v>4</v>
      </c>
      <c r="E73" s="6" t="s">
        <v>219</v>
      </c>
      <c r="F73" s="7" t="s">
        <v>134</v>
      </c>
      <c r="G73" s="8">
        <v>46209.0</v>
      </c>
      <c r="H73" s="3"/>
      <c r="I73" s="8">
        <v>46210.0</v>
      </c>
      <c r="J73" s="3"/>
      <c r="K73" s="8">
        <v>46211.0</v>
      </c>
      <c r="L73" s="3"/>
      <c r="M73" s="8">
        <v>46212.0</v>
      </c>
      <c r="N73" s="3"/>
      <c r="O73" s="8">
        <v>46213.0</v>
      </c>
      <c r="P73" s="3"/>
      <c r="Q73" s="8">
        <v>46214.0</v>
      </c>
      <c r="R73" s="3"/>
      <c r="S73" s="8">
        <v>46215.0</v>
      </c>
      <c r="T73" s="3"/>
      <c r="U73" s="85"/>
      <c r="V73" s="85"/>
    </row>
    <row r="74" ht="14.25" customHeight="1">
      <c r="A74" s="10"/>
      <c r="B74" s="11"/>
      <c r="C74" s="12"/>
      <c r="D74" s="12"/>
      <c r="E74" s="12"/>
      <c r="F74" s="12"/>
      <c r="G74" s="13" t="s">
        <v>26</v>
      </c>
      <c r="H74" s="13" t="s">
        <v>197</v>
      </c>
      <c r="I74" s="13" t="s">
        <v>26</v>
      </c>
      <c r="J74" s="13" t="s">
        <v>197</v>
      </c>
      <c r="K74" s="13" t="s">
        <v>26</v>
      </c>
      <c r="L74" s="13" t="s">
        <v>197</v>
      </c>
      <c r="M74" s="13" t="s">
        <v>26</v>
      </c>
      <c r="N74" s="13" t="s">
        <v>197</v>
      </c>
      <c r="O74" s="13" t="s">
        <v>26</v>
      </c>
      <c r="P74" s="13" t="s">
        <v>197</v>
      </c>
      <c r="Q74" s="13" t="s">
        <v>26</v>
      </c>
      <c r="R74" s="13" t="s">
        <v>197</v>
      </c>
      <c r="S74" s="13" t="s">
        <v>26</v>
      </c>
      <c r="T74" s="13" t="s">
        <v>197</v>
      </c>
      <c r="U74" s="120" t="s">
        <v>224</v>
      </c>
      <c r="V74" s="104">
        <v>27.0</v>
      </c>
    </row>
    <row r="75" ht="14.25" customHeight="1">
      <c r="A75" s="25">
        <v>1.0</v>
      </c>
      <c r="B75" s="27" t="s">
        <v>225</v>
      </c>
      <c r="C75" s="25" t="s">
        <v>226</v>
      </c>
      <c r="D75" s="27"/>
      <c r="E75" s="89">
        <v>550.0</v>
      </c>
      <c r="F75" s="27">
        <f t="shared" ref="F75:F76" si="20">E75*6</f>
        <v>3300</v>
      </c>
      <c r="G75" s="124">
        <v>715.0</v>
      </c>
      <c r="H75" s="125" t="s">
        <v>229</v>
      </c>
      <c r="I75" s="127">
        <v>100.0</v>
      </c>
      <c r="J75" s="123" t="s">
        <v>232</v>
      </c>
      <c r="K75" s="128">
        <v>600.0</v>
      </c>
      <c r="L75" s="123" t="s">
        <v>234</v>
      </c>
      <c r="M75" s="27"/>
      <c r="N75" s="85"/>
      <c r="O75" s="85"/>
      <c r="P75" s="85"/>
      <c r="Q75" s="27"/>
      <c r="R75" s="85"/>
      <c r="S75" s="85"/>
      <c r="T75" s="85"/>
      <c r="U75" s="27">
        <f t="shared" ref="U75:U76" si="21">S75+Q75+O75+M75+K75+I75+G75</f>
        <v>1415</v>
      </c>
      <c r="V75" s="131"/>
    </row>
    <row r="76" ht="14.25" customHeight="1">
      <c r="A76" s="25">
        <v>2.0</v>
      </c>
      <c r="B76" s="27" t="s">
        <v>235</v>
      </c>
      <c r="C76" s="101"/>
      <c r="D76" s="27"/>
      <c r="E76" s="89">
        <v>450.0</v>
      </c>
      <c r="F76" s="27">
        <f t="shared" si="20"/>
        <v>2700</v>
      </c>
      <c r="G76" s="39"/>
      <c r="H76" s="39"/>
      <c r="I76" s="132">
        <v>800.0</v>
      </c>
      <c r="J76" s="66" t="s">
        <v>238</v>
      </c>
      <c r="K76" s="27"/>
      <c r="L76" s="85"/>
      <c r="M76" s="27"/>
      <c r="N76" s="85"/>
      <c r="O76" s="85">
        <v>668.2</v>
      </c>
      <c r="P76" s="123" t="s">
        <v>239</v>
      </c>
      <c r="Q76" s="85"/>
      <c r="R76" s="85"/>
      <c r="S76" s="85"/>
      <c r="T76" s="85"/>
      <c r="U76" s="27">
        <f t="shared" si="21"/>
        <v>1468.2</v>
      </c>
      <c r="V76" s="44"/>
    </row>
    <row r="77" ht="14.25" customHeight="1">
      <c r="A77" s="25">
        <v>3.0</v>
      </c>
      <c r="B77" s="27" t="s">
        <v>241</v>
      </c>
      <c r="C77" s="101"/>
      <c r="D77" s="27"/>
      <c r="E77" s="89"/>
      <c r="F77" s="28"/>
      <c r="G77" s="134">
        <v>700.0</v>
      </c>
      <c r="H77" s="122" t="s">
        <v>242</v>
      </c>
      <c r="I77" s="136">
        <v>300.0</v>
      </c>
      <c r="J77" s="123" t="s">
        <v>245</v>
      </c>
      <c r="K77" s="27">
        <v>700.0</v>
      </c>
      <c r="L77" s="66" t="s">
        <v>247</v>
      </c>
      <c r="M77" s="27">
        <v>600.0</v>
      </c>
      <c r="N77" s="123" t="s">
        <v>249</v>
      </c>
      <c r="O77" s="85">
        <v>1000.0</v>
      </c>
      <c r="P77" s="123" t="s">
        <v>250</v>
      </c>
      <c r="Q77" s="85"/>
      <c r="R77" s="85"/>
      <c r="S77" s="85"/>
      <c r="T77" s="85"/>
      <c r="U77" s="27">
        <f>S77+Q77+O77+M77+K81+I77+G77</f>
        <v>2900</v>
      </c>
      <c r="V77" s="44"/>
    </row>
    <row r="78" ht="14.25" customHeight="1">
      <c r="A78" s="25">
        <v>4.0</v>
      </c>
      <c r="B78" s="27" t="s">
        <v>253</v>
      </c>
      <c r="C78" s="101"/>
      <c r="D78" s="27"/>
      <c r="E78" s="89"/>
      <c r="F78" s="28"/>
      <c r="G78" s="124">
        <v>285.0</v>
      </c>
      <c r="H78" s="122" t="s">
        <v>254</v>
      </c>
      <c r="I78" s="136">
        <v>800.0</v>
      </c>
      <c r="J78" s="123" t="s">
        <v>255</v>
      </c>
      <c r="K78" s="27"/>
      <c r="L78" s="85"/>
      <c r="M78" s="27"/>
      <c r="N78" s="85"/>
      <c r="O78" s="85"/>
      <c r="P78" s="85"/>
      <c r="Q78" s="85"/>
      <c r="R78" s="85"/>
      <c r="S78" s="85"/>
      <c r="T78" s="85"/>
      <c r="U78" s="27">
        <f t="shared" ref="U78:U80" si="22">S78+Q78+O78+M78+K78+I78+G78</f>
        <v>1085</v>
      </c>
      <c r="V78" s="44"/>
    </row>
    <row r="79" ht="14.25" customHeight="1">
      <c r="A79" s="25">
        <v>5.0</v>
      </c>
      <c r="B79" s="27" t="s">
        <v>257</v>
      </c>
      <c r="C79" s="101"/>
      <c r="D79" s="27"/>
      <c r="E79" s="89"/>
      <c r="F79" s="28"/>
      <c r="G79" s="124">
        <v>233.0</v>
      </c>
      <c r="H79" s="122" t="s">
        <v>261</v>
      </c>
      <c r="I79" s="85"/>
      <c r="J79" s="85"/>
      <c r="K79" s="85"/>
      <c r="L79" s="85"/>
      <c r="M79" s="124">
        <v>400.0</v>
      </c>
      <c r="N79" s="123" t="s">
        <v>262</v>
      </c>
      <c r="O79" s="85"/>
      <c r="P79" s="85"/>
      <c r="Q79" s="85"/>
      <c r="R79" s="85"/>
      <c r="S79" s="85"/>
      <c r="T79" s="85"/>
      <c r="U79" s="27">
        <f t="shared" si="22"/>
        <v>633</v>
      </c>
      <c r="V79" s="44"/>
    </row>
    <row r="80" ht="14.25" customHeight="1">
      <c r="A80" s="25">
        <v>6.0</v>
      </c>
      <c r="B80" s="27" t="s">
        <v>264</v>
      </c>
      <c r="C80" s="101"/>
      <c r="D80" s="27"/>
      <c r="E80" s="89"/>
      <c r="F80" s="28"/>
      <c r="G80" s="39"/>
      <c r="H80" s="39"/>
      <c r="I80" s="85"/>
      <c r="J80" s="85"/>
      <c r="K80" s="85"/>
      <c r="L80" s="85"/>
      <c r="M80" s="39"/>
      <c r="N80" s="85"/>
      <c r="O80" s="85">
        <v>95.0</v>
      </c>
      <c r="P80" s="136" t="s">
        <v>269</v>
      </c>
      <c r="Q80" s="85"/>
      <c r="R80" s="85"/>
      <c r="S80" s="85"/>
      <c r="T80" s="85"/>
      <c r="U80" s="27">
        <f t="shared" si="22"/>
        <v>95</v>
      </c>
      <c r="V80" s="44"/>
    </row>
    <row r="81" ht="14.25" customHeight="1">
      <c r="A81" s="25">
        <v>7.0</v>
      </c>
      <c r="B81" s="140" t="s">
        <v>273</v>
      </c>
      <c r="C81" s="101"/>
      <c r="D81" s="27"/>
      <c r="E81" s="89"/>
      <c r="F81" s="28"/>
      <c r="G81" s="141">
        <v>600.0</v>
      </c>
      <c r="H81" s="122" t="s">
        <v>276</v>
      </c>
      <c r="I81" s="142">
        <v>600.0</v>
      </c>
      <c r="J81" s="143" t="s">
        <v>277</v>
      </c>
      <c r="K81" s="27">
        <v>300.0</v>
      </c>
      <c r="L81" s="123" t="s">
        <v>278</v>
      </c>
      <c r="M81" s="27"/>
      <c r="N81" s="85"/>
      <c r="O81" s="85"/>
      <c r="P81" s="85"/>
      <c r="Q81" s="85">
        <v>500.0</v>
      </c>
      <c r="R81" s="123" t="s">
        <v>279</v>
      </c>
      <c r="S81" s="85">
        <v>300.0</v>
      </c>
      <c r="T81" s="123" t="s">
        <v>280</v>
      </c>
      <c r="U81" s="27">
        <f>S81+Q81+O81+M81+K77+I81+G81</f>
        <v>2700</v>
      </c>
      <c r="V81" s="44"/>
    </row>
    <row r="82" ht="14.25" customHeight="1">
      <c r="A82" s="25"/>
      <c r="B82" s="89" t="s">
        <v>281</v>
      </c>
      <c r="C82" s="101"/>
      <c r="D82" s="27"/>
      <c r="E82" s="89"/>
      <c r="F82" s="28"/>
      <c r="G82" s="85"/>
      <c r="H82" s="85"/>
      <c r="K82" s="73">
        <v>860.0</v>
      </c>
      <c r="L82" s="66" t="s">
        <v>288</v>
      </c>
      <c r="M82" s="145"/>
      <c r="N82" s="85"/>
      <c r="O82" s="85">
        <v>820.0</v>
      </c>
      <c r="P82" s="123" t="s">
        <v>290</v>
      </c>
      <c r="Q82" s="85"/>
      <c r="R82" s="85"/>
      <c r="S82" s="85"/>
      <c r="T82" s="85"/>
      <c r="U82" s="27">
        <f t="shared" ref="U82:U84" si="23">S82+Q82+O82+M82+K82+I82+G82</f>
        <v>1680</v>
      </c>
      <c r="V82" s="44"/>
    </row>
    <row r="83" ht="14.25" customHeight="1">
      <c r="A83" s="25"/>
      <c r="B83" s="89" t="s">
        <v>295</v>
      </c>
      <c r="C83" s="101"/>
      <c r="D83" s="27"/>
      <c r="E83" s="89"/>
      <c r="F83" s="28"/>
      <c r="G83" s="85"/>
      <c r="H83" s="85"/>
      <c r="I83" s="85"/>
      <c r="J83" s="85"/>
      <c r="K83" s="85"/>
      <c r="L83" s="85"/>
      <c r="M83" s="39">
        <v>100.0</v>
      </c>
      <c r="N83" s="123" t="s">
        <v>297</v>
      </c>
      <c r="O83" s="85"/>
      <c r="P83" s="85"/>
      <c r="Q83" s="85"/>
      <c r="R83" s="85"/>
      <c r="S83" s="85"/>
      <c r="T83" s="85"/>
      <c r="U83" s="27">
        <f t="shared" si="23"/>
        <v>100</v>
      </c>
      <c r="V83" s="44"/>
    </row>
    <row r="84" ht="14.25" customHeight="1">
      <c r="A84" s="25"/>
      <c r="B84" s="89" t="s">
        <v>300</v>
      </c>
      <c r="C84" s="101"/>
      <c r="D84" s="27"/>
      <c r="E84" s="89"/>
      <c r="F84" s="28"/>
      <c r="G84" s="85"/>
      <c r="H84" s="85"/>
      <c r="I84" s="85"/>
      <c r="J84" s="85"/>
      <c r="K84" s="85"/>
      <c r="L84" s="85"/>
      <c r="M84" s="85"/>
      <c r="N84" s="85"/>
      <c r="O84" s="85">
        <v>200.0</v>
      </c>
      <c r="P84" s="123" t="s">
        <v>302</v>
      </c>
      <c r="Q84" s="85"/>
      <c r="R84" s="85"/>
      <c r="S84" s="85"/>
      <c r="T84" s="85"/>
      <c r="U84" s="27">
        <f t="shared" si="23"/>
        <v>200</v>
      </c>
      <c r="V84" s="12"/>
    </row>
    <row r="85" ht="14.25" customHeight="1">
      <c r="A85" s="150" t="s">
        <v>122</v>
      </c>
      <c r="B85" s="148"/>
      <c r="C85" s="148"/>
      <c r="D85" s="148"/>
      <c r="E85" s="148"/>
      <c r="F85" s="5"/>
      <c r="G85" s="151">
        <f>SUM(G75:G84)</f>
        <v>2533</v>
      </c>
      <c r="H85" s="151"/>
      <c r="I85" s="151">
        <f>SUM(I75:I84)</f>
        <v>2600</v>
      </c>
      <c r="J85" s="151"/>
      <c r="K85" s="151">
        <f>SUM(K75:K84)</f>
        <v>2460</v>
      </c>
      <c r="L85" s="151"/>
      <c r="M85" s="151">
        <f>SUM(M75:M84)</f>
        <v>1100</v>
      </c>
      <c r="N85" s="151"/>
      <c r="O85" s="151">
        <f>SUM(O75:O84)</f>
        <v>2783.2</v>
      </c>
      <c r="P85" s="151"/>
      <c r="Q85" s="151">
        <f>SUM(Q75:Q84)</f>
        <v>500</v>
      </c>
      <c r="R85" s="151"/>
      <c r="S85" s="151">
        <f>SUM(S75:S84)</f>
        <v>300</v>
      </c>
      <c r="T85" s="151"/>
      <c r="U85" s="135">
        <f>SUM(U75:U84)</f>
        <v>12276.2</v>
      </c>
      <c r="V85" s="158">
        <f>U85*V74</f>
        <v>331457.4</v>
      </c>
    </row>
    <row r="86" ht="14.25" customHeight="1">
      <c r="A86" s="10"/>
      <c r="B86" s="156"/>
      <c r="C86" s="156"/>
      <c r="D86" s="156"/>
      <c r="E86" s="156"/>
      <c r="F86" s="11"/>
      <c r="G86" s="86">
        <f>G85*27</f>
        <v>68391</v>
      </c>
      <c r="H86" s="41">
        <v>68391.4</v>
      </c>
      <c r="I86" s="86">
        <f>I85*27</f>
        <v>70200</v>
      </c>
      <c r="J86" s="41">
        <v>70200.52</v>
      </c>
      <c r="K86" s="86">
        <f>K85*27</f>
        <v>66420</v>
      </c>
      <c r="L86" s="41">
        <v>66406.51</v>
      </c>
      <c r="M86" s="86">
        <f>M85*27</f>
        <v>29700</v>
      </c>
      <c r="N86" s="41">
        <v>29701.98</v>
      </c>
      <c r="O86" s="86">
        <f>O85*27</f>
        <v>75146.4</v>
      </c>
      <c r="P86" s="41">
        <v>75148.43</v>
      </c>
      <c r="Q86" s="86">
        <f>Q85*27</f>
        <v>13500</v>
      </c>
      <c r="R86" s="41">
        <v>13500.06</v>
      </c>
      <c r="S86" s="86">
        <f>S85*27</f>
        <v>8100</v>
      </c>
      <c r="T86" s="136">
        <v>8100.05</v>
      </c>
      <c r="U86" s="24">
        <f>S86+Q86+O86+M86+K86+I86+G86</f>
        <v>331457.4</v>
      </c>
      <c r="V86" s="85"/>
    </row>
    <row r="87" ht="14.25" customHeight="1">
      <c r="A87" s="26"/>
      <c r="B87" s="26"/>
      <c r="C87" s="26"/>
      <c r="D87" s="26"/>
      <c r="E87" s="26"/>
      <c r="F87" s="161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158"/>
      <c r="T87" s="85" t="s">
        <v>314</v>
      </c>
      <c r="U87" s="47">
        <f>T86+R86+P86+N86+L86+J86+H86</f>
        <v>331448.95</v>
      </c>
      <c r="V87" s="85"/>
    </row>
    <row r="88" ht="14.25" customHeight="1">
      <c r="A88" s="73"/>
      <c r="B88" s="73"/>
      <c r="C88" s="73"/>
      <c r="D88" s="73"/>
      <c r="E88" s="73"/>
      <c r="F88" s="72"/>
      <c r="S88" s="20"/>
    </row>
    <row r="89" ht="14.25" customHeight="1">
      <c r="A89" s="73"/>
      <c r="B89" s="73"/>
      <c r="C89" s="73"/>
      <c r="D89" s="73"/>
      <c r="E89" s="73"/>
      <c r="F89" s="72"/>
      <c r="H89" s="34">
        <f>G85+I85+K85+M85+O85+Q85+S85</f>
        <v>12276.2</v>
      </c>
      <c r="S89" s="20"/>
    </row>
    <row r="90" ht="14.25" customHeight="1">
      <c r="A90" s="73"/>
      <c r="B90" s="165" t="s">
        <v>316</v>
      </c>
      <c r="C90" s="2"/>
      <c r="D90" s="2"/>
      <c r="E90" s="2"/>
      <c r="F90" s="3"/>
    </row>
    <row r="91" ht="14.25" customHeight="1">
      <c r="A91" s="73"/>
      <c r="B91" s="167" t="s">
        <v>317</v>
      </c>
      <c r="C91" s="165"/>
      <c r="D91" s="2"/>
      <c r="E91" s="2"/>
      <c r="F91" s="3"/>
    </row>
    <row r="92" ht="42.75" customHeight="1">
      <c r="A92" s="73"/>
      <c r="B92" s="168" t="s">
        <v>318</v>
      </c>
      <c r="C92" s="161">
        <f>G42+J42+M42+P42+S42+V42+G55+J55+M55+P55+S55+V55+Y55</f>
        <v>44921.53</v>
      </c>
      <c r="D92" s="132"/>
      <c r="E92" s="132"/>
      <c r="F92" s="28"/>
      <c r="G92" s="72"/>
      <c r="U92" s="34">
        <f>11975.79+600</f>
        <v>12575.79</v>
      </c>
    </row>
    <row r="93" ht="42.75" customHeight="1">
      <c r="A93" s="73"/>
      <c r="B93" s="12"/>
      <c r="C93" s="12"/>
      <c r="D93" s="132"/>
      <c r="E93" s="132"/>
      <c r="F93" s="28"/>
      <c r="G93" s="72"/>
      <c r="I93" s="171" t="s">
        <v>321</v>
      </c>
      <c r="J93" s="3"/>
      <c r="L93" s="172" t="s">
        <v>324</v>
      </c>
      <c r="M93" s="172" t="s">
        <v>325</v>
      </c>
      <c r="Q93" s="73"/>
      <c r="R93" s="73"/>
    </row>
    <row r="94" ht="14.25" customHeight="1">
      <c r="A94" s="73"/>
      <c r="B94" s="173" t="s">
        <v>327</v>
      </c>
      <c r="C94" s="176">
        <f>G69+H69+I69+J69+K69+L69+M69</f>
        <v>10530.11</v>
      </c>
      <c r="D94" s="177"/>
      <c r="E94" s="180">
        <f>C94</f>
        <v>10530.11</v>
      </c>
      <c r="F94" s="28" t="s">
        <v>334</v>
      </c>
      <c r="I94" s="181" t="s">
        <v>9</v>
      </c>
      <c r="J94" s="182">
        <f>F96</f>
        <v>47516.92</v>
      </c>
      <c r="L94" s="183">
        <v>13197.87</v>
      </c>
      <c r="M94" s="184" t="str">
        <f>#REF!-L94</f>
        <v>#REF!</v>
      </c>
      <c r="Q94" s="185" t="s">
        <v>337</v>
      </c>
      <c r="R94" s="2"/>
      <c r="S94" s="3"/>
    </row>
    <row r="95" ht="14.25" customHeight="1">
      <c r="A95" s="73"/>
      <c r="B95" s="174" t="s">
        <v>339</v>
      </c>
      <c r="C95" s="175">
        <v>2595.39</v>
      </c>
      <c r="D95" s="140" t="s">
        <v>341</v>
      </c>
      <c r="E95" s="187"/>
      <c r="F95" s="188"/>
      <c r="I95" s="181" t="s">
        <v>344</v>
      </c>
      <c r="J95" s="182">
        <f>C108</f>
        <v>334051.06</v>
      </c>
      <c r="Q95" s="132" t="s">
        <v>345</v>
      </c>
      <c r="R95" s="57">
        <f>C93+E95+C101</f>
        <v>16800.11</v>
      </c>
      <c r="S95" s="57"/>
      <c r="W95" s="73"/>
    </row>
    <row r="96" ht="15.0" customHeight="1">
      <c r="A96" s="73"/>
      <c r="B96" s="192" t="s">
        <v>326</v>
      </c>
      <c r="C96" s="148"/>
      <c r="D96" s="148"/>
      <c r="E96" s="5"/>
      <c r="F96" s="196">
        <f>C95+C92</f>
        <v>47516.92</v>
      </c>
      <c r="I96" s="198" t="s">
        <v>210</v>
      </c>
      <c r="J96" s="200">
        <f>SUM(J94:J95)</f>
        <v>381567.98</v>
      </c>
      <c r="Q96" s="132" t="s">
        <v>350</v>
      </c>
      <c r="R96" s="202" t="str">
        <f>#REF!</f>
        <v>#REF!</v>
      </c>
      <c r="S96" s="132"/>
      <c r="W96" s="73"/>
    </row>
    <row r="97" ht="15.0" customHeight="1">
      <c r="A97" s="73"/>
      <c r="B97" s="10"/>
      <c r="C97" s="156"/>
      <c r="D97" s="156"/>
      <c r="E97" s="11"/>
      <c r="F97" s="12"/>
      <c r="I97" s="12"/>
      <c r="J97" s="12"/>
      <c r="Q97" s="53" t="s">
        <v>354</v>
      </c>
      <c r="R97" s="24" t="str">
        <f>R95+R96</f>
        <v>#REF!</v>
      </c>
      <c r="S97" s="85"/>
      <c r="W97" s="73"/>
    </row>
    <row r="98" ht="14.25" customHeight="1">
      <c r="A98" s="73"/>
      <c r="B98" s="73"/>
      <c r="C98" s="73"/>
      <c r="D98" s="73"/>
      <c r="E98" s="73"/>
      <c r="F98" s="72"/>
      <c r="Q98" s="73"/>
      <c r="R98" s="73"/>
      <c r="W98" s="73"/>
    </row>
    <row r="99" ht="14.25" customHeight="1">
      <c r="A99" s="73"/>
      <c r="B99" s="195" t="s">
        <v>359</v>
      </c>
      <c r="C99" s="2"/>
      <c r="D99" s="2"/>
      <c r="E99" s="2"/>
      <c r="F99" s="2"/>
      <c r="G99" s="3"/>
      <c r="O99" s="20"/>
      <c r="Q99" s="73"/>
      <c r="R99" s="73"/>
      <c r="W99" s="73"/>
    </row>
    <row r="100" ht="14.25" customHeight="1">
      <c r="A100" s="73"/>
      <c r="B100" s="199" t="s">
        <v>347</v>
      </c>
      <c r="C100" s="199" t="s">
        <v>322</v>
      </c>
      <c r="D100" s="195" t="s">
        <v>362</v>
      </c>
      <c r="E100" s="2"/>
      <c r="F100" s="2"/>
      <c r="G100" s="3"/>
      <c r="O100" s="20"/>
      <c r="Q100" s="73"/>
      <c r="R100" s="73"/>
      <c r="W100" s="73"/>
    </row>
    <row r="101" ht="57.0" customHeight="1">
      <c r="A101" s="73"/>
      <c r="B101" s="175" t="s">
        <v>364</v>
      </c>
      <c r="C101" s="175">
        <f>H42+K42+N42+Q42+T42+W42+H55+K55+N55+Q55+T55+W55+Z55</f>
        <v>16800.11</v>
      </c>
      <c r="D101" s="212" t="s">
        <v>365</v>
      </c>
      <c r="E101" s="2"/>
      <c r="F101" s="3"/>
      <c r="G101" s="27" t="s">
        <v>366</v>
      </c>
      <c r="O101" s="20"/>
    </row>
    <row r="102" ht="57.0" customHeight="1">
      <c r="A102" s="73"/>
      <c r="B102" s="175" t="s">
        <v>367</v>
      </c>
      <c r="C102" s="214">
        <f>U87</f>
        <v>331448.95</v>
      </c>
      <c r="D102" s="204" t="s">
        <v>370</v>
      </c>
      <c r="E102" s="2"/>
      <c r="F102" s="3"/>
      <c r="G102" s="27" t="s">
        <v>371</v>
      </c>
      <c r="W102" s="215"/>
    </row>
    <row r="103" ht="14.25" customHeight="1">
      <c r="A103" s="73"/>
      <c r="B103" s="216" t="s">
        <v>372</v>
      </c>
      <c r="C103" s="190">
        <f>C101+C102</f>
        <v>348249.06</v>
      </c>
      <c r="D103" s="209"/>
      <c r="E103" s="2"/>
      <c r="F103" s="3"/>
      <c r="G103" s="85"/>
      <c r="Q103" s="217"/>
    </row>
    <row r="104" ht="14.25" customHeight="1">
      <c r="A104" s="73"/>
      <c r="B104" s="219" t="s">
        <v>376</v>
      </c>
      <c r="C104" s="221">
        <f>'SEMANA 27'!H100</f>
        <v>14198</v>
      </c>
      <c r="D104" s="222" t="s">
        <v>377</v>
      </c>
      <c r="E104" s="2"/>
      <c r="F104" s="3"/>
      <c r="G104" s="24">
        <f>H17+H18+N38+N18+N19+T18+T40+W48+W29+W26+W24+896.25</f>
        <v>11496.36</v>
      </c>
      <c r="H104" s="105">
        <f>G104+G105</f>
        <v>14196.44</v>
      </c>
    </row>
    <row r="105" ht="14.25" customHeight="1">
      <c r="A105" s="73"/>
      <c r="B105" s="12"/>
      <c r="C105" s="12"/>
      <c r="D105" s="222" t="s">
        <v>232</v>
      </c>
      <c r="E105" s="2"/>
      <c r="F105" s="3"/>
      <c r="G105" s="226">
        <v>2700.08</v>
      </c>
      <c r="Q105" s="217"/>
    </row>
    <row r="106" ht="14.25" customHeight="1">
      <c r="A106" s="73"/>
      <c r="B106" s="228" t="s">
        <v>382</v>
      </c>
      <c r="C106" s="214">
        <f>303.75+3000+1000+1000</f>
        <v>5303.75</v>
      </c>
      <c r="D106" s="230" t="s">
        <v>385</v>
      </c>
      <c r="E106" s="2"/>
      <c r="F106" s="3"/>
      <c r="G106" s="85"/>
      <c r="Q106" s="217"/>
    </row>
    <row r="107" ht="14.25" customHeight="1">
      <c r="A107" s="73"/>
      <c r="B107" s="231" t="s">
        <v>387</v>
      </c>
      <c r="C107" s="214">
        <f>C102-2700.08</f>
        <v>328748.87</v>
      </c>
      <c r="D107" s="233" t="s">
        <v>388</v>
      </c>
      <c r="E107" s="2"/>
      <c r="F107" s="3"/>
      <c r="G107" s="85"/>
      <c r="Q107" s="217"/>
    </row>
    <row r="108" ht="14.25" customHeight="1">
      <c r="A108" s="73"/>
      <c r="B108" s="235" t="s">
        <v>326</v>
      </c>
      <c r="C108" s="237">
        <f>C103-C104</f>
        <v>334051.06</v>
      </c>
      <c r="D108" s="2"/>
      <c r="E108" s="2"/>
      <c r="F108" s="2"/>
      <c r="G108" s="3"/>
      <c r="I108" s="20"/>
    </row>
    <row r="109" ht="14.25" customHeight="1">
      <c r="A109" s="73"/>
      <c r="B109" s="73"/>
      <c r="C109" s="73"/>
      <c r="D109" s="73"/>
      <c r="E109" s="73"/>
      <c r="F109" s="72"/>
    </row>
    <row r="110" ht="14.25" customHeight="1">
      <c r="A110" s="73"/>
      <c r="B110" s="73"/>
      <c r="C110" s="72">
        <f>C107+C106</f>
        <v>334052.62</v>
      </c>
      <c r="D110" s="73"/>
      <c r="E110" s="73"/>
      <c r="F110" s="72"/>
      <c r="AB110" s="73"/>
    </row>
    <row r="111" ht="14.25" customHeight="1">
      <c r="A111" s="73"/>
      <c r="B111" s="240"/>
      <c r="C111" s="240"/>
      <c r="D111" s="240"/>
      <c r="E111" s="240"/>
      <c r="F111" s="240"/>
      <c r="G111" s="240"/>
      <c r="H111" s="240"/>
      <c r="L111" s="241" t="s">
        <v>393</v>
      </c>
      <c r="M111" s="2"/>
      <c r="N111" s="2"/>
      <c r="O111" s="2"/>
      <c r="P111" s="2"/>
      <c r="Q111" s="2"/>
      <c r="R111" s="2"/>
      <c r="S111" s="2"/>
      <c r="T111" s="3"/>
      <c r="V111" s="243" t="s">
        <v>393</v>
      </c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244"/>
    </row>
    <row r="112" ht="14.25" customHeight="1">
      <c r="A112" s="73"/>
      <c r="B112" s="73"/>
      <c r="C112" s="76"/>
      <c r="D112" s="76"/>
      <c r="E112" s="76"/>
      <c r="F112" s="245"/>
      <c r="G112" s="76"/>
      <c r="H112" s="76"/>
      <c r="I112" s="145"/>
      <c r="J112" s="145"/>
      <c r="L112" s="247"/>
      <c r="M112" s="84" t="s">
        <v>396</v>
      </c>
      <c r="N112" s="84" t="s">
        <v>397</v>
      </c>
      <c r="O112" s="84" t="s">
        <v>398</v>
      </c>
      <c r="P112" s="196" t="s">
        <v>399</v>
      </c>
      <c r="Q112" s="84" t="s">
        <v>400</v>
      </c>
      <c r="R112" s="84" t="s">
        <v>401</v>
      </c>
      <c r="S112" s="250" t="s">
        <v>122</v>
      </c>
      <c r="T112" s="5"/>
      <c r="V112" s="26"/>
      <c r="W112" s="84" t="s">
        <v>396</v>
      </c>
      <c r="X112" s="84" t="s">
        <v>397</v>
      </c>
      <c r="Y112" s="84"/>
      <c r="Z112" s="84"/>
      <c r="AA112" s="84"/>
      <c r="AB112" s="84" t="s">
        <v>398</v>
      </c>
      <c r="AC112" s="196" t="s">
        <v>399</v>
      </c>
      <c r="AD112" s="84" t="s">
        <v>400</v>
      </c>
      <c r="AE112" s="84" t="s">
        <v>401</v>
      </c>
      <c r="AF112" s="254" t="s">
        <v>122</v>
      </c>
      <c r="AG112" s="255"/>
    </row>
    <row r="113" ht="14.25" customHeight="1">
      <c r="A113" s="73"/>
      <c r="B113" s="73"/>
      <c r="L113" s="11"/>
      <c r="M113" s="12"/>
      <c r="N113" s="12"/>
      <c r="O113" s="12"/>
      <c r="P113" s="12"/>
      <c r="Q113" s="12"/>
      <c r="R113" s="12"/>
      <c r="S113" s="10"/>
      <c r="T113" s="11"/>
      <c r="V113" s="12"/>
      <c r="W113" s="12"/>
      <c r="X113" s="12"/>
      <c r="Y113" s="259"/>
      <c r="Z113" s="259"/>
      <c r="AA113" s="259"/>
      <c r="AB113" s="12"/>
      <c r="AC113" s="12"/>
      <c r="AD113" s="12"/>
      <c r="AE113" s="12"/>
      <c r="AF113" s="260"/>
      <c r="AG113" s="261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J114" s="145"/>
      <c r="L114" s="263" t="s">
        <v>225</v>
      </c>
      <c r="M114" s="27"/>
      <c r="N114" s="27"/>
      <c r="O114" s="27"/>
      <c r="P114" s="27"/>
      <c r="Q114" s="27"/>
      <c r="R114" s="27"/>
      <c r="S114" s="27">
        <f t="shared" ref="S114:S121" si="24">SUM(M114:R114)</f>
        <v>0</v>
      </c>
      <c r="T114" s="26"/>
      <c r="V114" s="27" t="s">
        <v>225</v>
      </c>
      <c r="W114" s="28"/>
      <c r="X114" s="28"/>
      <c r="Y114" s="28"/>
      <c r="Z114" s="28"/>
      <c r="AA114" s="28"/>
      <c r="AB114" s="28"/>
      <c r="AC114" s="28"/>
      <c r="AD114" s="24"/>
      <c r="AE114" s="28"/>
      <c r="AF114" s="265">
        <f t="shared" ref="AF114:AF121" si="25">SUM(W114:AE114)</f>
        <v>0</v>
      </c>
      <c r="AG114" s="266"/>
    </row>
    <row r="115" ht="14.25" customHeight="1">
      <c r="A115" s="73"/>
      <c r="B115" s="267" t="s">
        <v>407</v>
      </c>
      <c r="C115" s="2"/>
      <c r="D115" s="3"/>
      <c r="E115" s="240"/>
      <c r="F115" s="240"/>
      <c r="G115" s="73"/>
      <c r="H115" s="73"/>
      <c r="L115" s="263" t="s">
        <v>235</v>
      </c>
      <c r="M115" s="27"/>
      <c r="N115" s="27"/>
      <c r="O115" s="27"/>
      <c r="P115" s="27"/>
      <c r="Q115" s="27"/>
      <c r="R115" s="27"/>
      <c r="S115" s="27">
        <f t="shared" si="24"/>
        <v>0</v>
      </c>
      <c r="T115" s="44"/>
      <c r="V115" s="27" t="s">
        <v>235</v>
      </c>
      <c r="W115" s="28"/>
      <c r="X115" s="28"/>
      <c r="Y115" s="28"/>
      <c r="Z115" s="28"/>
      <c r="AA115" s="28"/>
      <c r="AB115" s="28"/>
      <c r="AC115" s="28"/>
      <c r="AD115" s="24"/>
      <c r="AE115" s="24"/>
      <c r="AF115" s="265">
        <f t="shared" si="25"/>
        <v>0</v>
      </c>
      <c r="AG115" s="269"/>
    </row>
    <row r="116" ht="14.25" customHeight="1">
      <c r="A116" s="73"/>
      <c r="B116" s="270" t="s">
        <v>28</v>
      </c>
      <c r="C116" s="270" t="s">
        <v>376</v>
      </c>
      <c r="D116" s="270" t="s">
        <v>325</v>
      </c>
      <c r="E116" s="73"/>
      <c r="F116" s="73"/>
      <c r="G116" s="73"/>
      <c r="H116" s="73"/>
      <c r="L116" s="263" t="s">
        <v>241</v>
      </c>
      <c r="M116" s="27"/>
      <c r="N116" s="27"/>
      <c r="O116" s="27"/>
      <c r="P116" s="27"/>
      <c r="Q116" s="27"/>
      <c r="R116" s="27"/>
      <c r="S116" s="27">
        <f t="shared" si="24"/>
        <v>0</v>
      </c>
      <c r="T116" s="44"/>
      <c r="V116" s="27" t="s">
        <v>241</v>
      </c>
      <c r="W116" s="28"/>
      <c r="X116" s="28"/>
      <c r="Y116" s="28"/>
      <c r="Z116" s="28"/>
      <c r="AA116" s="28"/>
      <c r="AB116" s="28"/>
      <c r="AC116" s="28"/>
      <c r="AD116" s="24"/>
      <c r="AE116" s="24"/>
      <c r="AF116" s="265">
        <f t="shared" si="25"/>
        <v>0</v>
      </c>
      <c r="AG116" s="269"/>
    </row>
    <row r="117" ht="14.25" customHeight="1">
      <c r="A117" s="73"/>
      <c r="B117" s="27">
        <v>16800.11</v>
      </c>
      <c r="C117" s="27">
        <v>13197.87</v>
      </c>
      <c r="D117" s="27">
        <v>3602.24</v>
      </c>
      <c r="E117" s="73"/>
      <c r="F117" s="73"/>
      <c r="G117" s="73"/>
      <c r="H117" s="73"/>
      <c r="L117" s="263" t="s">
        <v>253</v>
      </c>
      <c r="M117" s="27"/>
      <c r="N117" s="27"/>
      <c r="O117" s="27"/>
      <c r="P117" s="27"/>
      <c r="Q117" s="27"/>
      <c r="R117" s="27"/>
      <c r="S117" s="27">
        <f t="shared" si="24"/>
        <v>0</v>
      </c>
      <c r="T117" s="44"/>
      <c r="V117" s="27" t="s">
        <v>253</v>
      </c>
      <c r="W117" s="28"/>
      <c r="X117" s="28"/>
      <c r="Y117" s="28"/>
      <c r="Z117" s="28"/>
      <c r="AA117" s="28"/>
      <c r="AB117" s="28"/>
      <c r="AC117" s="28"/>
      <c r="AD117" s="24"/>
      <c r="AE117" s="24"/>
      <c r="AF117" s="265">
        <f t="shared" si="25"/>
        <v>0</v>
      </c>
      <c r="AG117" s="269"/>
    </row>
    <row r="118" ht="14.25" customHeight="1">
      <c r="A118" s="73"/>
      <c r="B118" s="27"/>
      <c r="C118" s="27"/>
      <c r="D118" s="27"/>
      <c r="E118" s="73"/>
      <c r="F118" s="73"/>
      <c r="G118" s="73"/>
      <c r="H118" s="73"/>
      <c r="L118" s="263" t="s">
        <v>257</v>
      </c>
      <c r="M118" s="27"/>
      <c r="N118" s="27"/>
      <c r="O118" s="27"/>
      <c r="P118" s="27"/>
      <c r="Q118" s="27"/>
      <c r="R118" s="27"/>
      <c r="S118" s="27">
        <f t="shared" si="24"/>
        <v>0</v>
      </c>
      <c r="T118" s="12"/>
      <c r="V118" s="27" t="s">
        <v>257</v>
      </c>
      <c r="W118" s="28"/>
      <c r="X118" s="28"/>
      <c r="Y118" s="28"/>
      <c r="Z118" s="28"/>
      <c r="AA118" s="28"/>
      <c r="AB118" s="28"/>
      <c r="AC118" s="28"/>
      <c r="AD118" s="24"/>
      <c r="AE118" s="24"/>
      <c r="AF118" s="271">
        <f t="shared" si="25"/>
        <v>0</v>
      </c>
      <c r="AG118" s="11"/>
    </row>
    <row r="119" ht="14.25" customHeight="1">
      <c r="A119" s="73"/>
      <c r="B119" s="270" t="s">
        <v>362</v>
      </c>
      <c r="C119" s="270" t="s">
        <v>322</v>
      </c>
      <c r="D119" s="27"/>
      <c r="E119" s="73"/>
      <c r="F119" s="73"/>
      <c r="G119" s="73"/>
      <c r="H119" s="73"/>
      <c r="J119" s="107"/>
      <c r="L119" s="263" t="s">
        <v>264</v>
      </c>
      <c r="M119" s="27"/>
      <c r="N119" s="27"/>
      <c r="O119" s="27"/>
      <c r="P119" s="27"/>
      <c r="Q119" s="27"/>
      <c r="R119" s="27"/>
      <c r="S119" s="27">
        <f t="shared" si="24"/>
        <v>0</v>
      </c>
      <c r="T119" s="273">
        <v>27.0</v>
      </c>
      <c r="V119" s="27" t="s">
        <v>264</v>
      </c>
      <c r="W119" s="28"/>
      <c r="X119" s="28"/>
      <c r="Y119" s="28"/>
      <c r="Z119" s="28"/>
      <c r="AA119" s="28"/>
      <c r="AB119" s="28"/>
      <c r="AC119" s="28"/>
      <c r="AD119" s="24"/>
      <c r="AE119" s="24"/>
      <c r="AF119" s="28">
        <f t="shared" si="25"/>
        <v>0</v>
      </c>
      <c r="AG119" s="104">
        <v>27.0</v>
      </c>
    </row>
    <row r="120" ht="14.25" customHeight="1">
      <c r="A120" s="73"/>
      <c r="B120" s="175" t="s">
        <v>409</v>
      </c>
      <c r="C120" s="225">
        <v>13000.11</v>
      </c>
      <c r="D120" s="27"/>
      <c r="E120" s="73"/>
      <c r="F120" s="73"/>
      <c r="G120" s="73"/>
      <c r="H120" s="73"/>
      <c r="I120" s="240"/>
      <c r="J120" s="107"/>
      <c r="L120" s="276"/>
      <c r="M120" s="277">
        <f t="shared" ref="M120:R120" si="26">SUM(M114:M119)</f>
        <v>0</v>
      </c>
      <c r="N120" s="277">
        <f t="shared" si="26"/>
        <v>0</v>
      </c>
      <c r="O120" s="277">
        <f t="shared" si="26"/>
        <v>0</v>
      </c>
      <c r="P120" s="277">
        <f t="shared" si="26"/>
        <v>0</v>
      </c>
      <c r="Q120" s="277">
        <f t="shared" si="26"/>
        <v>0</v>
      </c>
      <c r="R120" s="277">
        <f t="shared" si="26"/>
        <v>0</v>
      </c>
      <c r="S120" s="279">
        <f t="shared" si="24"/>
        <v>0</v>
      </c>
      <c r="T120" s="225">
        <f>S120*T119</f>
        <v>0</v>
      </c>
      <c r="V120" s="224"/>
      <c r="W120" s="282">
        <f t="shared" ref="W120:X120" si="27">SUM(W114:W119)</f>
        <v>0</v>
      </c>
      <c r="X120" s="282">
        <f t="shared" si="27"/>
        <v>0</v>
      </c>
      <c r="Y120" s="224"/>
      <c r="Z120" s="224"/>
      <c r="AA120" s="224"/>
      <c r="AB120" s="282">
        <f t="shared" ref="AB120:AE120" si="28">SUM(AB114:AB119)</f>
        <v>0</v>
      </c>
      <c r="AC120" s="282">
        <f t="shared" si="28"/>
        <v>0</v>
      </c>
      <c r="AD120" s="282">
        <f t="shared" si="28"/>
        <v>0</v>
      </c>
      <c r="AE120" s="282">
        <f t="shared" si="28"/>
        <v>0</v>
      </c>
      <c r="AF120" s="236">
        <f t="shared" si="25"/>
        <v>0</v>
      </c>
      <c r="AG120" s="286">
        <f>AF120*AG119</f>
        <v>0</v>
      </c>
    </row>
    <row r="121" ht="14.25" customHeight="1">
      <c r="A121" s="73"/>
      <c r="B121" s="27"/>
      <c r="C121" s="273">
        <v>3800.0</v>
      </c>
      <c r="D121" s="27"/>
      <c r="E121" s="73"/>
      <c r="F121" s="72"/>
      <c r="L121" s="287" t="s">
        <v>273</v>
      </c>
      <c r="M121" s="27"/>
      <c r="N121" s="27"/>
      <c r="O121" s="27"/>
      <c r="P121" s="27"/>
      <c r="Q121" s="27"/>
      <c r="R121" s="27"/>
      <c r="S121" s="27">
        <f t="shared" si="24"/>
        <v>0</v>
      </c>
      <c r="T121" s="27"/>
      <c r="V121" s="140" t="s">
        <v>273</v>
      </c>
      <c r="W121" s="28"/>
      <c r="X121" s="28"/>
      <c r="Y121" s="28"/>
      <c r="Z121" s="28"/>
      <c r="AA121" s="28"/>
      <c r="AB121" s="28"/>
      <c r="AC121" s="28"/>
      <c r="AD121" s="24"/>
      <c r="AE121" s="24"/>
      <c r="AF121" s="24">
        <f t="shared" si="25"/>
        <v>0</v>
      </c>
      <c r="AG121" s="85"/>
    </row>
    <row r="122" ht="14.25" customHeight="1">
      <c r="A122" s="73"/>
      <c r="B122" s="73"/>
      <c r="C122" s="73"/>
      <c r="D122" s="73"/>
      <c r="E122" s="73"/>
      <c r="F122" s="72"/>
      <c r="L122" s="288"/>
      <c r="M122" s="27"/>
      <c r="N122" s="27"/>
      <c r="O122" s="27"/>
      <c r="P122" s="27"/>
      <c r="Q122" s="27"/>
      <c r="R122" s="27"/>
      <c r="S122" s="135">
        <f>SUM(S120:S121)</f>
        <v>0</v>
      </c>
      <c r="T122" s="290">
        <f>S122*T119</f>
        <v>0</v>
      </c>
      <c r="V122" s="85"/>
      <c r="W122" s="39"/>
      <c r="X122" s="85"/>
      <c r="Y122" s="85"/>
      <c r="Z122" s="85"/>
      <c r="AA122" s="85"/>
      <c r="AB122" s="39"/>
      <c r="AC122" s="85"/>
      <c r="AD122" s="85"/>
      <c r="AE122" s="85"/>
      <c r="AF122" s="23">
        <f>SUM(AF120:AF121)</f>
        <v>0</v>
      </c>
      <c r="AG122" s="293"/>
    </row>
    <row r="123" ht="14.25" customHeight="1">
      <c r="A123" s="73"/>
      <c r="B123" s="73"/>
      <c r="C123" s="73"/>
      <c r="D123" s="73"/>
      <c r="E123" s="73"/>
      <c r="F123" s="72"/>
    </row>
    <row r="124" ht="14.25" customHeight="1">
      <c r="A124" s="73"/>
      <c r="B124" s="73"/>
      <c r="C124" s="73"/>
      <c r="D124" s="73"/>
      <c r="E124" s="73"/>
      <c r="F124" s="72"/>
    </row>
    <row r="125" ht="14.25" customHeight="1">
      <c r="A125" s="73"/>
      <c r="B125" s="73"/>
      <c r="C125" s="73"/>
      <c r="D125" s="73"/>
      <c r="E125" s="73"/>
      <c r="F125" s="72"/>
    </row>
    <row r="126" ht="14.25" customHeight="1">
      <c r="A126" s="73"/>
      <c r="B126" s="73"/>
      <c r="C126" s="73"/>
      <c r="D126" s="73"/>
      <c r="E126" s="73"/>
      <c r="F126" s="72"/>
    </row>
    <row r="127" ht="14.25" customHeight="1">
      <c r="A127" s="73"/>
      <c r="B127" s="73"/>
      <c r="C127" s="73"/>
      <c r="D127" s="73"/>
      <c r="E127" s="73"/>
      <c r="F127" s="72"/>
    </row>
    <row r="128" ht="14.25" customHeight="1">
      <c r="A128" s="73"/>
      <c r="B128" s="73"/>
      <c r="C128" s="73"/>
      <c r="D128" s="73"/>
      <c r="E128" s="73"/>
      <c r="F128" s="72"/>
    </row>
    <row r="129" ht="14.25" customHeight="1">
      <c r="A129" s="73"/>
      <c r="B129" s="73"/>
      <c r="C129" s="73"/>
      <c r="D129" s="73"/>
      <c r="E129" s="73"/>
      <c r="F129" s="72"/>
    </row>
    <row r="130" ht="14.25" customHeight="1">
      <c r="A130" s="73"/>
      <c r="B130" s="73"/>
      <c r="C130" s="249" t="s">
        <v>423</v>
      </c>
      <c r="D130" s="78"/>
      <c r="E130" s="78"/>
      <c r="F130" s="78"/>
      <c r="G130" s="78"/>
      <c r="H130" s="78"/>
      <c r="I130" s="79"/>
    </row>
    <row r="131" ht="33.75" customHeight="1">
      <c r="A131" s="73"/>
      <c r="B131" s="73"/>
      <c r="C131" s="251" t="s">
        <v>402</v>
      </c>
      <c r="D131" s="251" t="s">
        <v>3</v>
      </c>
      <c r="E131" s="251" t="s">
        <v>403</v>
      </c>
      <c r="F131" s="252" t="s">
        <v>404</v>
      </c>
      <c r="G131" s="251" t="s">
        <v>405</v>
      </c>
      <c r="H131" s="251" t="s">
        <v>8</v>
      </c>
      <c r="I131" s="251" t="s">
        <v>406</v>
      </c>
    </row>
    <row r="132" ht="14.25" customHeight="1">
      <c r="A132" s="73"/>
      <c r="B132" s="275"/>
      <c r="C132" s="253" t="s">
        <v>41</v>
      </c>
      <c r="D132" s="140" t="s">
        <v>42</v>
      </c>
      <c r="E132" s="140" t="s">
        <v>43</v>
      </c>
      <c r="F132" s="140" t="s">
        <v>44</v>
      </c>
      <c r="G132" s="54">
        <v>700.0</v>
      </c>
      <c r="H132" s="256">
        <v>1240.0</v>
      </c>
      <c r="I132" s="257">
        <v>540.0</v>
      </c>
    </row>
    <row r="133" ht="14.25" customHeight="1">
      <c r="A133" s="73"/>
      <c r="B133" s="275"/>
      <c r="C133" s="300" t="s">
        <v>50</v>
      </c>
      <c r="D133" s="140" t="s">
        <v>51</v>
      </c>
      <c r="E133" s="140" t="s">
        <v>52</v>
      </c>
      <c r="F133" s="140" t="s">
        <v>53</v>
      </c>
      <c r="G133" s="54">
        <v>1500.0</v>
      </c>
      <c r="H133" s="256">
        <v>2500.0</v>
      </c>
      <c r="I133" s="257">
        <v>1000.0</v>
      </c>
    </row>
    <row r="134" ht="14.25" customHeight="1">
      <c r="A134" s="73"/>
      <c r="B134" s="275"/>
      <c r="C134" s="12"/>
      <c r="D134" s="140" t="s">
        <v>54</v>
      </c>
      <c r="E134" s="140" t="s">
        <v>17</v>
      </c>
      <c r="F134" s="140"/>
      <c r="G134" s="54">
        <v>500.0</v>
      </c>
      <c r="H134" s="256">
        <v>1000.0</v>
      </c>
      <c r="I134" s="257">
        <v>500.0</v>
      </c>
    </row>
    <row r="135" ht="14.25" customHeight="1">
      <c r="A135" s="73"/>
      <c r="B135" s="275"/>
      <c r="C135" s="253" t="s">
        <v>57</v>
      </c>
      <c r="D135" s="140" t="s">
        <v>51</v>
      </c>
      <c r="E135" s="140" t="s">
        <v>58</v>
      </c>
      <c r="F135" s="140" t="s">
        <v>59</v>
      </c>
      <c r="G135" s="54">
        <v>1500.0</v>
      </c>
      <c r="H135" s="256">
        <v>3500.0</v>
      </c>
      <c r="I135" s="257">
        <v>2000.0</v>
      </c>
    </row>
    <row r="136" ht="14.25" customHeight="1">
      <c r="A136" s="73"/>
      <c r="B136" s="275"/>
      <c r="C136" s="300" t="s">
        <v>61</v>
      </c>
      <c r="D136" s="140" t="s">
        <v>63</v>
      </c>
      <c r="E136" s="140" t="s">
        <v>65</v>
      </c>
      <c r="F136" s="140" t="s">
        <v>66</v>
      </c>
      <c r="G136" s="54">
        <v>2500.0</v>
      </c>
      <c r="H136" s="256">
        <v>2810.0</v>
      </c>
      <c r="I136" s="257">
        <v>310.0</v>
      </c>
    </row>
    <row r="137" ht="14.25" customHeight="1">
      <c r="A137" s="73"/>
      <c r="B137" s="275"/>
      <c r="C137" s="12"/>
      <c r="D137" s="140" t="s">
        <v>63</v>
      </c>
      <c r="E137" s="140" t="s">
        <v>17</v>
      </c>
      <c r="F137" s="140"/>
      <c r="G137" s="54">
        <v>300.0</v>
      </c>
      <c r="H137" s="256">
        <v>3300.0</v>
      </c>
      <c r="I137" s="257">
        <v>100.0</v>
      </c>
    </row>
    <row r="138" ht="14.25" customHeight="1">
      <c r="A138" s="73"/>
      <c r="B138" s="275"/>
      <c r="C138" s="253" t="s">
        <v>68</v>
      </c>
      <c r="D138" s="140" t="s">
        <v>63</v>
      </c>
      <c r="E138" s="140" t="s">
        <v>69</v>
      </c>
      <c r="F138" s="140" t="s">
        <v>70</v>
      </c>
      <c r="G138" s="54">
        <v>2500.0</v>
      </c>
      <c r="H138" s="256">
        <v>2000.0</v>
      </c>
      <c r="I138" s="257">
        <v>800.0</v>
      </c>
    </row>
    <row r="139" ht="14.25" customHeight="1">
      <c r="A139" s="73"/>
      <c r="B139" s="275"/>
      <c r="C139" s="253" t="s">
        <v>82</v>
      </c>
      <c r="D139" s="140" t="s">
        <v>75</v>
      </c>
      <c r="E139" s="140" t="s">
        <v>65</v>
      </c>
      <c r="F139" s="140" t="s">
        <v>83</v>
      </c>
      <c r="G139" s="54">
        <v>1500.0</v>
      </c>
      <c r="H139" s="256">
        <v>4000.0</v>
      </c>
      <c r="I139" s="257">
        <v>500.0</v>
      </c>
    </row>
    <row r="140" ht="14.25" customHeight="1">
      <c r="A140" s="73"/>
      <c r="B140" s="275"/>
      <c r="C140" s="253" t="s">
        <v>89</v>
      </c>
      <c r="D140" s="140" t="s">
        <v>75</v>
      </c>
      <c r="E140" s="140" t="s">
        <v>58</v>
      </c>
      <c r="F140" s="140" t="s">
        <v>90</v>
      </c>
      <c r="G140" s="54">
        <v>3000.0</v>
      </c>
      <c r="H140" s="256">
        <v>3300.0</v>
      </c>
      <c r="I140" s="257">
        <v>1000.0</v>
      </c>
    </row>
    <row r="141" ht="14.25" customHeight="1">
      <c r="A141" s="73"/>
      <c r="B141" s="275"/>
      <c r="C141" s="253" t="s">
        <v>93</v>
      </c>
      <c r="D141" s="140" t="s">
        <v>75</v>
      </c>
      <c r="E141" s="140" t="s">
        <v>69</v>
      </c>
      <c r="F141" s="140" t="s">
        <v>94</v>
      </c>
      <c r="G141" s="54">
        <v>2500.0</v>
      </c>
      <c r="H141" s="256">
        <v>4664.0</v>
      </c>
      <c r="I141" s="257">
        <v>800.0</v>
      </c>
    </row>
    <row r="142" ht="14.25" customHeight="1">
      <c r="A142" s="73"/>
      <c r="B142" s="275"/>
      <c r="C142" s="253" t="s">
        <v>104</v>
      </c>
      <c r="D142" s="140" t="s">
        <v>105</v>
      </c>
      <c r="E142" s="140" t="s">
        <v>20</v>
      </c>
      <c r="F142" s="140" t="s">
        <v>106</v>
      </c>
      <c r="G142" s="54">
        <v>2500.0</v>
      </c>
      <c r="H142" s="256">
        <v>1500.0</v>
      </c>
      <c r="I142" s="257">
        <v>2164.06</v>
      </c>
    </row>
    <row r="143" ht="14.25" customHeight="1">
      <c r="A143" s="73"/>
      <c r="B143" s="275"/>
      <c r="C143" s="300" t="s">
        <v>107</v>
      </c>
      <c r="D143" s="307" t="s">
        <v>105</v>
      </c>
      <c r="E143" s="140" t="s">
        <v>109</v>
      </c>
      <c r="F143" s="140" t="s">
        <v>110</v>
      </c>
      <c r="G143" s="54">
        <v>1000.0</v>
      </c>
      <c r="H143" s="256">
        <v>728.9</v>
      </c>
      <c r="I143" s="257">
        <v>500.0</v>
      </c>
    </row>
    <row r="144" ht="14.25" customHeight="1">
      <c r="A144" s="73"/>
      <c r="B144" s="275"/>
      <c r="C144" s="12"/>
      <c r="D144" s="12"/>
      <c r="E144" s="140" t="s">
        <v>111</v>
      </c>
      <c r="F144" s="140"/>
      <c r="G144" s="54">
        <v>500.0</v>
      </c>
      <c r="H144" s="256">
        <v>1300.0</v>
      </c>
      <c r="I144" s="257">
        <v>228.9</v>
      </c>
    </row>
    <row r="145" ht="14.25" customHeight="1">
      <c r="A145" s="73"/>
      <c r="B145" s="275"/>
      <c r="C145" s="253" t="s">
        <v>114</v>
      </c>
      <c r="D145" s="140"/>
      <c r="E145" s="140"/>
      <c r="F145" s="140" t="s">
        <v>115</v>
      </c>
      <c r="G145" s="54">
        <v>1000.0</v>
      </c>
      <c r="H145" s="256">
        <v>1374.0</v>
      </c>
      <c r="I145" s="257">
        <v>300.0</v>
      </c>
    </row>
    <row r="146" ht="14.25" customHeight="1">
      <c r="A146" s="73"/>
      <c r="B146" s="275"/>
      <c r="C146" s="253" t="s">
        <v>145</v>
      </c>
      <c r="D146" s="140" t="s">
        <v>146</v>
      </c>
      <c r="E146" s="140" t="s">
        <v>43</v>
      </c>
      <c r="F146" s="140"/>
      <c r="G146" s="54">
        <v>700.0</v>
      </c>
      <c r="H146" s="256">
        <v>2000.0</v>
      </c>
      <c r="I146" s="257">
        <v>674.47</v>
      </c>
    </row>
    <row r="147" ht="14.25" customHeight="1">
      <c r="A147" s="73"/>
      <c r="B147" s="275"/>
      <c r="C147" s="253" t="s">
        <v>155</v>
      </c>
      <c r="D147" s="140"/>
      <c r="E147" s="140" t="s">
        <v>20</v>
      </c>
      <c r="F147" s="140" t="s">
        <v>156</v>
      </c>
      <c r="G147" s="54">
        <v>1500.0</v>
      </c>
      <c r="H147" s="256">
        <v>2000.0</v>
      </c>
      <c r="I147" s="257">
        <v>500.0</v>
      </c>
    </row>
    <row r="148" ht="14.25" customHeight="1">
      <c r="A148" s="73"/>
      <c r="B148" s="275"/>
      <c r="C148" s="253"/>
      <c r="D148" s="140"/>
      <c r="E148" s="140" t="s">
        <v>20</v>
      </c>
      <c r="F148" s="140" t="s">
        <v>159</v>
      </c>
      <c r="G148" s="54">
        <v>1500.0</v>
      </c>
      <c r="H148" s="256">
        <v>1200.0</v>
      </c>
      <c r="I148" s="257">
        <v>500.0</v>
      </c>
    </row>
    <row r="149" ht="14.25" customHeight="1">
      <c r="A149" s="73"/>
      <c r="B149" s="73"/>
      <c r="C149" s="272" t="s">
        <v>210</v>
      </c>
      <c r="D149" s="2"/>
      <c r="E149" s="2"/>
      <c r="F149" s="2"/>
      <c r="G149" s="2"/>
      <c r="H149" s="3"/>
      <c r="I149" s="274">
        <f>SUM(I132:I148)</f>
        <v>12417.43</v>
      </c>
    </row>
    <row r="150" ht="14.25" customHeight="1">
      <c r="A150" s="73"/>
      <c r="B150" s="73"/>
      <c r="C150" s="73"/>
      <c r="D150" s="73"/>
      <c r="E150" s="73"/>
      <c r="F150" s="72"/>
    </row>
    <row r="151" ht="14.25" customHeight="1">
      <c r="A151" s="73"/>
      <c r="B151" s="73"/>
      <c r="C151" s="73"/>
      <c r="D151" s="73"/>
      <c r="E151" s="73"/>
      <c r="F151" s="72"/>
    </row>
    <row r="152" ht="14.25" customHeight="1">
      <c r="A152" s="73"/>
      <c r="B152" s="73"/>
      <c r="C152" s="73"/>
      <c r="D152" s="73"/>
      <c r="E152" s="73"/>
      <c r="F152" s="72"/>
    </row>
    <row r="153" ht="14.25" customHeight="1">
      <c r="A153" s="73"/>
      <c r="B153" s="73"/>
      <c r="C153" s="73"/>
      <c r="D153" s="73"/>
      <c r="E153" s="73"/>
      <c r="F153" s="72"/>
    </row>
    <row r="154" ht="14.25" customHeight="1">
      <c r="A154" s="73"/>
      <c r="B154" s="73"/>
      <c r="C154" s="73"/>
      <c r="D154" s="310" t="s">
        <v>443</v>
      </c>
      <c r="E154" s="2"/>
      <c r="F154" s="2"/>
      <c r="G154" s="3"/>
    </row>
    <row r="155" ht="14.25" customHeight="1">
      <c r="A155" s="73"/>
      <c r="B155" s="73"/>
      <c r="C155" s="73"/>
      <c r="D155" s="251" t="s">
        <v>445</v>
      </c>
      <c r="E155" s="251" t="s">
        <v>405</v>
      </c>
      <c r="F155" s="251" t="s">
        <v>446</v>
      </c>
      <c r="G155" s="251" t="s">
        <v>448</v>
      </c>
    </row>
    <row r="156" ht="14.25" customHeight="1">
      <c r="A156" s="73"/>
      <c r="B156" s="73"/>
      <c r="C156" s="73"/>
      <c r="D156" s="311" t="s">
        <v>104</v>
      </c>
      <c r="E156" s="312">
        <v>1000.0</v>
      </c>
      <c r="F156" s="312">
        <v>1592.0</v>
      </c>
      <c r="G156" s="313">
        <f t="shared" ref="G156:G179" si="29">E156-F156</f>
        <v>-592</v>
      </c>
    </row>
    <row r="157" ht="14.25" customHeight="1">
      <c r="A157" s="73"/>
      <c r="B157" s="73"/>
      <c r="C157" s="73"/>
      <c r="D157" s="311" t="s">
        <v>453</v>
      </c>
      <c r="E157" s="312">
        <v>4000.0</v>
      </c>
      <c r="F157" s="312">
        <v>5106.0</v>
      </c>
      <c r="G157" s="313">
        <f t="shared" si="29"/>
        <v>-1106</v>
      </c>
    </row>
    <row r="158" ht="14.25" customHeight="1">
      <c r="A158" s="73"/>
      <c r="B158" s="73"/>
      <c r="C158" s="73"/>
      <c r="D158" s="311" t="s">
        <v>419</v>
      </c>
      <c r="E158" s="312">
        <v>1500.0</v>
      </c>
      <c r="F158" s="312">
        <v>1766.19</v>
      </c>
      <c r="G158" s="313">
        <f t="shared" si="29"/>
        <v>-266.19</v>
      </c>
    </row>
    <row r="159" ht="14.25" customHeight="1">
      <c r="A159" s="73"/>
      <c r="B159" s="73"/>
      <c r="C159" s="73"/>
      <c r="D159" s="311" t="s">
        <v>455</v>
      </c>
      <c r="E159" s="312">
        <v>2500.0</v>
      </c>
      <c r="F159" s="312">
        <v>807.0</v>
      </c>
      <c r="G159" s="256">
        <f t="shared" si="29"/>
        <v>1693</v>
      </c>
    </row>
    <row r="160" ht="14.25" customHeight="1">
      <c r="A160" s="73"/>
      <c r="B160" s="73"/>
      <c r="C160" s="73"/>
      <c r="D160" s="311" t="s">
        <v>457</v>
      </c>
      <c r="E160" s="312">
        <v>500.0</v>
      </c>
      <c r="F160" s="312">
        <v>360.0</v>
      </c>
      <c r="G160" s="256">
        <f t="shared" si="29"/>
        <v>140</v>
      </c>
    </row>
    <row r="161" ht="14.25" customHeight="1">
      <c r="A161" s="73"/>
      <c r="B161" s="73"/>
      <c r="C161" s="73"/>
      <c r="D161" s="311" t="s">
        <v>458</v>
      </c>
      <c r="E161" s="312">
        <v>500.0</v>
      </c>
      <c r="F161" s="312">
        <v>408.0</v>
      </c>
      <c r="G161" s="256">
        <f t="shared" si="29"/>
        <v>92</v>
      </c>
    </row>
    <row r="162" ht="14.25" customHeight="1">
      <c r="A162" s="73"/>
      <c r="B162" s="73"/>
      <c r="C162" s="73"/>
      <c r="D162" s="311" t="s">
        <v>459</v>
      </c>
      <c r="E162" s="312">
        <v>2000.0</v>
      </c>
      <c r="F162" s="312">
        <v>1912.0</v>
      </c>
      <c r="G162" s="256">
        <f t="shared" si="29"/>
        <v>88</v>
      </c>
    </row>
    <row r="163" ht="14.25" customHeight="1">
      <c r="A163" s="73"/>
      <c r="B163" s="73"/>
      <c r="C163" s="73"/>
      <c r="D163" s="311" t="s">
        <v>145</v>
      </c>
      <c r="E163" s="312">
        <v>500.0</v>
      </c>
      <c r="F163" s="312">
        <v>1369.42</v>
      </c>
      <c r="G163" s="313">
        <f t="shared" si="29"/>
        <v>-869.42</v>
      </c>
    </row>
    <row r="164" ht="14.25" customHeight="1">
      <c r="A164" s="73"/>
      <c r="B164" s="73"/>
      <c r="C164" s="73"/>
      <c r="D164" s="311" t="s">
        <v>460</v>
      </c>
      <c r="E164" s="312">
        <v>2000.0</v>
      </c>
      <c r="F164" s="312">
        <v>1788.0</v>
      </c>
      <c r="G164" s="256">
        <f t="shared" si="29"/>
        <v>212</v>
      </c>
    </row>
    <row r="165" ht="14.25" customHeight="1">
      <c r="A165" s="73"/>
      <c r="B165" s="73"/>
      <c r="C165" s="73"/>
      <c r="D165" s="311" t="s">
        <v>461</v>
      </c>
      <c r="E165" s="312">
        <v>2000.0</v>
      </c>
      <c r="F165" s="312">
        <v>624.0</v>
      </c>
      <c r="G165" s="256">
        <f t="shared" si="29"/>
        <v>1376</v>
      </c>
    </row>
    <row r="166" ht="14.25" customHeight="1">
      <c r="A166" s="73"/>
      <c r="B166" s="73"/>
      <c r="C166" s="73"/>
      <c r="D166" s="311" t="s">
        <v>462</v>
      </c>
      <c r="E166" s="312">
        <v>1500.0</v>
      </c>
      <c r="F166" s="312">
        <v>2518.0</v>
      </c>
      <c r="G166" s="313">
        <f t="shared" si="29"/>
        <v>-1018</v>
      </c>
    </row>
    <row r="167" ht="14.25" customHeight="1">
      <c r="A167" s="73"/>
      <c r="B167" s="73"/>
      <c r="C167" s="73"/>
      <c r="D167" s="311" t="s">
        <v>463</v>
      </c>
      <c r="E167" s="312">
        <v>500.0</v>
      </c>
      <c r="F167" s="312">
        <v>722.0</v>
      </c>
      <c r="G167" s="313">
        <f t="shared" si="29"/>
        <v>-222</v>
      </c>
    </row>
    <row r="168" ht="14.25" customHeight="1">
      <c r="A168" s="73"/>
      <c r="B168" s="73"/>
      <c r="C168" s="73"/>
      <c r="D168" s="311" t="s">
        <v>464</v>
      </c>
      <c r="E168" s="312">
        <v>500.0</v>
      </c>
      <c r="F168" s="312">
        <v>494.0</v>
      </c>
      <c r="G168" s="256">
        <f t="shared" si="29"/>
        <v>6</v>
      </c>
    </row>
    <row r="169" ht="14.25" customHeight="1">
      <c r="A169" s="73"/>
      <c r="B169" s="73"/>
      <c r="C169" s="73"/>
      <c r="D169" s="311" t="s">
        <v>465</v>
      </c>
      <c r="E169" s="312">
        <v>500.0</v>
      </c>
      <c r="F169" s="312">
        <v>1660.0</v>
      </c>
      <c r="G169" s="313">
        <f t="shared" si="29"/>
        <v>-1160</v>
      </c>
    </row>
    <row r="170" ht="14.25" customHeight="1">
      <c r="A170" s="73"/>
      <c r="B170" s="73"/>
      <c r="C170" s="73"/>
      <c r="D170" s="311" t="s">
        <v>466</v>
      </c>
      <c r="E170" s="312">
        <v>1000.0</v>
      </c>
      <c r="F170" s="312">
        <v>1257.0</v>
      </c>
      <c r="G170" s="313">
        <f t="shared" si="29"/>
        <v>-257</v>
      </c>
    </row>
    <row r="171" ht="14.25" customHeight="1">
      <c r="A171" s="73"/>
      <c r="B171" s="73"/>
      <c r="C171" s="73"/>
      <c r="D171" s="311" t="s">
        <v>467</v>
      </c>
      <c r="E171" s="312"/>
      <c r="F171" s="312">
        <v>1041.0</v>
      </c>
      <c r="G171" s="313">
        <f t="shared" si="29"/>
        <v>-1041</v>
      </c>
    </row>
    <row r="172" ht="14.25" customHeight="1">
      <c r="A172" s="73"/>
      <c r="B172" s="73"/>
      <c r="C172" s="73"/>
      <c r="D172" s="311" t="s">
        <v>468</v>
      </c>
      <c r="E172" s="312">
        <v>500.0</v>
      </c>
      <c r="F172" s="312">
        <v>707.0</v>
      </c>
      <c r="G172" s="313">
        <f t="shared" si="29"/>
        <v>-207</v>
      </c>
    </row>
    <row r="173" ht="14.25" customHeight="1">
      <c r="A173" s="73"/>
      <c r="B173" s="73"/>
      <c r="C173" s="73"/>
      <c r="D173" s="311" t="s">
        <v>469</v>
      </c>
      <c r="E173" s="312">
        <v>500.0</v>
      </c>
      <c r="F173" s="312">
        <v>124.0</v>
      </c>
      <c r="G173" s="256">
        <f t="shared" si="29"/>
        <v>376</v>
      </c>
    </row>
    <row r="174" ht="14.25" customHeight="1">
      <c r="A174" s="73"/>
      <c r="B174" s="73"/>
      <c r="C174" s="73"/>
      <c r="D174" s="311" t="s">
        <v>470</v>
      </c>
      <c r="E174" s="312">
        <v>500.0</v>
      </c>
      <c r="F174" s="312">
        <v>248.0</v>
      </c>
      <c r="G174" s="256">
        <f t="shared" si="29"/>
        <v>252</v>
      </c>
    </row>
    <row r="175" ht="14.25" customHeight="1">
      <c r="A175" s="73"/>
      <c r="B175" s="73"/>
      <c r="C175" s="73"/>
      <c r="D175" s="311" t="s">
        <v>471</v>
      </c>
      <c r="E175" s="312">
        <v>1000.0</v>
      </c>
      <c r="F175" s="312">
        <v>939.0</v>
      </c>
      <c r="G175" s="256">
        <f t="shared" si="29"/>
        <v>61</v>
      </c>
    </row>
    <row r="176" ht="14.25" customHeight="1">
      <c r="A176" s="73"/>
      <c r="B176" s="73"/>
      <c r="C176" s="73"/>
      <c r="D176" s="311" t="s">
        <v>472</v>
      </c>
      <c r="E176" s="312">
        <v>700.0</v>
      </c>
      <c r="F176" s="312">
        <v>494.0</v>
      </c>
      <c r="G176" s="256">
        <f t="shared" si="29"/>
        <v>206</v>
      </c>
    </row>
    <row r="177" ht="14.25" customHeight="1">
      <c r="A177" s="73"/>
      <c r="B177" s="73"/>
      <c r="C177" s="73"/>
      <c r="D177" s="311" t="s">
        <v>102</v>
      </c>
      <c r="E177" s="312">
        <v>500.0</v>
      </c>
      <c r="F177" s="312">
        <v>539.0</v>
      </c>
      <c r="G177" s="313">
        <f t="shared" si="29"/>
        <v>-39</v>
      </c>
    </row>
    <row r="178" ht="14.25" customHeight="1">
      <c r="A178" s="73"/>
      <c r="B178" s="73"/>
      <c r="C178" s="73"/>
      <c r="D178" s="311" t="s">
        <v>473</v>
      </c>
      <c r="E178" s="312">
        <v>1000.0</v>
      </c>
      <c r="F178" s="312">
        <v>647.0</v>
      </c>
      <c r="G178" s="256">
        <f t="shared" si="29"/>
        <v>353</v>
      </c>
    </row>
    <row r="179" ht="14.25" customHeight="1">
      <c r="A179" s="73"/>
      <c r="B179" s="73"/>
      <c r="C179" s="73"/>
      <c r="D179" s="311" t="s">
        <v>474</v>
      </c>
      <c r="E179" s="312">
        <v>500.0</v>
      </c>
      <c r="F179" s="312">
        <v>108.0</v>
      </c>
      <c r="G179" s="256">
        <f t="shared" si="29"/>
        <v>392</v>
      </c>
    </row>
    <row r="180" ht="14.25" customHeight="1">
      <c r="A180" s="73"/>
      <c r="B180" s="73"/>
      <c r="C180" s="73"/>
      <c r="D180" s="73"/>
      <c r="E180" s="73"/>
      <c r="F180" s="72"/>
    </row>
    <row r="181" ht="14.25" customHeight="1">
      <c r="A181" s="73"/>
      <c r="B181" s="73"/>
      <c r="C181" s="73"/>
      <c r="D181" s="73"/>
      <c r="E181" s="73"/>
      <c r="F181" s="72"/>
    </row>
    <row r="182" ht="14.25" customHeight="1">
      <c r="A182" s="73"/>
      <c r="B182" s="73"/>
      <c r="C182" s="73"/>
      <c r="D182" s="73"/>
      <c r="E182" s="73"/>
      <c r="F182" s="72"/>
    </row>
    <row r="183" ht="14.25" customHeight="1">
      <c r="A183" s="73"/>
      <c r="B183" s="73"/>
      <c r="C183" s="73"/>
      <c r="D183" s="73" t="s">
        <v>431</v>
      </c>
      <c r="E183" s="73">
        <v>100.0</v>
      </c>
      <c r="F183" s="72"/>
    </row>
    <row r="184" ht="14.25" customHeight="1">
      <c r="A184" s="73"/>
      <c r="B184" s="73"/>
      <c r="C184" s="73"/>
      <c r="D184" s="73"/>
      <c r="E184" s="73"/>
      <c r="F184" s="72"/>
    </row>
    <row r="185" ht="14.25" customHeight="1">
      <c r="A185" s="73"/>
      <c r="B185" s="73"/>
      <c r="C185" s="73"/>
      <c r="D185" s="73"/>
      <c r="E185" s="73"/>
      <c r="F185" s="72"/>
    </row>
    <row r="186" ht="14.25" customHeight="1">
      <c r="A186" s="73"/>
      <c r="B186" s="73"/>
      <c r="C186" s="278" t="s">
        <v>475</v>
      </c>
      <c r="D186" s="2"/>
      <c r="E186" s="2"/>
      <c r="F186" s="2"/>
      <c r="G186" s="2"/>
      <c r="H186" s="2"/>
      <c r="I186" s="3"/>
      <c r="J186" s="320"/>
      <c r="K186" s="280" t="s">
        <v>475</v>
      </c>
      <c r="L186" s="281"/>
      <c r="M186" s="281"/>
      <c r="N186" s="281"/>
      <c r="O186" s="281"/>
      <c r="P186" s="281"/>
      <c r="Q186" s="283"/>
    </row>
    <row r="187" ht="14.25" customHeight="1">
      <c r="A187" s="73"/>
      <c r="B187" s="73"/>
      <c r="C187" s="25" t="s">
        <v>402</v>
      </c>
      <c r="D187" s="25" t="s">
        <v>220</v>
      </c>
      <c r="E187" s="25" t="s">
        <v>413</v>
      </c>
      <c r="F187" s="284" t="s">
        <v>414</v>
      </c>
      <c r="G187" s="101" t="s">
        <v>415</v>
      </c>
      <c r="H187" s="52" t="s">
        <v>416</v>
      </c>
      <c r="I187" s="139" t="s">
        <v>417</v>
      </c>
      <c r="K187" s="285" t="s">
        <v>402</v>
      </c>
      <c r="L187" s="285" t="s">
        <v>220</v>
      </c>
      <c r="M187" s="285" t="s">
        <v>413</v>
      </c>
      <c r="N187" s="285" t="s">
        <v>476</v>
      </c>
      <c r="O187" s="285" t="s">
        <v>415</v>
      </c>
      <c r="P187" s="285" t="s">
        <v>418</v>
      </c>
      <c r="Q187" s="285" t="s">
        <v>417</v>
      </c>
    </row>
    <row r="188" ht="14.25" customHeight="1">
      <c r="A188" s="73"/>
      <c r="B188" s="73"/>
      <c r="C188" s="26" t="s">
        <v>419</v>
      </c>
      <c r="D188" s="27" t="s">
        <v>420</v>
      </c>
      <c r="E188" s="26">
        <v>400.0</v>
      </c>
      <c r="F188" s="26">
        <f>E188*7</f>
        <v>2800</v>
      </c>
      <c r="G188" s="27">
        <v>1163.266</v>
      </c>
      <c r="H188" s="26">
        <f>G188+G189+G190</f>
        <v>1753.266</v>
      </c>
      <c r="I188" s="26">
        <f>F188-H188</f>
        <v>1046.734</v>
      </c>
      <c r="K188" s="291" t="s">
        <v>419</v>
      </c>
      <c r="L188" s="292" t="s">
        <v>299</v>
      </c>
      <c r="M188" s="294">
        <v>400.0</v>
      </c>
      <c r="N188" s="294">
        <v>2400.0</v>
      </c>
      <c r="O188" s="295">
        <v>590.0</v>
      </c>
      <c r="P188" s="294">
        <v>1753.266</v>
      </c>
      <c r="Q188" s="305">
        <v>646.7339999999999</v>
      </c>
    </row>
    <row r="189" ht="14.25" customHeight="1">
      <c r="A189" s="73"/>
      <c r="B189" s="73"/>
      <c r="C189" s="44"/>
      <c r="D189" s="27" t="s">
        <v>422</v>
      </c>
      <c r="E189" s="44"/>
      <c r="F189" s="44"/>
      <c r="G189" s="27">
        <v>590.0</v>
      </c>
      <c r="H189" s="44"/>
      <c r="I189" s="44"/>
      <c r="K189" s="298"/>
      <c r="L189" s="292" t="s">
        <v>425</v>
      </c>
      <c r="M189" s="298"/>
      <c r="N189" s="298"/>
      <c r="O189" s="295">
        <v>1163.266</v>
      </c>
      <c r="P189" s="298"/>
      <c r="Q189" s="298"/>
    </row>
    <row r="190" ht="14.25" customHeight="1">
      <c r="A190" s="73"/>
      <c r="B190" s="73"/>
      <c r="C190" s="12"/>
      <c r="D190" s="27" t="s">
        <v>424</v>
      </c>
      <c r="E190" s="12"/>
      <c r="F190" s="12"/>
      <c r="G190" s="27"/>
      <c r="H190" s="12"/>
      <c r="I190" s="12"/>
      <c r="K190" s="301" t="s">
        <v>427</v>
      </c>
      <c r="L190" s="302" t="s">
        <v>478</v>
      </c>
      <c r="M190" s="303"/>
      <c r="N190" s="303"/>
      <c r="O190" s="303">
        <v>100.0</v>
      </c>
      <c r="P190" s="303">
        <v>100.0</v>
      </c>
      <c r="Q190" s="309">
        <v>-100.0</v>
      </c>
    </row>
    <row r="191" ht="14.25" customHeight="1">
      <c r="A191" s="73"/>
      <c r="B191" s="73"/>
      <c r="C191" s="26" t="s">
        <v>230</v>
      </c>
      <c r="D191" s="27" t="s">
        <v>426</v>
      </c>
      <c r="E191" s="26">
        <v>550.0</v>
      </c>
      <c r="F191" s="26">
        <f>E191*7</f>
        <v>3850</v>
      </c>
      <c r="G191" s="27">
        <v>553.0</v>
      </c>
      <c r="H191" s="26">
        <f>G191+G192</f>
        <v>753</v>
      </c>
      <c r="I191" s="26">
        <f>F191-H191</f>
        <v>3097</v>
      </c>
      <c r="K191" s="291" t="s">
        <v>50</v>
      </c>
      <c r="L191" s="292" t="s">
        <v>429</v>
      </c>
      <c r="M191" s="294">
        <v>100.0</v>
      </c>
      <c r="N191" s="294">
        <v>600.0</v>
      </c>
      <c r="O191" s="295">
        <v>450.0</v>
      </c>
      <c r="P191" s="294">
        <v>4379.49</v>
      </c>
      <c r="Q191" s="296">
        <v>-3779.49</v>
      </c>
    </row>
    <row r="192" ht="14.25" customHeight="1">
      <c r="A192" s="73"/>
      <c r="B192" s="73"/>
      <c r="C192" s="12"/>
      <c r="D192" s="27" t="s">
        <v>424</v>
      </c>
      <c r="E192" s="12"/>
      <c r="F192" s="12"/>
      <c r="G192" s="27">
        <v>200.0</v>
      </c>
      <c r="H192" s="12"/>
      <c r="I192" s="12"/>
      <c r="K192" s="297"/>
      <c r="L192" s="292" t="s">
        <v>281</v>
      </c>
      <c r="M192" s="297"/>
      <c r="N192" s="297"/>
      <c r="O192" s="295">
        <v>1774.49</v>
      </c>
      <c r="P192" s="297"/>
      <c r="Q192" s="297"/>
    </row>
    <row r="193" ht="14.25" customHeight="1">
      <c r="A193" s="73"/>
      <c r="B193" s="73"/>
      <c r="C193" s="26" t="s">
        <v>50</v>
      </c>
      <c r="D193" s="27" t="s">
        <v>253</v>
      </c>
      <c r="E193" s="26">
        <v>500.0</v>
      </c>
      <c r="F193" s="26">
        <f>500*7</f>
        <v>3500</v>
      </c>
      <c r="G193" s="27">
        <v>420.0</v>
      </c>
      <c r="H193" s="26">
        <f>G193+G194+G195</f>
        <v>4349.49</v>
      </c>
      <c r="I193" s="308">
        <f>F193-H193</f>
        <v>-849.49</v>
      </c>
      <c r="K193" s="298"/>
      <c r="L193" s="292" t="s">
        <v>433</v>
      </c>
      <c r="M193" s="298"/>
      <c r="N193" s="298"/>
      <c r="O193" s="295">
        <v>2155.0</v>
      </c>
      <c r="P193" s="298"/>
      <c r="Q193" s="298"/>
    </row>
    <row r="194" ht="14.25" customHeight="1">
      <c r="A194" s="73"/>
      <c r="B194" s="73"/>
      <c r="C194" s="44"/>
      <c r="D194" s="27" t="s">
        <v>432</v>
      </c>
      <c r="E194" s="44"/>
      <c r="F194" s="44"/>
      <c r="G194" s="27">
        <v>1774.49</v>
      </c>
      <c r="H194" s="44"/>
      <c r="I194" s="44"/>
      <c r="K194" s="301" t="s">
        <v>436</v>
      </c>
      <c r="L194" s="302" t="s">
        <v>428</v>
      </c>
      <c r="M194" s="303"/>
      <c r="N194" s="303"/>
      <c r="O194" s="303"/>
      <c r="P194" s="303"/>
      <c r="Q194" s="304"/>
    </row>
    <row r="195" ht="14.25" customHeight="1">
      <c r="A195" s="73"/>
      <c r="B195" s="73"/>
      <c r="C195" s="12"/>
      <c r="D195" s="27" t="s">
        <v>435</v>
      </c>
      <c r="E195" s="12"/>
      <c r="F195" s="12"/>
      <c r="G195" s="27">
        <v>2155.0</v>
      </c>
      <c r="H195" s="12"/>
      <c r="I195" s="12"/>
      <c r="K195" s="291" t="s">
        <v>230</v>
      </c>
      <c r="L195" s="292" t="s">
        <v>421</v>
      </c>
      <c r="M195" s="294">
        <v>550.0</v>
      </c>
      <c r="N195" s="294">
        <v>3300.0</v>
      </c>
      <c r="O195" s="295">
        <v>200.0</v>
      </c>
      <c r="P195" s="294">
        <v>753.0</v>
      </c>
      <c r="Q195" s="305">
        <v>2547.0</v>
      </c>
    </row>
    <row r="196" ht="14.25" customHeight="1">
      <c r="A196" s="73"/>
      <c r="B196" s="73"/>
      <c r="C196" s="27" t="s">
        <v>205</v>
      </c>
      <c r="D196" s="27" t="s">
        <v>438</v>
      </c>
      <c r="E196" s="27">
        <v>400.0</v>
      </c>
      <c r="F196" s="27">
        <f t="shared" ref="F196:F197" si="30">400*7</f>
        <v>2800</v>
      </c>
      <c r="G196" s="27">
        <v>2078.0</v>
      </c>
      <c r="H196" s="27">
        <f t="shared" ref="H196:H198" si="31">G196</f>
        <v>2078</v>
      </c>
      <c r="I196" s="27">
        <f t="shared" ref="I196:I197" si="32">F196-H196</f>
        <v>722</v>
      </c>
      <c r="K196" s="298"/>
      <c r="L196" s="292" t="s">
        <v>444</v>
      </c>
      <c r="M196" s="298"/>
      <c r="N196" s="298"/>
      <c r="O196" s="295">
        <v>553.0</v>
      </c>
      <c r="P196" s="298"/>
      <c r="Q196" s="298"/>
    </row>
    <row r="197" ht="14.25" customHeight="1">
      <c r="A197" s="73"/>
      <c r="B197" s="73"/>
      <c r="C197" s="27" t="s">
        <v>441</v>
      </c>
      <c r="D197" s="27" t="s">
        <v>442</v>
      </c>
      <c r="E197" s="27">
        <v>400.0</v>
      </c>
      <c r="F197" s="27">
        <f t="shared" si="30"/>
        <v>2800</v>
      </c>
      <c r="G197" s="27">
        <v>2657.0</v>
      </c>
      <c r="H197" s="27">
        <f t="shared" si="31"/>
        <v>2657</v>
      </c>
      <c r="I197" s="27">
        <f t="shared" si="32"/>
        <v>143</v>
      </c>
      <c r="K197" s="301" t="s">
        <v>441</v>
      </c>
      <c r="L197" s="302" t="s">
        <v>450</v>
      </c>
      <c r="M197" s="303">
        <v>400.0</v>
      </c>
      <c r="N197" s="303">
        <v>2400.0</v>
      </c>
      <c r="O197" s="303">
        <v>2657.0</v>
      </c>
      <c r="P197" s="303">
        <v>2657.0</v>
      </c>
      <c r="Q197" s="309">
        <v>-257.0</v>
      </c>
    </row>
    <row r="198" ht="14.25" customHeight="1">
      <c r="A198" s="73"/>
      <c r="B198" s="73"/>
      <c r="C198" s="27" t="s">
        <v>449</v>
      </c>
      <c r="D198" s="27" t="s">
        <v>257</v>
      </c>
      <c r="E198" s="27"/>
      <c r="F198" s="28"/>
      <c r="G198" s="27">
        <v>339.0</v>
      </c>
      <c r="H198" s="27">
        <f t="shared" si="31"/>
        <v>339</v>
      </c>
      <c r="I198" s="27"/>
      <c r="K198" s="301" t="s">
        <v>205</v>
      </c>
      <c r="L198" s="292" t="s">
        <v>452</v>
      </c>
      <c r="M198" s="295">
        <v>500.0</v>
      </c>
      <c r="N198" s="295">
        <v>3000.0</v>
      </c>
      <c r="O198" s="295">
        <v>2078.0</v>
      </c>
      <c r="P198" s="295">
        <v>2078.0</v>
      </c>
      <c r="Q198" s="304">
        <v>922.0</v>
      </c>
    </row>
    <row r="199" ht="14.25" customHeight="1">
      <c r="A199" s="73"/>
      <c r="B199" s="73"/>
      <c r="C199" s="27"/>
      <c r="D199" s="27" t="s">
        <v>451</v>
      </c>
      <c r="E199" s="27"/>
      <c r="F199" s="28"/>
      <c r="G199" s="27">
        <v>30.0</v>
      </c>
      <c r="H199" s="27">
        <v>30.0</v>
      </c>
      <c r="I199" s="27"/>
      <c r="K199" s="301" t="s">
        <v>449</v>
      </c>
      <c r="L199" s="292" t="s">
        <v>454</v>
      </c>
      <c r="M199" s="295"/>
      <c r="N199" s="295"/>
      <c r="O199" s="295">
        <v>339.0</v>
      </c>
      <c r="P199" s="295">
        <v>339.0</v>
      </c>
      <c r="Q199" s="309">
        <v>-339.0</v>
      </c>
    </row>
    <row r="200" ht="14.25" customHeight="1">
      <c r="A200" s="73"/>
      <c r="B200" s="73"/>
      <c r="C200" s="27"/>
      <c r="D200" s="27" t="s">
        <v>431</v>
      </c>
      <c r="E200" s="27"/>
      <c r="F200" s="28"/>
      <c r="G200" s="27"/>
      <c r="H200" s="27"/>
      <c r="I200" s="27"/>
      <c r="K200" s="314" t="s">
        <v>456</v>
      </c>
      <c r="L200" s="283"/>
      <c r="M200" s="315"/>
      <c r="N200" s="316">
        <v>11700.0</v>
      </c>
      <c r="O200" s="316">
        <v>12059.76</v>
      </c>
      <c r="P200" s="316">
        <v>12059.76</v>
      </c>
      <c r="Q200" s="316">
        <v>-359.76</v>
      </c>
    </row>
    <row r="201" ht="14.25" customHeight="1">
      <c r="A201" s="73"/>
      <c r="B201" s="73"/>
      <c r="C201" s="27"/>
      <c r="D201" s="27"/>
      <c r="E201" s="27"/>
      <c r="F201" s="28"/>
      <c r="G201" s="85"/>
      <c r="H201" s="85"/>
      <c r="I201" s="85"/>
    </row>
    <row r="202" ht="14.25" customHeight="1">
      <c r="A202" s="73"/>
      <c r="B202" s="73"/>
      <c r="C202" s="317" t="s">
        <v>456</v>
      </c>
      <c r="D202" s="3"/>
      <c r="E202" s="27"/>
      <c r="F202" s="318">
        <f t="shared" ref="F202:G202" si="33">SUM(F188:F201)</f>
        <v>15750</v>
      </c>
      <c r="G202" s="319">
        <f t="shared" si="33"/>
        <v>11959.756</v>
      </c>
      <c r="H202" s="102">
        <f>SUM(H188:H200)</f>
        <v>11959.756</v>
      </c>
      <c r="I202" s="85"/>
      <c r="K202" s="34">
        <f>SUM(K188:K201)</f>
        <v>0</v>
      </c>
    </row>
    <row r="203" ht="14.25" customHeight="1">
      <c r="A203" s="73"/>
      <c r="B203" s="73"/>
      <c r="C203" s="73"/>
      <c r="D203" s="73"/>
      <c r="E203" s="73"/>
      <c r="F203" s="72"/>
    </row>
    <row r="204" ht="14.25" customHeight="1">
      <c r="A204" s="73"/>
      <c r="B204" s="73"/>
      <c r="C204" s="73"/>
      <c r="D204" s="73"/>
      <c r="E204" s="73"/>
      <c r="F204" s="72"/>
    </row>
    <row r="205" ht="14.25" customHeight="1">
      <c r="A205" s="73"/>
      <c r="B205" s="73"/>
      <c r="C205" s="73"/>
      <c r="D205" s="73"/>
      <c r="E205" s="73"/>
      <c r="F205" s="72"/>
    </row>
    <row r="206" ht="14.25" customHeight="1">
      <c r="A206" s="73"/>
      <c r="B206" s="73"/>
      <c r="C206" s="73"/>
      <c r="D206" s="73"/>
      <c r="E206" s="73"/>
      <c r="F206" s="72"/>
    </row>
    <row r="207" ht="14.25" customHeight="1">
      <c r="A207" s="73"/>
      <c r="B207" s="73"/>
      <c r="C207" s="73"/>
      <c r="D207" s="73"/>
      <c r="E207" s="73"/>
      <c r="F207" s="72"/>
      <c r="I207" s="34">
        <v>11975.79</v>
      </c>
    </row>
    <row r="208" ht="14.25" customHeight="1">
      <c r="A208" s="73"/>
      <c r="B208" s="73"/>
      <c r="C208" s="73"/>
      <c r="D208" s="73"/>
      <c r="E208" s="73"/>
      <c r="F208" s="72"/>
    </row>
    <row r="209" ht="14.25" customHeight="1">
      <c r="A209" s="73"/>
      <c r="B209" s="73"/>
      <c r="C209" s="73"/>
      <c r="D209" s="73"/>
      <c r="E209" s="73"/>
      <c r="F209" s="72"/>
    </row>
    <row r="210" ht="14.25" customHeight="1">
      <c r="A210" s="73"/>
      <c r="B210" s="73"/>
      <c r="C210" s="73"/>
      <c r="D210" s="73"/>
      <c r="E210" s="73"/>
      <c r="F210" s="72"/>
    </row>
    <row r="211" ht="14.25" customHeight="1">
      <c r="A211" s="73"/>
      <c r="B211" s="73"/>
      <c r="C211" s="73"/>
      <c r="D211" s="73"/>
      <c r="E211" s="73"/>
      <c r="F211" s="72"/>
    </row>
    <row r="212" ht="14.25" customHeight="1">
      <c r="A212" s="73"/>
      <c r="B212" s="73"/>
      <c r="C212" s="73"/>
      <c r="D212" s="73"/>
      <c r="E212" s="73"/>
      <c r="F212" s="72"/>
    </row>
    <row r="213" ht="14.25" customHeight="1">
      <c r="A213" s="73"/>
      <c r="B213" s="73"/>
      <c r="C213" s="73"/>
      <c r="D213" s="73"/>
      <c r="E213" s="73"/>
      <c r="F213" s="72"/>
    </row>
    <row r="214" ht="14.25" customHeight="1">
      <c r="A214" s="73"/>
      <c r="B214" s="73"/>
      <c r="C214" s="73"/>
      <c r="D214" s="73"/>
      <c r="E214" s="73"/>
      <c r="F214" s="334" t="s">
        <v>483</v>
      </c>
      <c r="G214" s="3"/>
      <c r="I214" s="284" t="s">
        <v>484</v>
      </c>
      <c r="J214" s="25" t="s">
        <v>485</v>
      </c>
    </row>
    <row r="215" ht="14.25" customHeight="1">
      <c r="A215" s="73"/>
      <c r="B215" s="73"/>
      <c r="C215" s="73"/>
      <c r="D215" s="73"/>
      <c r="E215" s="73"/>
      <c r="F215" s="85">
        <v>1468.0</v>
      </c>
      <c r="G215" s="26">
        <f>F215+F217</f>
        <v>1468</v>
      </c>
      <c r="I215" s="26">
        <v>1953.27</v>
      </c>
      <c r="J215" s="26">
        <f>F188-I215</f>
        <v>846.73</v>
      </c>
    </row>
    <row r="216" ht="14.25" customHeight="1">
      <c r="A216" s="73"/>
      <c r="B216" s="73"/>
      <c r="C216" s="73"/>
      <c r="D216" s="73"/>
      <c r="E216" s="73"/>
      <c r="F216" s="85"/>
      <c r="G216" s="44"/>
      <c r="I216" s="44"/>
      <c r="J216" s="44"/>
    </row>
    <row r="217" ht="14.25" customHeight="1">
      <c r="A217" s="73"/>
      <c r="B217" s="73"/>
      <c r="C217" s="73"/>
      <c r="D217" s="73"/>
      <c r="E217" s="73"/>
      <c r="F217" s="85"/>
      <c r="G217" s="12"/>
      <c r="I217" s="12"/>
      <c r="J217" s="12"/>
    </row>
    <row r="218" ht="14.25" customHeight="1">
      <c r="A218" s="73"/>
      <c r="B218" s="73"/>
      <c r="C218" s="73"/>
      <c r="D218" s="73"/>
      <c r="E218" s="73"/>
      <c r="F218" s="85">
        <v>1415.0</v>
      </c>
      <c r="G218" s="85"/>
      <c r="I218" s="26">
        <v>1615.0</v>
      </c>
      <c r="J218" s="85"/>
    </row>
    <row r="219" ht="14.25" customHeight="1">
      <c r="A219" s="73"/>
      <c r="B219" s="73"/>
      <c r="C219" s="73"/>
      <c r="D219" s="73"/>
      <c r="E219" s="73"/>
      <c r="F219" s="85">
        <v>200.0</v>
      </c>
      <c r="G219" s="85"/>
      <c r="I219" s="12"/>
      <c r="J219" s="85"/>
    </row>
    <row r="220" ht="14.25" customHeight="1">
      <c r="A220" s="73"/>
      <c r="B220" s="73"/>
      <c r="C220" s="73"/>
      <c r="D220" s="73"/>
      <c r="E220" s="73"/>
      <c r="F220" s="85">
        <v>1085.0</v>
      </c>
      <c r="G220" s="131">
        <f>F220+F221+F222</f>
        <v>2860</v>
      </c>
      <c r="I220" s="26">
        <v>4349.49</v>
      </c>
      <c r="J220" s="308">
        <f>F193-I220</f>
        <v>-849.49</v>
      </c>
    </row>
    <row r="221" ht="14.25" customHeight="1">
      <c r="A221" s="73"/>
      <c r="B221" s="73"/>
      <c r="C221" s="73"/>
      <c r="D221" s="73"/>
      <c r="E221" s="73"/>
      <c r="F221" s="85">
        <v>1680.0</v>
      </c>
      <c r="G221" s="44"/>
      <c r="I221" s="44"/>
      <c r="J221" s="44"/>
    </row>
    <row r="222" ht="14.25" customHeight="1">
      <c r="A222" s="73"/>
      <c r="B222" s="73"/>
      <c r="C222" s="73"/>
      <c r="D222" s="73"/>
      <c r="E222" s="73"/>
      <c r="F222" s="85">
        <v>95.0</v>
      </c>
      <c r="G222" s="12"/>
      <c r="I222" s="12"/>
      <c r="J222" s="12"/>
    </row>
    <row r="223" ht="14.25" customHeight="1">
      <c r="A223" s="73"/>
      <c r="B223" s="73"/>
      <c r="C223" s="73"/>
      <c r="D223" s="73"/>
      <c r="E223" s="73"/>
      <c r="F223" s="85">
        <v>2100.0</v>
      </c>
      <c r="G223" s="85"/>
      <c r="I223" s="39">
        <v>2078.0</v>
      </c>
      <c r="J223" s="27">
        <f t="shared" ref="J223:J224" si="34">F196-I223</f>
        <v>722</v>
      </c>
    </row>
    <row r="224" ht="14.25" customHeight="1">
      <c r="A224" s="73"/>
      <c r="B224" s="73"/>
      <c r="C224" s="73"/>
      <c r="D224" s="73"/>
      <c r="E224" s="73"/>
      <c r="F224" s="85">
        <v>2500.0</v>
      </c>
      <c r="G224" s="85"/>
      <c r="I224" s="39">
        <v>2657.0</v>
      </c>
      <c r="J224" s="27">
        <f t="shared" si="34"/>
        <v>143</v>
      </c>
    </row>
    <row r="225" ht="14.25" customHeight="1">
      <c r="A225" s="73"/>
      <c r="B225" s="73"/>
      <c r="C225" s="73"/>
      <c r="D225" s="73"/>
      <c r="E225" s="73"/>
      <c r="F225" s="85">
        <v>633.0</v>
      </c>
      <c r="G225" s="85"/>
      <c r="I225" s="39">
        <v>339.0</v>
      </c>
      <c r="J225" s="85"/>
    </row>
    <row r="226" ht="14.25" customHeight="1">
      <c r="A226" s="73"/>
      <c r="B226" s="73"/>
      <c r="C226" s="73"/>
      <c r="D226" s="73"/>
      <c r="E226" s="73"/>
      <c r="F226" s="85">
        <v>30.0</v>
      </c>
      <c r="G226" s="85"/>
      <c r="I226" s="39">
        <v>30.0</v>
      </c>
      <c r="J226" s="85"/>
    </row>
    <row r="227" ht="14.25" customHeight="1">
      <c r="A227" s="73"/>
      <c r="B227" s="73"/>
      <c r="C227" s="73"/>
      <c r="D227" s="73"/>
      <c r="E227" s="73"/>
      <c r="F227" s="335">
        <v>100.0</v>
      </c>
      <c r="I227" s="336">
        <v>100.0</v>
      </c>
    </row>
    <row r="228" ht="14.25" customHeight="1">
      <c r="A228" s="73"/>
      <c r="B228" s="73"/>
      <c r="C228" s="73"/>
      <c r="D228" s="73"/>
      <c r="E228" s="73"/>
      <c r="F228" s="72"/>
    </row>
    <row r="229" ht="14.25" customHeight="1">
      <c r="A229" s="73"/>
      <c r="B229" s="73"/>
      <c r="C229" s="73"/>
      <c r="D229" s="73"/>
      <c r="E229" s="73"/>
      <c r="F229" s="72"/>
    </row>
    <row r="230" ht="14.25" customHeight="1">
      <c r="A230" s="73"/>
      <c r="B230" s="73"/>
      <c r="C230" s="73"/>
      <c r="D230" s="73"/>
      <c r="E230" s="73"/>
      <c r="F230" s="72"/>
    </row>
    <row r="231" ht="14.25" customHeight="1">
      <c r="A231" s="73"/>
      <c r="B231" s="169" t="s">
        <v>489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3"/>
    </row>
    <row r="232" ht="14.25" customHeight="1">
      <c r="A232" s="73"/>
      <c r="B232" s="170">
        <v>46209.0</v>
      </c>
      <c r="C232" s="5"/>
      <c r="D232" s="170">
        <v>46210.0</v>
      </c>
      <c r="E232" s="5"/>
      <c r="F232" s="170">
        <v>46211.0</v>
      </c>
      <c r="G232" s="5"/>
      <c r="H232" s="170">
        <v>46212.0</v>
      </c>
      <c r="I232" s="5"/>
      <c r="J232" s="170">
        <v>46366.0</v>
      </c>
      <c r="K232" s="5"/>
      <c r="L232" s="170">
        <v>46214.0</v>
      </c>
      <c r="M232" s="5"/>
      <c r="N232" s="170">
        <v>46215.0</v>
      </c>
      <c r="O232" s="5"/>
      <c r="P232" s="84" t="s">
        <v>326</v>
      </c>
    </row>
    <row r="233" ht="14.25" customHeight="1">
      <c r="A233" s="73"/>
      <c r="B233" s="10"/>
      <c r="C233" s="11"/>
      <c r="D233" s="10"/>
      <c r="E233" s="11"/>
      <c r="F233" s="10"/>
      <c r="G233" s="11"/>
      <c r="H233" s="10"/>
      <c r="I233" s="11"/>
      <c r="J233" s="10"/>
      <c r="K233" s="11"/>
      <c r="L233" s="10"/>
      <c r="M233" s="11"/>
      <c r="N233" s="10"/>
      <c r="O233" s="11"/>
      <c r="P233" s="44"/>
    </row>
    <row r="234" ht="14.25" customHeight="1">
      <c r="A234" s="73"/>
      <c r="B234" s="85" t="s">
        <v>322</v>
      </c>
      <c r="C234" s="85" t="s">
        <v>332</v>
      </c>
      <c r="D234" s="85" t="s">
        <v>322</v>
      </c>
      <c r="E234" s="85" t="s">
        <v>332</v>
      </c>
      <c r="F234" s="85" t="s">
        <v>322</v>
      </c>
      <c r="G234" s="85" t="s">
        <v>332</v>
      </c>
      <c r="H234" s="85" t="s">
        <v>322</v>
      </c>
      <c r="I234" s="85" t="s">
        <v>332</v>
      </c>
      <c r="J234" s="85" t="s">
        <v>322</v>
      </c>
      <c r="K234" s="85" t="s">
        <v>332</v>
      </c>
      <c r="L234" s="85" t="s">
        <v>322</v>
      </c>
      <c r="M234" s="85" t="s">
        <v>332</v>
      </c>
      <c r="N234" s="85" t="s">
        <v>322</v>
      </c>
      <c r="O234" s="85" t="s">
        <v>332</v>
      </c>
      <c r="P234" s="44"/>
    </row>
    <row r="235" ht="14.25" customHeight="1">
      <c r="A235" s="73"/>
      <c r="B235" s="58">
        <v>400.0</v>
      </c>
      <c r="C235" s="59" t="s">
        <v>80</v>
      </c>
      <c r="D235" s="58">
        <v>1000.0</v>
      </c>
      <c r="E235" s="342" t="s">
        <v>151</v>
      </c>
      <c r="F235" s="58">
        <v>788.0</v>
      </c>
      <c r="G235" s="23" t="s">
        <v>84</v>
      </c>
      <c r="H235" s="58">
        <v>1000.0</v>
      </c>
      <c r="I235" s="83" t="s">
        <v>153</v>
      </c>
      <c r="J235" s="58">
        <v>800.0</v>
      </c>
      <c r="K235" s="23" t="s">
        <v>86</v>
      </c>
      <c r="L235" s="58">
        <v>500.0</v>
      </c>
      <c r="M235" s="23" t="s">
        <v>112</v>
      </c>
      <c r="N235" s="85"/>
      <c r="O235" s="85"/>
      <c r="P235" s="44"/>
    </row>
    <row r="236" ht="14.25" customHeight="1">
      <c r="A236" s="73"/>
      <c r="B236" s="58">
        <v>1712.0</v>
      </c>
      <c r="C236" s="12"/>
      <c r="D236" s="58">
        <v>1000.0</v>
      </c>
      <c r="E236" s="44"/>
      <c r="F236" s="58">
        <v>2500.11</v>
      </c>
      <c r="G236" s="23" t="s">
        <v>91</v>
      </c>
      <c r="H236" s="85"/>
      <c r="I236" s="85"/>
      <c r="J236" s="58">
        <v>800.0</v>
      </c>
      <c r="K236" s="23" t="s">
        <v>161</v>
      </c>
      <c r="L236" s="58">
        <v>800.0</v>
      </c>
      <c r="M236" s="123" t="s">
        <v>121</v>
      </c>
      <c r="N236" s="85"/>
      <c r="O236" s="85"/>
      <c r="P236" s="44"/>
    </row>
    <row r="237" ht="14.25" customHeight="1">
      <c r="A237" s="73"/>
      <c r="B237" s="58">
        <v>1200.0</v>
      </c>
      <c r="C237" s="23" t="s">
        <v>150</v>
      </c>
      <c r="D237" s="58">
        <v>1000.0</v>
      </c>
      <c r="E237" s="12"/>
      <c r="F237" s="58">
        <v>1000.0</v>
      </c>
      <c r="G237" s="23" t="s">
        <v>123</v>
      </c>
      <c r="H237" s="85"/>
      <c r="I237" s="85"/>
      <c r="J237" s="85"/>
      <c r="K237" s="85"/>
      <c r="L237" s="58">
        <v>1000.0</v>
      </c>
      <c r="M237" s="23" t="s">
        <v>128</v>
      </c>
      <c r="N237" s="85"/>
      <c r="O237" s="85"/>
      <c r="P237" s="44"/>
    </row>
    <row r="238" ht="14.25" customHeight="1">
      <c r="A238" s="73"/>
      <c r="B238" s="85"/>
      <c r="C238" s="85"/>
      <c r="D238" s="85"/>
      <c r="E238" s="85"/>
      <c r="F238" s="58">
        <v>800.0</v>
      </c>
      <c r="G238" s="23" t="s">
        <v>152</v>
      </c>
      <c r="H238" s="85"/>
      <c r="I238" s="85"/>
      <c r="J238" s="85"/>
      <c r="K238" s="85"/>
      <c r="L238" s="24">
        <v>500.0</v>
      </c>
      <c r="M238" s="23" t="s">
        <v>181</v>
      </c>
      <c r="N238" s="85"/>
      <c r="O238" s="85"/>
      <c r="P238" s="12"/>
    </row>
    <row r="239" ht="14.25" customHeight="1">
      <c r="A239" s="73"/>
      <c r="B239" s="191">
        <f>SUM(B235:B238)</f>
        <v>3312</v>
      </c>
      <c r="C239" s="193"/>
      <c r="D239" s="191">
        <f>SUM(D235:D238)</f>
        <v>3000</v>
      </c>
      <c r="E239" s="193"/>
      <c r="F239" s="191">
        <f>SUM(F235:F238)</f>
        <v>5088.11</v>
      </c>
      <c r="G239" s="193"/>
      <c r="H239" s="191">
        <f>SUM(H235:H238)</f>
        <v>1000</v>
      </c>
      <c r="I239" s="193"/>
      <c r="J239" s="191">
        <f>SUM(J235:J238)</f>
        <v>1600</v>
      </c>
      <c r="K239" s="193"/>
      <c r="L239" s="191">
        <f>SUM(L235:L238)</f>
        <v>2800</v>
      </c>
      <c r="M239" s="201"/>
      <c r="N239" s="201"/>
      <c r="O239" s="201"/>
      <c r="P239" s="158">
        <f>SUM(B239:O239)</f>
        <v>16800.11</v>
      </c>
    </row>
    <row r="240" ht="14.25" customHeight="1">
      <c r="A240" s="73"/>
      <c r="B240" s="73"/>
      <c r="C240" s="73"/>
      <c r="D240" s="73"/>
      <c r="E240" s="73"/>
      <c r="F240" s="72"/>
    </row>
    <row r="241" ht="14.25" customHeight="1">
      <c r="A241" s="73"/>
      <c r="B241" s="73"/>
      <c r="C241" s="73"/>
      <c r="D241" s="73"/>
      <c r="E241" s="73"/>
      <c r="F241" s="72"/>
    </row>
    <row r="242" ht="14.25" customHeight="1">
      <c r="A242" s="73"/>
      <c r="B242" s="73"/>
      <c r="C242" s="73"/>
      <c r="D242" s="73"/>
      <c r="E242" s="73"/>
      <c r="F242" s="72"/>
    </row>
    <row r="243" ht="14.25" customHeight="1">
      <c r="A243" s="73"/>
      <c r="B243" s="73"/>
      <c r="C243" s="73"/>
      <c r="D243" s="73"/>
      <c r="E243" s="73"/>
      <c r="F243" s="72"/>
    </row>
    <row r="244" ht="14.25" customHeight="1">
      <c r="A244" s="73"/>
      <c r="B244" s="73"/>
      <c r="C244" s="73"/>
      <c r="D244" s="73"/>
      <c r="E244" s="73"/>
      <c r="F244" s="72"/>
    </row>
    <row r="245" ht="14.25" customHeight="1">
      <c r="A245" s="73"/>
      <c r="B245" s="73"/>
      <c r="C245" s="73"/>
      <c r="D245" s="73"/>
      <c r="E245" s="73"/>
      <c r="F245" s="72"/>
    </row>
    <row r="246" ht="14.25" customHeight="1">
      <c r="A246" s="73"/>
      <c r="B246" s="73"/>
      <c r="C246" s="73"/>
      <c r="D246" s="73"/>
      <c r="E246" s="73"/>
      <c r="F246" s="72"/>
    </row>
    <row r="247" ht="14.25" customHeight="1">
      <c r="A247" s="73"/>
      <c r="B247" s="73"/>
      <c r="C247" s="73"/>
      <c r="D247" s="73"/>
      <c r="E247" s="73"/>
      <c r="F247" s="72"/>
    </row>
    <row r="248" ht="14.25" customHeight="1">
      <c r="A248" s="73"/>
      <c r="B248" s="73"/>
      <c r="C248" s="73"/>
      <c r="D248" s="73"/>
      <c r="E248" s="73"/>
      <c r="F248" s="72"/>
    </row>
    <row r="249" ht="14.25" customHeight="1">
      <c r="A249" s="73"/>
      <c r="B249" s="73"/>
      <c r="C249" s="73"/>
      <c r="D249" s="73"/>
      <c r="E249" s="73"/>
      <c r="F249" s="72"/>
    </row>
    <row r="250" ht="14.25" customHeight="1">
      <c r="A250" s="73"/>
      <c r="B250" s="73"/>
      <c r="C250" s="73"/>
      <c r="D250" s="73"/>
      <c r="E250" s="73"/>
      <c r="F250" s="72"/>
    </row>
    <row r="251" ht="14.25" customHeight="1">
      <c r="A251" s="73"/>
      <c r="B251" s="73"/>
      <c r="C251" s="73"/>
      <c r="D251" s="73"/>
      <c r="E251" s="73"/>
      <c r="F251" s="72"/>
    </row>
    <row r="252" ht="14.25" customHeight="1">
      <c r="A252" s="73"/>
      <c r="B252" s="26"/>
      <c r="C252" s="26"/>
      <c r="D252" s="26"/>
      <c r="E252" s="26"/>
      <c r="F252" s="26"/>
      <c r="G252" s="161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158">
        <f>Hoja4!P21+Hoja4!N21+Hoja4!L21+Hoja4!J21+Hoja4!H21+Hoja4!F21</f>
        <v>296357.4</v>
      </c>
      <c r="U252" s="85"/>
      <c r="V252" s="85"/>
      <c r="W252" s="85"/>
    </row>
    <row r="253" ht="14.25" customHeight="1">
      <c r="A253" s="73"/>
      <c r="B253" s="73"/>
      <c r="C253" s="73"/>
      <c r="D253" s="73"/>
      <c r="E253" s="73"/>
      <c r="F253" s="72"/>
    </row>
    <row r="254" ht="14.25" customHeight="1">
      <c r="A254" s="73"/>
      <c r="B254" s="73"/>
      <c r="C254" s="73"/>
      <c r="D254" s="73"/>
      <c r="E254" s="73"/>
      <c r="F254" s="72"/>
    </row>
    <row r="255" ht="14.25" customHeight="1">
      <c r="A255" s="73"/>
      <c r="B255" s="73"/>
      <c r="C255" s="73"/>
      <c r="D255" s="73"/>
      <c r="E255" s="73"/>
      <c r="F255" s="72"/>
    </row>
    <row r="256" ht="14.25" customHeight="1">
      <c r="A256" s="73"/>
      <c r="B256" s="73"/>
      <c r="C256" s="73"/>
      <c r="D256" s="73"/>
      <c r="E256" s="73"/>
      <c r="F256" s="72"/>
    </row>
    <row r="257" ht="14.25" customHeight="1">
      <c r="A257" s="73"/>
      <c r="B257" s="73"/>
      <c r="C257" s="73"/>
      <c r="D257" s="73"/>
      <c r="E257" s="73"/>
      <c r="F257" s="72"/>
    </row>
    <row r="258" ht="14.25" customHeight="1">
      <c r="A258" s="73"/>
      <c r="B258" s="73"/>
      <c r="C258" s="73"/>
      <c r="D258" s="73"/>
      <c r="E258" s="73"/>
      <c r="F258" s="72"/>
    </row>
    <row r="259" ht="14.25" customHeight="1">
      <c r="A259" s="73"/>
      <c r="B259" s="73"/>
      <c r="C259" s="73"/>
      <c r="D259" s="73"/>
      <c r="E259" s="73"/>
      <c r="F259" s="72"/>
    </row>
    <row r="260" ht="14.25" customHeight="1">
      <c r="A260" s="73"/>
      <c r="B260" s="73"/>
      <c r="C260" s="73"/>
      <c r="D260" s="73"/>
      <c r="E260" s="73"/>
      <c r="F260" s="72"/>
    </row>
    <row r="261" ht="14.25" customHeight="1">
      <c r="A261" s="73"/>
      <c r="B261" s="73"/>
      <c r="C261" s="73"/>
      <c r="D261" s="73"/>
      <c r="E261" s="73"/>
      <c r="F261" s="72"/>
    </row>
    <row r="262" ht="14.25" customHeight="1">
      <c r="A262" s="73"/>
      <c r="B262" s="73"/>
      <c r="C262" s="73"/>
      <c r="D262" s="73"/>
      <c r="E262" s="73"/>
      <c r="F262" s="72"/>
    </row>
    <row r="263" ht="14.25" customHeight="1">
      <c r="A263" s="73"/>
      <c r="B263" s="73"/>
      <c r="C263" s="73"/>
      <c r="D263" s="73"/>
      <c r="E263" s="73"/>
      <c r="F263" s="72"/>
    </row>
    <row r="264" ht="14.25" customHeight="1">
      <c r="A264" s="73"/>
      <c r="B264" s="73"/>
      <c r="C264" s="73"/>
      <c r="D264" s="73"/>
      <c r="E264" s="73"/>
      <c r="F264" s="72"/>
    </row>
    <row r="265" ht="14.25" customHeight="1">
      <c r="A265" s="73"/>
      <c r="B265" s="73"/>
      <c r="C265" s="73"/>
      <c r="D265" s="73"/>
      <c r="E265" s="73"/>
      <c r="F265" s="72"/>
    </row>
    <row r="266" ht="14.25" customHeight="1">
      <c r="A266" s="73"/>
      <c r="B266" s="73"/>
      <c r="C266" s="73"/>
      <c r="D266" s="73"/>
      <c r="E266" s="73"/>
      <c r="F266" s="72"/>
    </row>
    <row r="267" ht="14.25" customHeight="1">
      <c r="A267" s="73"/>
      <c r="B267" s="73"/>
      <c r="C267" s="73"/>
      <c r="D267" s="73"/>
      <c r="E267" s="73"/>
      <c r="F267" s="72"/>
    </row>
    <row r="268" ht="14.25" customHeight="1">
      <c r="A268" s="73"/>
      <c r="B268" s="73"/>
      <c r="C268" s="73"/>
      <c r="D268" s="73"/>
      <c r="E268" s="73"/>
      <c r="F268" s="72"/>
    </row>
    <row r="269" ht="14.25" customHeight="1">
      <c r="A269" s="73"/>
      <c r="B269" s="73"/>
      <c r="C269" s="73"/>
      <c r="D269" s="73"/>
      <c r="E269" s="73"/>
      <c r="F269" s="72"/>
    </row>
    <row r="270" ht="14.25" customHeight="1">
      <c r="A270" s="73"/>
      <c r="B270" s="73"/>
      <c r="C270" s="73"/>
      <c r="D270" s="73"/>
      <c r="E270" s="73"/>
      <c r="F270" s="72"/>
    </row>
    <row r="271" ht="14.25" customHeight="1">
      <c r="A271" s="73"/>
      <c r="B271" s="73"/>
      <c r="C271" s="73"/>
      <c r="D271" s="73"/>
      <c r="E271" s="73"/>
      <c r="F271" s="72"/>
    </row>
    <row r="272" ht="14.25" customHeight="1">
      <c r="A272" s="73"/>
      <c r="B272" s="73"/>
      <c r="C272" s="73"/>
      <c r="D272" s="73"/>
      <c r="E272" s="73"/>
      <c r="F272" s="72"/>
    </row>
    <row r="273" ht="14.25" customHeight="1">
      <c r="A273" s="73"/>
      <c r="B273" s="73"/>
      <c r="C273" s="73"/>
      <c r="D273" s="73"/>
      <c r="E273" s="73"/>
      <c r="F273" s="72"/>
    </row>
    <row r="274" ht="14.25" customHeight="1">
      <c r="A274" s="73"/>
      <c r="B274" s="73"/>
      <c r="C274" s="73"/>
      <c r="D274" s="73"/>
      <c r="E274" s="73"/>
      <c r="F274" s="72"/>
    </row>
    <row r="275" ht="14.25" customHeight="1">
      <c r="A275" s="73"/>
      <c r="B275" s="73"/>
      <c r="C275" s="73"/>
      <c r="D275" s="73"/>
      <c r="E275" s="73"/>
      <c r="F275" s="72"/>
    </row>
    <row r="276" ht="14.25" customHeight="1">
      <c r="A276" s="73"/>
      <c r="B276" s="73"/>
      <c r="C276" s="73"/>
      <c r="D276" s="73"/>
      <c r="E276" s="73"/>
      <c r="F276" s="72"/>
    </row>
    <row r="277" ht="14.25" customHeight="1">
      <c r="A277" s="73"/>
      <c r="B277" s="73"/>
      <c r="C277" s="73"/>
      <c r="D277" s="73"/>
      <c r="E277" s="73"/>
      <c r="F277" s="72"/>
    </row>
    <row r="278" ht="14.25" customHeight="1">
      <c r="A278" s="73"/>
      <c r="B278" s="73"/>
      <c r="C278" s="73"/>
      <c r="D278" s="73"/>
      <c r="E278" s="73"/>
      <c r="F278" s="72"/>
    </row>
    <row r="279" ht="14.25" customHeight="1">
      <c r="A279" s="73"/>
      <c r="B279" s="73"/>
      <c r="C279" s="73"/>
      <c r="D279" s="73"/>
      <c r="E279" s="73"/>
      <c r="F279" s="72"/>
    </row>
    <row r="280" ht="14.25" customHeight="1">
      <c r="A280" s="73"/>
      <c r="B280" s="73"/>
      <c r="C280" s="73"/>
      <c r="D280" s="73"/>
      <c r="E280" s="73"/>
      <c r="F280" s="72"/>
    </row>
    <row r="281" ht="14.25" customHeight="1">
      <c r="A281" s="73"/>
      <c r="B281" s="73"/>
      <c r="C281" s="73"/>
      <c r="D281" s="73"/>
      <c r="E281" s="73"/>
      <c r="F281" s="72"/>
    </row>
    <row r="282" ht="14.25" customHeight="1">
      <c r="A282" s="73"/>
      <c r="B282" s="73"/>
      <c r="C282" s="73"/>
      <c r="D282" s="73"/>
      <c r="E282" s="73"/>
      <c r="F282" s="72"/>
    </row>
    <row r="283" ht="14.25" customHeight="1">
      <c r="A283" s="73"/>
      <c r="B283" s="73"/>
      <c r="C283" s="73"/>
      <c r="D283" s="73"/>
      <c r="E283" s="73"/>
      <c r="F283" s="72"/>
    </row>
    <row r="284" ht="14.25" customHeight="1">
      <c r="A284" s="73"/>
      <c r="B284" s="73"/>
      <c r="C284" s="73"/>
      <c r="D284" s="73"/>
      <c r="E284" s="73"/>
      <c r="F284" s="72"/>
    </row>
    <row r="285" ht="14.25" customHeight="1">
      <c r="A285" s="73"/>
      <c r="B285" s="73"/>
      <c r="C285" s="73"/>
      <c r="D285" s="73"/>
      <c r="E285" s="73"/>
      <c r="F285" s="72"/>
    </row>
    <row r="286" ht="14.25" customHeight="1">
      <c r="A286" s="73"/>
      <c r="B286" s="73"/>
      <c r="C286" s="73"/>
      <c r="D286" s="73"/>
      <c r="E286" s="73"/>
      <c r="F286" s="72"/>
    </row>
    <row r="287" ht="14.25" customHeight="1">
      <c r="A287" s="73"/>
      <c r="B287" s="73"/>
      <c r="C287" s="73"/>
      <c r="D287" s="73"/>
      <c r="E287" s="73"/>
      <c r="F287" s="72"/>
    </row>
    <row r="288" ht="14.25" customHeight="1">
      <c r="A288" s="73"/>
      <c r="B288" s="73"/>
      <c r="C288" s="73"/>
      <c r="D288" s="73"/>
      <c r="E288" s="73"/>
      <c r="F288" s="72"/>
    </row>
    <row r="289" ht="14.25" customHeight="1">
      <c r="A289" s="73"/>
      <c r="B289" s="73"/>
      <c r="C289" s="73"/>
      <c r="D289" s="73"/>
      <c r="E289" s="73"/>
      <c r="F289" s="72"/>
    </row>
    <row r="290" ht="14.25" customHeight="1">
      <c r="A290" s="73"/>
      <c r="B290" s="73"/>
      <c r="C290" s="73"/>
      <c r="D290" s="73"/>
      <c r="E290" s="73"/>
      <c r="F290" s="72"/>
    </row>
    <row r="291" ht="14.25" customHeight="1">
      <c r="A291" s="73"/>
      <c r="B291" s="73"/>
      <c r="C291" s="73"/>
      <c r="D291" s="73"/>
      <c r="E291" s="73"/>
      <c r="F291" s="72"/>
    </row>
    <row r="292" ht="14.25" customHeight="1">
      <c r="A292" s="73"/>
      <c r="B292" s="73"/>
      <c r="C292" s="73"/>
      <c r="D292" s="73"/>
      <c r="E292" s="73"/>
      <c r="F292" s="72"/>
    </row>
    <row r="293" ht="14.25" customHeight="1">
      <c r="A293" s="73"/>
      <c r="B293" s="73"/>
      <c r="C293" s="73"/>
      <c r="D293" s="73"/>
      <c r="E293" s="73"/>
      <c r="F293" s="72"/>
    </row>
    <row r="294" ht="14.25" customHeight="1">
      <c r="A294" s="73"/>
      <c r="B294" s="73"/>
      <c r="C294" s="73"/>
      <c r="D294" s="73"/>
      <c r="E294" s="73"/>
      <c r="F294" s="72"/>
    </row>
    <row r="295" ht="14.25" customHeight="1">
      <c r="A295" s="73"/>
      <c r="B295" s="73"/>
      <c r="C295" s="73"/>
      <c r="D295" s="73"/>
      <c r="E295" s="73"/>
      <c r="F295" s="72"/>
    </row>
    <row r="296" ht="14.25" customHeight="1">
      <c r="A296" s="73"/>
      <c r="B296" s="73"/>
      <c r="C296" s="73"/>
      <c r="D296" s="73"/>
      <c r="E296" s="73"/>
      <c r="F296" s="72"/>
    </row>
    <row r="297" ht="14.25" customHeight="1">
      <c r="A297" s="73"/>
      <c r="B297" s="73"/>
      <c r="C297" s="73"/>
      <c r="D297" s="73"/>
      <c r="E297" s="73"/>
      <c r="F297" s="72"/>
    </row>
    <row r="298" ht="14.25" customHeight="1">
      <c r="A298" s="73"/>
      <c r="B298" s="73"/>
      <c r="C298" s="73"/>
      <c r="D298" s="73"/>
      <c r="E298" s="73"/>
      <c r="F298" s="72"/>
    </row>
    <row r="299" ht="14.25" customHeight="1">
      <c r="A299" s="73"/>
      <c r="B299" s="73"/>
      <c r="C299" s="73"/>
      <c r="D299" s="73"/>
      <c r="E299" s="73"/>
      <c r="F299" s="72"/>
    </row>
    <row r="300" ht="14.25" customHeight="1">
      <c r="A300" s="73"/>
      <c r="B300" s="73"/>
      <c r="C300" s="73"/>
      <c r="D300" s="73"/>
      <c r="E300" s="73"/>
      <c r="F300" s="72"/>
    </row>
    <row r="301" ht="14.25" customHeight="1">
      <c r="A301" s="73"/>
      <c r="B301" s="73"/>
      <c r="C301" s="73"/>
      <c r="D301" s="73"/>
      <c r="E301" s="73"/>
      <c r="F301" s="72"/>
    </row>
    <row r="302" ht="14.25" customHeight="1">
      <c r="A302" s="73"/>
      <c r="B302" s="73"/>
      <c r="C302" s="73"/>
      <c r="D302" s="73"/>
      <c r="E302" s="73"/>
      <c r="F302" s="72"/>
    </row>
    <row r="303" ht="14.25" customHeight="1">
      <c r="A303" s="73"/>
      <c r="B303" s="73"/>
      <c r="C303" s="73"/>
      <c r="D303" s="73"/>
      <c r="E303" s="73"/>
      <c r="F303" s="72"/>
    </row>
    <row r="304" ht="14.25" customHeight="1">
      <c r="A304" s="73"/>
      <c r="B304" s="73"/>
      <c r="C304" s="73"/>
      <c r="D304" s="73"/>
      <c r="E304" s="73"/>
      <c r="F304" s="72"/>
    </row>
    <row r="305" ht="14.25" customHeight="1">
      <c r="A305" s="73"/>
      <c r="B305" s="73"/>
      <c r="C305" s="73"/>
      <c r="D305" s="73"/>
      <c r="E305" s="73"/>
      <c r="F305" s="72"/>
    </row>
    <row r="306" ht="14.25" customHeight="1">
      <c r="A306" s="73"/>
      <c r="B306" s="73"/>
      <c r="C306" s="73"/>
      <c r="D306" s="73"/>
      <c r="E306" s="73"/>
      <c r="F306" s="72"/>
    </row>
    <row r="307" ht="14.25" customHeight="1">
      <c r="A307" s="73"/>
      <c r="B307" s="73"/>
      <c r="C307" s="73"/>
      <c r="D307" s="73"/>
      <c r="E307" s="73"/>
      <c r="F307" s="72"/>
    </row>
    <row r="308" ht="14.25" customHeight="1">
      <c r="A308" s="73"/>
      <c r="B308" s="73"/>
      <c r="C308" s="73"/>
      <c r="D308" s="73"/>
      <c r="E308" s="73"/>
      <c r="F308" s="72"/>
    </row>
    <row r="309" ht="14.25" customHeight="1">
      <c r="A309" s="73"/>
      <c r="B309" s="73"/>
      <c r="C309" s="73"/>
      <c r="D309" s="73"/>
      <c r="E309" s="73"/>
      <c r="F309" s="72"/>
    </row>
    <row r="310" ht="14.25" customHeight="1">
      <c r="A310" s="73"/>
      <c r="B310" s="73"/>
      <c r="C310" s="73"/>
      <c r="D310" s="73"/>
      <c r="E310" s="73"/>
      <c r="F310" s="72"/>
    </row>
    <row r="311" ht="14.25" customHeight="1">
      <c r="A311" s="73"/>
      <c r="B311" s="73"/>
      <c r="C311" s="73"/>
      <c r="D311" s="73"/>
      <c r="E311" s="73"/>
      <c r="F311" s="72"/>
    </row>
    <row r="312" ht="14.25" customHeight="1">
      <c r="A312" s="73"/>
      <c r="B312" s="73"/>
      <c r="C312" s="73"/>
      <c r="D312" s="73"/>
      <c r="E312" s="73"/>
      <c r="F312" s="72"/>
    </row>
    <row r="313" ht="14.25" customHeight="1">
      <c r="A313" s="73"/>
      <c r="B313" s="73"/>
      <c r="C313" s="73"/>
      <c r="D313" s="73"/>
      <c r="E313" s="73"/>
      <c r="F313" s="72"/>
    </row>
    <row r="314" ht="14.25" customHeight="1">
      <c r="A314" s="73"/>
      <c r="B314" s="73"/>
      <c r="C314" s="73"/>
      <c r="D314" s="73"/>
      <c r="E314" s="73"/>
      <c r="F314" s="72"/>
    </row>
    <row r="315" ht="14.25" customHeight="1">
      <c r="A315" s="73"/>
      <c r="B315" s="73"/>
      <c r="C315" s="73"/>
      <c r="D315" s="73"/>
      <c r="E315" s="73"/>
      <c r="F315" s="72"/>
    </row>
    <row r="316" ht="14.25" customHeight="1">
      <c r="A316" s="73"/>
      <c r="B316" s="73"/>
      <c r="C316" s="73"/>
      <c r="D316" s="73"/>
      <c r="E316" s="73"/>
      <c r="F316" s="72"/>
    </row>
    <row r="317" ht="14.25" customHeight="1">
      <c r="A317" s="73"/>
      <c r="B317" s="73"/>
      <c r="C317" s="73"/>
      <c r="D317" s="73"/>
      <c r="E317" s="73"/>
      <c r="F317" s="72"/>
    </row>
    <row r="318" ht="14.25" customHeight="1">
      <c r="A318" s="73"/>
      <c r="B318" s="73"/>
      <c r="C318" s="73"/>
      <c r="D318" s="73"/>
      <c r="E318" s="73"/>
      <c r="F318" s="72"/>
    </row>
    <row r="319" ht="14.25" customHeight="1">
      <c r="A319" s="73"/>
      <c r="B319" s="73"/>
      <c r="C319" s="73"/>
      <c r="D319" s="73"/>
      <c r="E319" s="73"/>
      <c r="F319" s="72"/>
    </row>
    <row r="320" ht="14.25" customHeight="1">
      <c r="A320" s="73"/>
      <c r="B320" s="73"/>
      <c r="C320" s="73"/>
      <c r="D320" s="73"/>
      <c r="E320" s="73"/>
      <c r="F320" s="72"/>
    </row>
    <row r="321" ht="14.25" customHeight="1">
      <c r="A321" s="73"/>
      <c r="B321" s="73"/>
      <c r="C321" s="73"/>
      <c r="D321" s="73"/>
      <c r="E321" s="73"/>
      <c r="F321" s="72"/>
    </row>
    <row r="322" ht="14.25" customHeight="1">
      <c r="A322" s="73"/>
      <c r="B322" s="73"/>
      <c r="C322" s="73"/>
      <c r="D322" s="73"/>
      <c r="E322" s="73"/>
      <c r="F322" s="72"/>
    </row>
    <row r="323" ht="14.25" customHeight="1">
      <c r="A323" s="73"/>
      <c r="B323" s="73"/>
      <c r="C323" s="73"/>
      <c r="D323" s="73"/>
      <c r="E323" s="73"/>
      <c r="F323" s="72"/>
    </row>
    <row r="324" ht="14.25" customHeight="1">
      <c r="A324" s="73"/>
      <c r="B324" s="73"/>
      <c r="C324" s="73"/>
      <c r="D324" s="73"/>
      <c r="E324" s="73"/>
      <c r="F324" s="72"/>
    </row>
    <row r="325" ht="14.25" customHeight="1">
      <c r="A325" s="73"/>
      <c r="B325" s="73"/>
      <c r="C325" s="73"/>
      <c r="D325" s="73"/>
      <c r="E325" s="73"/>
      <c r="F325" s="72"/>
    </row>
    <row r="326" ht="14.25" customHeight="1">
      <c r="A326" s="73"/>
      <c r="B326" s="73"/>
      <c r="C326" s="73"/>
      <c r="D326" s="73"/>
      <c r="E326" s="73"/>
      <c r="F326" s="72"/>
    </row>
    <row r="327" ht="14.25" customHeight="1">
      <c r="A327" s="73"/>
      <c r="B327" s="73"/>
      <c r="C327" s="73"/>
      <c r="D327" s="73"/>
      <c r="E327" s="73"/>
      <c r="F327" s="72"/>
    </row>
    <row r="328" ht="14.25" customHeight="1">
      <c r="A328" s="73"/>
      <c r="B328" s="73"/>
      <c r="C328" s="73"/>
      <c r="D328" s="73"/>
      <c r="E328" s="73"/>
      <c r="F328" s="72"/>
    </row>
    <row r="329" ht="14.25" customHeight="1">
      <c r="A329" s="73"/>
      <c r="B329" s="73"/>
      <c r="C329" s="73"/>
      <c r="D329" s="73"/>
      <c r="E329" s="73"/>
      <c r="F329" s="72"/>
    </row>
    <row r="330" ht="14.25" customHeight="1">
      <c r="A330" s="73"/>
      <c r="B330" s="73"/>
      <c r="C330" s="73"/>
      <c r="D330" s="73"/>
      <c r="E330" s="73"/>
      <c r="F330" s="72"/>
    </row>
    <row r="331" ht="14.25" customHeight="1">
      <c r="A331" s="73"/>
      <c r="B331" s="73"/>
      <c r="C331" s="73"/>
      <c r="D331" s="73"/>
      <c r="E331" s="73"/>
      <c r="F331" s="72"/>
    </row>
    <row r="332" ht="14.25" customHeight="1">
      <c r="A332" s="73"/>
      <c r="B332" s="73"/>
      <c r="C332" s="73"/>
      <c r="D332" s="73"/>
      <c r="E332" s="73"/>
      <c r="F332" s="72"/>
    </row>
    <row r="333" ht="14.25" customHeight="1">
      <c r="A333" s="73"/>
      <c r="B333" s="73"/>
      <c r="C333" s="73"/>
      <c r="D333" s="73"/>
      <c r="E333" s="73"/>
      <c r="F333" s="72"/>
    </row>
    <row r="334" ht="14.25" customHeight="1">
      <c r="A334" s="73"/>
      <c r="B334" s="73"/>
      <c r="C334" s="73"/>
      <c r="D334" s="73"/>
      <c r="E334" s="73"/>
      <c r="F334" s="72"/>
    </row>
    <row r="335" ht="14.25" customHeight="1">
      <c r="A335" s="73"/>
      <c r="B335" s="73"/>
      <c r="C335" s="73"/>
      <c r="D335" s="73"/>
      <c r="E335" s="73"/>
      <c r="F335" s="72"/>
    </row>
    <row r="336" ht="14.25" customHeight="1">
      <c r="A336" s="73"/>
      <c r="B336" s="73"/>
      <c r="C336" s="73"/>
      <c r="D336" s="73"/>
      <c r="E336" s="73"/>
      <c r="F336" s="72"/>
    </row>
    <row r="337" ht="14.25" customHeight="1">
      <c r="A337" s="73"/>
      <c r="B337" s="73"/>
      <c r="C337" s="73"/>
      <c r="D337" s="73"/>
      <c r="E337" s="73"/>
      <c r="F337" s="72"/>
    </row>
    <row r="338" ht="14.25" customHeight="1">
      <c r="A338" s="73"/>
      <c r="B338" s="73"/>
      <c r="C338" s="73"/>
      <c r="D338" s="73"/>
      <c r="E338" s="73"/>
      <c r="F338" s="72"/>
    </row>
    <row r="339" ht="14.25" customHeight="1">
      <c r="A339" s="73"/>
      <c r="B339" s="73"/>
      <c r="C339" s="73"/>
      <c r="D339" s="73"/>
      <c r="E339" s="73"/>
      <c r="F339" s="72"/>
    </row>
    <row r="340" ht="14.25" customHeight="1">
      <c r="A340" s="73"/>
      <c r="B340" s="73"/>
      <c r="C340" s="73"/>
      <c r="D340" s="73"/>
      <c r="E340" s="73"/>
      <c r="F340" s="72"/>
    </row>
    <row r="341" ht="14.25" customHeight="1">
      <c r="A341" s="73"/>
      <c r="B341" s="73"/>
      <c r="C341" s="73"/>
      <c r="D341" s="73"/>
      <c r="E341" s="73"/>
      <c r="F341" s="72"/>
    </row>
    <row r="342" ht="14.25" customHeight="1">
      <c r="A342" s="73"/>
      <c r="B342" s="73"/>
      <c r="C342" s="73"/>
      <c r="D342" s="73"/>
      <c r="E342" s="73"/>
      <c r="F342" s="72"/>
    </row>
    <row r="343" ht="14.25" customHeight="1">
      <c r="A343" s="73"/>
      <c r="B343" s="73"/>
      <c r="C343" s="73"/>
      <c r="D343" s="73"/>
      <c r="E343" s="73"/>
      <c r="F343" s="72"/>
    </row>
    <row r="344" ht="14.25" customHeight="1">
      <c r="A344" s="73"/>
      <c r="B344" s="73"/>
      <c r="C344" s="73"/>
      <c r="D344" s="73"/>
      <c r="E344" s="73"/>
      <c r="F344" s="72"/>
    </row>
    <row r="345" ht="14.25" customHeight="1">
      <c r="A345" s="73"/>
      <c r="B345" s="73"/>
      <c r="C345" s="73"/>
      <c r="D345" s="73"/>
      <c r="E345" s="73"/>
      <c r="F345" s="72"/>
    </row>
    <row r="346" ht="14.25" customHeight="1">
      <c r="A346" s="73"/>
      <c r="B346" s="73"/>
      <c r="C346" s="73"/>
      <c r="D346" s="73"/>
      <c r="E346" s="73"/>
      <c r="F346" s="72"/>
    </row>
    <row r="347" ht="14.25" customHeight="1">
      <c r="A347" s="73"/>
      <c r="B347" s="73"/>
      <c r="C347" s="73"/>
      <c r="D347" s="73"/>
      <c r="E347" s="73"/>
      <c r="F347" s="72"/>
    </row>
    <row r="348" ht="14.25" customHeight="1">
      <c r="A348" s="73"/>
      <c r="B348" s="73"/>
      <c r="C348" s="73"/>
      <c r="D348" s="73"/>
      <c r="E348" s="73"/>
      <c r="F348" s="72"/>
    </row>
    <row r="349" ht="14.25" customHeight="1">
      <c r="A349" s="73"/>
      <c r="B349" s="73"/>
      <c r="C349" s="73"/>
      <c r="D349" s="73"/>
      <c r="E349" s="73"/>
      <c r="F349" s="72"/>
    </row>
    <row r="350" ht="14.25" customHeight="1">
      <c r="A350" s="73"/>
      <c r="B350" s="73"/>
      <c r="C350" s="73"/>
      <c r="D350" s="73"/>
      <c r="E350" s="73"/>
      <c r="F350" s="72"/>
    </row>
    <row r="351" ht="14.25" customHeight="1">
      <c r="A351" s="73"/>
      <c r="B351" s="73"/>
      <c r="C351" s="73"/>
      <c r="D351" s="73"/>
      <c r="E351" s="73"/>
      <c r="F351" s="72"/>
    </row>
    <row r="352" ht="14.25" customHeight="1">
      <c r="A352" s="73"/>
      <c r="B352" s="73"/>
      <c r="C352" s="73"/>
      <c r="D352" s="73"/>
      <c r="E352" s="73"/>
      <c r="F352" s="72"/>
    </row>
    <row r="353" ht="14.25" customHeight="1">
      <c r="A353" s="73"/>
      <c r="B353" s="73"/>
      <c r="C353" s="73"/>
      <c r="D353" s="73"/>
      <c r="E353" s="73"/>
      <c r="F353" s="72"/>
    </row>
    <row r="354" ht="14.25" customHeight="1">
      <c r="A354" s="73"/>
      <c r="B354" s="73"/>
      <c r="C354" s="73"/>
      <c r="D354" s="73"/>
      <c r="E354" s="73"/>
      <c r="F354" s="72"/>
    </row>
    <row r="355" ht="14.25" customHeight="1">
      <c r="A355" s="73"/>
      <c r="B355" s="73"/>
      <c r="C355" s="73"/>
      <c r="D355" s="73"/>
      <c r="E355" s="73"/>
      <c r="F355" s="72"/>
    </row>
    <row r="356" ht="14.25" customHeight="1">
      <c r="A356" s="73"/>
      <c r="B356" s="73"/>
      <c r="C356" s="73"/>
      <c r="D356" s="73"/>
      <c r="E356" s="73"/>
      <c r="F356" s="72"/>
    </row>
    <row r="357" ht="14.25" customHeight="1">
      <c r="A357" s="73"/>
      <c r="B357" s="73"/>
      <c r="C357" s="73"/>
      <c r="D357" s="73"/>
      <c r="E357" s="73"/>
      <c r="F357" s="72"/>
    </row>
    <row r="358" ht="14.25" customHeight="1">
      <c r="A358" s="73"/>
      <c r="B358" s="73"/>
      <c r="C358" s="73"/>
      <c r="D358" s="73"/>
      <c r="E358" s="73"/>
      <c r="F358" s="72"/>
    </row>
    <row r="359" ht="14.25" customHeight="1">
      <c r="A359" s="73"/>
      <c r="B359" s="73"/>
      <c r="C359" s="73"/>
      <c r="D359" s="73"/>
      <c r="E359" s="73"/>
      <c r="F359" s="72"/>
    </row>
    <row r="360" ht="14.25" customHeight="1">
      <c r="A360" s="73"/>
      <c r="B360" s="73"/>
      <c r="C360" s="73"/>
      <c r="D360" s="73"/>
      <c r="E360" s="73"/>
      <c r="F360" s="72"/>
    </row>
    <row r="361" ht="14.25" customHeight="1">
      <c r="A361" s="73"/>
      <c r="B361" s="73"/>
      <c r="C361" s="73"/>
      <c r="D361" s="73"/>
      <c r="E361" s="73"/>
      <c r="F361" s="72"/>
    </row>
    <row r="362" ht="14.25" customHeight="1">
      <c r="A362" s="73"/>
      <c r="B362" s="73"/>
      <c r="C362" s="73"/>
      <c r="D362" s="73"/>
      <c r="E362" s="73"/>
      <c r="F362" s="72"/>
    </row>
    <row r="363" ht="14.25" customHeight="1">
      <c r="A363" s="73"/>
      <c r="B363" s="73"/>
      <c r="C363" s="73"/>
      <c r="D363" s="73"/>
      <c r="E363" s="73"/>
      <c r="F363" s="72"/>
    </row>
    <row r="364" ht="14.25" customHeight="1">
      <c r="A364" s="73"/>
      <c r="B364" s="73"/>
      <c r="C364" s="73"/>
      <c r="D364" s="73"/>
      <c r="E364" s="73"/>
      <c r="F364" s="72"/>
    </row>
    <row r="365" ht="14.25" customHeight="1">
      <c r="A365" s="73"/>
      <c r="B365" s="73"/>
      <c r="C365" s="73"/>
      <c r="D365" s="73"/>
      <c r="E365" s="73"/>
      <c r="F365" s="72"/>
    </row>
    <row r="366" ht="14.25" customHeight="1">
      <c r="A366" s="73"/>
      <c r="B366" s="73"/>
      <c r="C366" s="73"/>
      <c r="D366" s="73"/>
      <c r="E366" s="73"/>
      <c r="F366" s="72"/>
    </row>
    <row r="367" ht="14.25" customHeight="1">
      <c r="A367" s="73"/>
      <c r="B367" s="73"/>
      <c r="C367" s="73"/>
      <c r="D367" s="73"/>
      <c r="E367" s="73"/>
      <c r="F367" s="72"/>
    </row>
    <row r="368" ht="14.25" customHeight="1">
      <c r="A368" s="73"/>
      <c r="B368" s="73"/>
      <c r="C368" s="73"/>
      <c r="D368" s="73"/>
      <c r="E368" s="73"/>
      <c r="F368" s="72"/>
    </row>
    <row r="369" ht="14.25" customHeight="1">
      <c r="A369" s="73"/>
      <c r="B369" s="73"/>
      <c r="C369" s="73"/>
      <c r="D369" s="73"/>
      <c r="E369" s="73"/>
      <c r="F369" s="72"/>
    </row>
    <row r="370" ht="14.25" customHeight="1">
      <c r="A370" s="73"/>
      <c r="B370" s="73"/>
      <c r="C370" s="73"/>
      <c r="D370" s="73"/>
      <c r="E370" s="73"/>
      <c r="F370" s="72"/>
    </row>
    <row r="371" ht="14.25" customHeight="1">
      <c r="A371" s="73"/>
      <c r="B371" s="73"/>
      <c r="C371" s="73"/>
      <c r="D371" s="73"/>
      <c r="E371" s="73"/>
      <c r="F371" s="72"/>
    </row>
    <row r="372" ht="14.25" customHeight="1">
      <c r="A372" s="73"/>
      <c r="B372" s="73"/>
      <c r="C372" s="73"/>
      <c r="D372" s="73"/>
      <c r="E372" s="73"/>
      <c r="F372" s="72"/>
    </row>
    <row r="373" ht="14.25" customHeight="1">
      <c r="A373" s="73"/>
      <c r="B373" s="73"/>
      <c r="C373" s="73"/>
      <c r="D373" s="73"/>
      <c r="E373" s="73"/>
      <c r="F373" s="72"/>
    </row>
    <row r="374" ht="14.25" customHeight="1">
      <c r="A374" s="73"/>
      <c r="B374" s="73"/>
      <c r="C374" s="73"/>
      <c r="D374" s="73"/>
      <c r="E374" s="73"/>
      <c r="F374" s="72"/>
    </row>
    <row r="375" ht="14.25" customHeight="1">
      <c r="A375" s="73"/>
      <c r="B375" s="73"/>
      <c r="C375" s="73"/>
      <c r="D375" s="73"/>
      <c r="E375" s="73"/>
      <c r="F375" s="72"/>
    </row>
    <row r="376" ht="14.25" customHeight="1">
      <c r="A376" s="73"/>
      <c r="B376" s="73"/>
      <c r="C376" s="73"/>
      <c r="D376" s="73"/>
      <c r="E376" s="73"/>
      <c r="F376" s="72"/>
    </row>
    <row r="377" ht="14.25" customHeight="1">
      <c r="A377" s="73"/>
      <c r="B377" s="73"/>
      <c r="C377" s="73"/>
      <c r="D377" s="73"/>
      <c r="E377" s="73"/>
      <c r="F377" s="72"/>
    </row>
    <row r="378" ht="14.25" customHeight="1">
      <c r="A378" s="73"/>
      <c r="B378" s="73"/>
      <c r="C378" s="73"/>
      <c r="D378" s="73"/>
      <c r="E378" s="73"/>
      <c r="F378" s="72"/>
    </row>
    <row r="379" ht="14.25" customHeight="1">
      <c r="A379" s="73"/>
      <c r="B379" s="73"/>
      <c r="C379" s="73"/>
      <c r="D379" s="73"/>
      <c r="E379" s="73"/>
      <c r="F379" s="72"/>
    </row>
    <row r="380" ht="14.25" customHeight="1">
      <c r="A380" s="73"/>
      <c r="B380" s="73"/>
      <c r="C380" s="73"/>
      <c r="D380" s="73"/>
      <c r="E380" s="73"/>
      <c r="F380" s="72"/>
    </row>
    <row r="381" ht="14.25" customHeight="1">
      <c r="A381" s="73"/>
      <c r="B381" s="73"/>
      <c r="C381" s="73"/>
      <c r="D381" s="73"/>
      <c r="E381" s="73"/>
      <c r="F381" s="72"/>
    </row>
    <row r="382" ht="14.25" customHeight="1">
      <c r="A382" s="73"/>
      <c r="B382" s="73"/>
      <c r="C382" s="73"/>
      <c r="D382" s="73"/>
      <c r="E382" s="73"/>
      <c r="F382" s="72"/>
    </row>
    <row r="383" ht="14.25" customHeight="1">
      <c r="A383" s="73"/>
      <c r="B383" s="73"/>
      <c r="C383" s="73"/>
      <c r="D383" s="73"/>
      <c r="E383" s="73"/>
      <c r="F383" s="72"/>
    </row>
    <row r="384" ht="14.25" customHeight="1">
      <c r="A384" s="73"/>
      <c r="B384" s="73"/>
      <c r="C384" s="73"/>
      <c r="D384" s="73"/>
      <c r="E384" s="73"/>
      <c r="F384" s="72"/>
    </row>
    <row r="385" ht="14.25" customHeight="1">
      <c r="A385" s="73"/>
      <c r="B385" s="73"/>
      <c r="C385" s="73"/>
      <c r="D385" s="73"/>
      <c r="E385" s="73"/>
      <c r="F385" s="72"/>
    </row>
    <row r="386" ht="14.25" customHeight="1">
      <c r="A386" s="73"/>
      <c r="B386" s="73"/>
      <c r="C386" s="73"/>
      <c r="D386" s="73"/>
      <c r="E386" s="73"/>
      <c r="F386" s="72"/>
    </row>
    <row r="387" ht="14.25" customHeight="1">
      <c r="A387" s="73"/>
      <c r="B387" s="73"/>
      <c r="C387" s="73"/>
      <c r="D387" s="73"/>
      <c r="E387" s="73"/>
      <c r="F387" s="72"/>
    </row>
    <row r="388" ht="14.25" customHeight="1">
      <c r="A388" s="73"/>
      <c r="B388" s="73"/>
      <c r="C388" s="73"/>
      <c r="D388" s="73"/>
      <c r="E388" s="73"/>
      <c r="F388" s="72"/>
    </row>
    <row r="389" ht="14.25" customHeight="1">
      <c r="A389" s="73"/>
      <c r="B389" s="73"/>
      <c r="C389" s="73"/>
      <c r="D389" s="73"/>
      <c r="E389" s="73"/>
      <c r="F389" s="72"/>
    </row>
    <row r="390" ht="14.25" customHeight="1">
      <c r="A390" s="73"/>
      <c r="B390" s="73"/>
      <c r="C390" s="73"/>
      <c r="D390" s="73"/>
      <c r="E390" s="73"/>
      <c r="F390" s="72"/>
    </row>
    <row r="391" ht="14.25" customHeight="1">
      <c r="A391" s="73"/>
      <c r="B391" s="73"/>
      <c r="C391" s="73"/>
      <c r="D391" s="73"/>
      <c r="E391" s="73"/>
      <c r="F391" s="72"/>
    </row>
    <row r="392" ht="14.25" customHeight="1">
      <c r="A392" s="73"/>
      <c r="B392" s="73"/>
      <c r="C392" s="73"/>
      <c r="D392" s="73"/>
      <c r="E392" s="73"/>
      <c r="F392" s="72"/>
    </row>
    <row r="393" ht="14.25" customHeight="1">
      <c r="A393" s="73"/>
      <c r="B393" s="73"/>
      <c r="C393" s="73"/>
      <c r="D393" s="73"/>
      <c r="E393" s="73"/>
      <c r="F393" s="72"/>
    </row>
    <row r="394" ht="14.25" customHeight="1">
      <c r="A394" s="73"/>
      <c r="B394" s="73"/>
      <c r="C394" s="73"/>
      <c r="D394" s="73"/>
      <c r="E394" s="73"/>
      <c r="F394" s="72"/>
    </row>
    <row r="395" ht="14.25" customHeight="1">
      <c r="A395" s="73"/>
      <c r="B395" s="73"/>
      <c r="C395" s="73"/>
      <c r="D395" s="73"/>
      <c r="E395" s="73"/>
      <c r="F395" s="72"/>
    </row>
    <row r="396" ht="14.25" customHeight="1">
      <c r="A396" s="73"/>
      <c r="B396" s="73"/>
      <c r="C396" s="73"/>
      <c r="D396" s="73"/>
      <c r="E396" s="73"/>
      <c r="F396" s="72"/>
    </row>
    <row r="397" ht="14.25" customHeight="1">
      <c r="A397" s="73"/>
      <c r="B397" s="73"/>
      <c r="C397" s="73"/>
      <c r="D397" s="73"/>
      <c r="E397" s="73"/>
      <c r="F397" s="72"/>
    </row>
    <row r="398" ht="14.25" customHeight="1">
      <c r="A398" s="73"/>
      <c r="B398" s="73"/>
      <c r="C398" s="73"/>
      <c r="D398" s="73"/>
      <c r="E398" s="73"/>
      <c r="F398" s="72"/>
    </row>
    <row r="399" ht="14.25" customHeight="1">
      <c r="A399" s="73"/>
      <c r="B399" s="73"/>
      <c r="C399" s="73"/>
      <c r="D399" s="73"/>
      <c r="E399" s="73"/>
      <c r="F399" s="72"/>
    </row>
    <row r="400" ht="14.25" customHeight="1">
      <c r="A400" s="73"/>
      <c r="B400" s="73"/>
      <c r="C400" s="73"/>
      <c r="D400" s="73"/>
      <c r="E400" s="73"/>
      <c r="F400" s="72"/>
    </row>
    <row r="401" ht="14.25" customHeight="1">
      <c r="A401" s="73"/>
      <c r="B401" s="73"/>
      <c r="C401" s="73"/>
      <c r="D401" s="73"/>
      <c r="E401" s="73"/>
      <c r="F401" s="72"/>
    </row>
    <row r="402" ht="14.25" customHeight="1">
      <c r="A402" s="73"/>
      <c r="B402" s="73"/>
      <c r="C402" s="73"/>
      <c r="D402" s="73"/>
      <c r="E402" s="73"/>
      <c r="F402" s="72"/>
    </row>
    <row r="403" ht="14.25" customHeight="1">
      <c r="A403" s="73"/>
      <c r="B403" s="73"/>
      <c r="C403" s="73"/>
      <c r="D403" s="73"/>
      <c r="E403" s="73"/>
      <c r="F403" s="72"/>
    </row>
    <row r="404" ht="14.25" customHeight="1">
      <c r="A404" s="73"/>
      <c r="B404" s="73"/>
      <c r="C404" s="73"/>
      <c r="D404" s="73"/>
      <c r="E404" s="73"/>
      <c r="F404" s="72"/>
    </row>
    <row r="405" ht="14.25" customHeight="1">
      <c r="A405" s="73"/>
      <c r="B405" s="73"/>
      <c r="C405" s="73"/>
      <c r="D405" s="73"/>
      <c r="E405" s="73"/>
      <c r="F405" s="72"/>
    </row>
    <row r="406" ht="14.25" customHeight="1">
      <c r="A406" s="73"/>
      <c r="B406" s="73"/>
      <c r="C406" s="73"/>
      <c r="D406" s="73"/>
      <c r="E406" s="73"/>
      <c r="F406" s="72"/>
    </row>
    <row r="407" ht="14.25" customHeight="1">
      <c r="A407" s="73"/>
      <c r="B407" s="73"/>
      <c r="C407" s="73"/>
      <c r="D407" s="73"/>
      <c r="E407" s="73"/>
      <c r="F407" s="72"/>
    </row>
    <row r="408" ht="14.25" customHeight="1">
      <c r="A408" s="73"/>
      <c r="B408" s="73"/>
      <c r="C408" s="73"/>
      <c r="D408" s="73"/>
      <c r="E408" s="73"/>
      <c r="F408" s="72"/>
    </row>
    <row r="409" ht="14.25" customHeight="1">
      <c r="A409" s="73"/>
      <c r="B409" s="73"/>
      <c r="C409" s="73"/>
      <c r="D409" s="73"/>
      <c r="E409" s="73"/>
      <c r="F409" s="72"/>
    </row>
    <row r="410" ht="14.25" customHeight="1">
      <c r="A410" s="73"/>
      <c r="B410" s="73"/>
      <c r="C410" s="73"/>
      <c r="D410" s="73"/>
      <c r="E410" s="73"/>
      <c r="F410" s="72"/>
    </row>
    <row r="411" ht="14.25" customHeight="1">
      <c r="A411" s="73"/>
      <c r="B411" s="73"/>
      <c r="C411" s="73"/>
      <c r="D411" s="73"/>
      <c r="E411" s="73"/>
      <c r="F411" s="72"/>
    </row>
    <row r="412" ht="14.25" customHeight="1">
      <c r="A412" s="73"/>
      <c r="B412" s="73"/>
      <c r="C412" s="73"/>
      <c r="D412" s="73"/>
      <c r="E412" s="73"/>
      <c r="F412" s="72"/>
    </row>
    <row r="413" ht="14.25" customHeight="1">
      <c r="A413" s="73"/>
      <c r="B413" s="73"/>
      <c r="C413" s="73"/>
      <c r="D413" s="73"/>
      <c r="E413" s="73"/>
      <c r="F413" s="72"/>
    </row>
    <row r="414" ht="14.25" customHeight="1">
      <c r="A414" s="73"/>
      <c r="B414" s="73"/>
      <c r="C414" s="73"/>
      <c r="D414" s="73"/>
      <c r="E414" s="73"/>
      <c r="F414" s="72"/>
    </row>
    <row r="415" ht="14.25" customHeight="1">
      <c r="A415" s="73"/>
      <c r="B415" s="73"/>
      <c r="C415" s="73"/>
      <c r="D415" s="73"/>
      <c r="E415" s="73"/>
      <c r="F415" s="72"/>
    </row>
    <row r="416" ht="14.25" customHeight="1">
      <c r="A416" s="73"/>
      <c r="B416" s="73"/>
      <c r="C416" s="73"/>
      <c r="D416" s="73"/>
      <c r="E416" s="73"/>
      <c r="F416" s="72"/>
    </row>
    <row r="417" ht="14.25" customHeight="1">
      <c r="A417" s="73"/>
      <c r="B417" s="73"/>
      <c r="C417" s="73"/>
      <c r="D417" s="73"/>
      <c r="E417" s="73"/>
      <c r="F417" s="72"/>
    </row>
    <row r="418" ht="14.25" customHeight="1">
      <c r="A418" s="73"/>
      <c r="B418" s="73"/>
      <c r="C418" s="73"/>
      <c r="D418" s="73"/>
      <c r="E418" s="73"/>
      <c r="F418" s="72"/>
    </row>
    <row r="419" ht="14.25" customHeight="1">
      <c r="A419" s="73"/>
      <c r="B419" s="73"/>
      <c r="C419" s="73"/>
      <c r="D419" s="73"/>
      <c r="E419" s="73"/>
      <c r="F419" s="72"/>
    </row>
    <row r="420" ht="14.25" customHeight="1">
      <c r="A420" s="73"/>
      <c r="B420" s="73"/>
      <c r="C420" s="73"/>
      <c r="D420" s="73"/>
      <c r="E420" s="73"/>
      <c r="F420" s="72"/>
    </row>
    <row r="421" ht="14.25" customHeight="1">
      <c r="A421" s="73"/>
      <c r="B421" s="73"/>
      <c r="C421" s="73"/>
      <c r="D421" s="73"/>
      <c r="E421" s="73"/>
      <c r="F421" s="72"/>
    </row>
    <row r="422" ht="14.25" customHeight="1">
      <c r="A422" s="73"/>
      <c r="B422" s="73"/>
      <c r="C422" s="73"/>
      <c r="D422" s="73"/>
      <c r="E422" s="73"/>
      <c r="F422" s="72"/>
    </row>
    <row r="423" ht="14.25" customHeight="1">
      <c r="A423" s="73"/>
      <c r="B423" s="73"/>
      <c r="C423" s="73"/>
      <c r="D423" s="73"/>
      <c r="E423" s="73"/>
      <c r="F423" s="72"/>
    </row>
    <row r="424" ht="14.25" customHeight="1">
      <c r="A424" s="73"/>
      <c r="B424" s="73"/>
      <c r="C424" s="73"/>
      <c r="D424" s="73"/>
      <c r="E424" s="73"/>
      <c r="F424" s="72"/>
    </row>
    <row r="425" ht="14.25" customHeight="1">
      <c r="A425" s="73"/>
      <c r="B425" s="73"/>
      <c r="C425" s="73"/>
      <c r="D425" s="73"/>
      <c r="E425" s="73"/>
      <c r="F425" s="72"/>
    </row>
    <row r="426" ht="14.25" customHeight="1">
      <c r="A426" s="73"/>
      <c r="B426" s="73"/>
      <c r="C426" s="73"/>
      <c r="D426" s="73"/>
      <c r="E426" s="73"/>
      <c r="F426" s="72"/>
    </row>
    <row r="427" ht="14.25" customHeight="1">
      <c r="A427" s="73"/>
      <c r="B427" s="73"/>
      <c r="C427" s="73"/>
      <c r="D427" s="73"/>
      <c r="E427" s="73"/>
      <c r="F427" s="72"/>
    </row>
    <row r="428" ht="14.25" customHeight="1">
      <c r="A428" s="73"/>
      <c r="B428" s="73"/>
      <c r="C428" s="73"/>
      <c r="D428" s="73"/>
      <c r="E428" s="73"/>
      <c r="F428" s="72"/>
    </row>
    <row r="429" ht="14.25" customHeight="1">
      <c r="A429" s="73"/>
      <c r="B429" s="73"/>
      <c r="C429" s="73"/>
      <c r="D429" s="73"/>
      <c r="E429" s="73"/>
      <c r="F429" s="72"/>
    </row>
    <row r="430" ht="14.25" customHeight="1">
      <c r="A430" s="73"/>
      <c r="B430" s="73"/>
      <c r="C430" s="73"/>
      <c r="D430" s="73"/>
      <c r="E430" s="73"/>
      <c r="F430" s="72"/>
    </row>
    <row r="431" ht="14.25" customHeight="1">
      <c r="A431" s="73"/>
      <c r="B431" s="73"/>
      <c r="C431" s="73"/>
      <c r="D431" s="73"/>
      <c r="E431" s="73"/>
      <c r="F431" s="72"/>
    </row>
    <row r="432" ht="14.25" customHeight="1">
      <c r="A432" s="73"/>
      <c r="B432" s="73"/>
      <c r="C432" s="73"/>
      <c r="D432" s="73"/>
      <c r="E432" s="73"/>
      <c r="F432" s="72"/>
    </row>
    <row r="433" ht="14.25" customHeight="1">
      <c r="A433" s="73"/>
      <c r="B433" s="73"/>
      <c r="C433" s="73"/>
      <c r="D433" s="73"/>
      <c r="E433" s="73"/>
      <c r="F433" s="72"/>
    </row>
    <row r="434" ht="14.25" customHeight="1">
      <c r="A434" s="73"/>
      <c r="B434" s="73"/>
      <c r="C434" s="73"/>
      <c r="D434" s="73"/>
      <c r="E434" s="73"/>
      <c r="F434" s="72"/>
    </row>
    <row r="435" ht="14.25" customHeight="1">
      <c r="A435" s="73"/>
      <c r="B435" s="73"/>
      <c r="C435" s="73"/>
      <c r="D435" s="73"/>
      <c r="E435" s="73"/>
      <c r="F435" s="72"/>
    </row>
    <row r="436" ht="14.25" customHeight="1">
      <c r="A436" s="73"/>
      <c r="B436" s="73"/>
      <c r="C436" s="73"/>
      <c r="D436" s="73"/>
      <c r="E436" s="73"/>
      <c r="F436" s="72"/>
    </row>
    <row r="437" ht="14.25" customHeight="1">
      <c r="A437" s="73"/>
      <c r="B437" s="73"/>
      <c r="C437" s="73"/>
      <c r="D437" s="73"/>
      <c r="E437" s="73"/>
      <c r="F437" s="72"/>
    </row>
    <row r="438" ht="14.25" customHeight="1">
      <c r="A438" s="73"/>
      <c r="B438" s="73"/>
      <c r="C438" s="73"/>
      <c r="D438" s="73"/>
      <c r="E438" s="73"/>
      <c r="F438" s="72"/>
    </row>
    <row r="439" ht="14.25" customHeight="1">
      <c r="A439" s="73"/>
      <c r="B439" s="73"/>
      <c r="C439" s="73"/>
      <c r="D439" s="73"/>
      <c r="E439" s="73"/>
      <c r="F439" s="72"/>
    </row>
    <row r="440" ht="14.25" customHeight="1">
      <c r="A440" s="73"/>
      <c r="B440" s="73"/>
      <c r="C440" s="73"/>
      <c r="D440" s="73"/>
      <c r="E440" s="73"/>
      <c r="F440" s="72"/>
    </row>
    <row r="441" ht="14.25" customHeight="1">
      <c r="A441" s="73"/>
      <c r="B441" s="73"/>
      <c r="C441" s="73"/>
      <c r="D441" s="73"/>
      <c r="E441" s="73"/>
      <c r="F441" s="72"/>
    </row>
    <row r="442" ht="14.25" customHeight="1">
      <c r="A442" s="73"/>
      <c r="B442" s="73"/>
      <c r="C442" s="73"/>
      <c r="D442" s="73"/>
      <c r="E442" s="73"/>
      <c r="F442" s="72"/>
    </row>
    <row r="443" ht="14.25" customHeight="1">
      <c r="A443" s="73"/>
      <c r="B443" s="73"/>
      <c r="C443" s="73"/>
      <c r="D443" s="73"/>
      <c r="E443" s="73"/>
      <c r="F443" s="72"/>
    </row>
    <row r="444" ht="14.25" customHeight="1">
      <c r="A444" s="73"/>
      <c r="B444" s="73"/>
      <c r="C444" s="73"/>
      <c r="D444" s="73"/>
      <c r="E444" s="73"/>
      <c r="F444" s="72"/>
    </row>
    <row r="445" ht="14.25" customHeight="1">
      <c r="A445" s="73"/>
      <c r="B445" s="73"/>
      <c r="C445" s="73"/>
      <c r="D445" s="73"/>
      <c r="E445" s="73"/>
      <c r="F445" s="72"/>
    </row>
    <row r="446" ht="14.25" customHeight="1">
      <c r="A446" s="73"/>
      <c r="B446" s="73"/>
      <c r="C446" s="73"/>
      <c r="D446" s="73"/>
      <c r="E446" s="73"/>
      <c r="F446" s="72"/>
    </row>
    <row r="447" ht="14.25" customHeight="1">
      <c r="A447" s="73"/>
      <c r="B447" s="73"/>
      <c r="C447" s="73"/>
      <c r="D447" s="73"/>
      <c r="E447" s="73"/>
      <c r="F447" s="72"/>
    </row>
    <row r="448" ht="14.25" customHeight="1">
      <c r="A448" s="73"/>
      <c r="B448" s="73"/>
      <c r="C448" s="73"/>
      <c r="D448" s="73"/>
      <c r="E448" s="73"/>
      <c r="F448" s="72"/>
    </row>
    <row r="449" ht="14.25" customHeight="1">
      <c r="A449" s="73"/>
      <c r="B449" s="73"/>
      <c r="C449" s="73"/>
      <c r="D449" s="73"/>
      <c r="E449" s="73"/>
      <c r="F449" s="72"/>
    </row>
    <row r="450" ht="14.25" customHeight="1">
      <c r="A450" s="73"/>
      <c r="B450" s="73"/>
      <c r="C450" s="73"/>
      <c r="D450" s="73"/>
      <c r="E450" s="73"/>
      <c r="F450" s="72"/>
    </row>
    <row r="451" ht="14.25" customHeight="1">
      <c r="A451" s="73"/>
      <c r="B451" s="73"/>
      <c r="C451" s="73"/>
      <c r="D451" s="73"/>
      <c r="E451" s="73"/>
      <c r="F451" s="72"/>
    </row>
    <row r="452" ht="14.25" customHeight="1">
      <c r="A452" s="73"/>
      <c r="B452" s="73"/>
      <c r="C452" s="73"/>
      <c r="D452" s="73"/>
      <c r="E452" s="73"/>
      <c r="F452" s="72"/>
    </row>
    <row r="453" ht="14.25" customHeight="1">
      <c r="A453" s="73"/>
      <c r="B453" s="73"/>
      <c r="C453" s="73"/>
      <c r="D453" s="73"/>
      <c r="E453" s="73"/>
      <c r="F453" s="72"/>
    </row>
    <row r="454" ht="14.25" customHeight="1">
      <c r="A454" s="73"/>
      <c r="B454" s="73"/>
      <c r="C454" s="73"/>
      <c r="D454" s="73"/>
      <c r="E454" s="73"/>
      <c r="F454" s="72"/>
    </row>
    <row r="455" ht="14.25" customHeight="1">
      <c r="A455" s="73"/>
      <c r="B455" s="73"/>
      <c r="C455" s="73"/>
      <c r="D455" s="73"/>
      <c r="E455" s="73"/>
      <c r="F455" s="72"/>
    </row>
    <row r="456" ht="14.25" customHeight="1">
      <c r="A456" s="73"/>
      <c r="B456" s="73"/>
      <c r="C456" s="73"/>
      <c r="D456" s="73"/>
      <c r="E456" s="73"/>
      <c r="F456" s="72"/>
    </row>
    <row r="457" ht="14.25" customHeight="1">
      <c r="A457" s="73"/>
      <c r="B457" s="73"/>
      <c r="C457" s="73"/>
      <c r="D457" s="73"/>
      <c r="E457" s="73"/>
      <c r="F457" s="72"/>
    </row>
    <row r="458" ht="14.25" customHeight="1">
      <c r="A458" s="73"/>
      <c r="B458" s="73"/>
      <c r="C458" s="73"/>
      <c r="D458" s="73"/>
      <c r="E458" s="73"/>
      <c r="F458" s="72"/>
    </row>
    <row r="459" ht="14.25" customHeight="1">
      <c r="A459" s="73"/>
      <c r="B459" s="73"/>
      <c r="C459" s="73"/>
      <c r="D459" s="73"/>
      <c r="E459" s="73"/>
      <c r="F459" s="72"/>
    </row>
    <row r="460" ht="14.25" customHeight="1">
      <c r="A460" s="73"/>
      <c r="B460" s="73"/>
      <c r="C460" s="73"/>
      <c r="D460" s="73"/>
      <c r="E460" s="73"/>
      <c r="F460" s="72"/>
    </row>
    <row r="461" ht="14.25" customHeight="1">
      <c r="A461" s="73"/>
      <c r="B461" s="73"/>
      <c r="C461" s="73"/>
      <c r="D461" s="73"/>
      <c r="E461" s="73"/>
      <c r="F461" s="72"/>
    </row>
    <row r="462" ht="14.25" customHeight="1">
      <c r="A462" s="73"/>
      <c r="B462" s="73"/>
      <c r="C462" s="73"/>
      <c r="D462" s="73"/>
      <c r="E462" s="73"/>
      <c r="F462" s="72"/>
    </row>
    <row r="463" ht="14.25" customHeight="1">
      <c r="A463" s="73"/>
      <c r="B463" s="73"/>
      <c r="C463" s="73"/>
      <c r="D463" s="73"/>
      <c r="E463" s="73"/>
      <c r="F463" s="72"/>
    </row>
    <row r="464" ht="14.25" customHeight="1">
      <c r="A464" s="73"/>
      <c r="B464" s="73"/>
      <c r="C464" s="73"/>
      <c r="D464" s="73"/>
      <c r="E464" s="73"/>
      <c r="F464" s="72"/>
    </row>
    <row r="465" ht="14.25" customHeight="1">
      <c r="A465" s="73"/>
      <c r="B465" s="73"/>
      <c r="C465" s="73"/>
      <c r="D465" s="73"/>
      <c r="E465" s="73"/>
      <c r="F465" s="72"/>
    </row>
    <row r="466" ht="14.25" customHeight="1">
      <c r="A466" s="73"/>
      <c r="B466" s="73"/>
      <c r="C466" s="73"/>
      <c r="D466" s="73"/>
      <c r="E466" s="73"/>
      <c r="F466" s="72"/>
    </row>
    <row r="467" ht="14.25" customHeight="1">
      <c r="A467" s="73"/>
      <c r="B467" s="73"/>
      <c r="C467" s="73"/>
      <c r="D467" s="73"/>
      <c r="E467" s="73"/>
      <c r="F467" s="72"/>
    </row>
    <row r="468" ht="14.25" customHeight="1">
      <c r="A468" s="73"/>
      <c r="B468" s="73"/>
      <c r="C468" s="73"/>
      <c r="D468" s="73"/>
      <c r="E468" s="73"/>
      <c r="F468" s="72"/>
    </row>
    <row r="469" ht="14.25" customHeight="1">
      <c r="A469" s="73"/>
      <c r="B469" s="73"/>
      <c r="C469" s="73"/>
      <c r="D469" s="73"/>
      <c r="E469" s="73"/>
      <c r="F469" s="72"/>
    </row>
    <row r="470" ht="14.25" customHeight="1">
      <c r="A470" s="73"/>
      <c r="B470" s="73"/>
      <c r="C470" s="73"/>
      <c r="D470" s="73"/>
      <c r="E470" s="73"/>
      <c r="F470" s="72"/>
    </row>
    <row r="471" ht="14.25" customHeight="1">
      <c r="A471" s="73"/>
      <c r="B471" s="73"/>
      <c r="C471" s="73"/>
      <c r="D471" s="73"/>
      <c r="E471" s="73"/>
      <c r="F471" s="72"/>
    </row>
    <row r="472" ht="14.25" customHeight="1">
      <c r="A472" s="73"/>
      <c r="B472" s="73"/>
      <c r="C472" s="73"/>
      <c r="D472" s="73"/>
      <c r="E472" s="73"/>
      <c r="F472" s="72"/>
    </row>
    <row r="473" ht="14.25" customHeight="1">
      <c r="A473" s="73"/>
      <c r="B473" s="73"/>
      <c r="C473" s="73"/>
      <c r="D473" s="73"/>
      <c r="E473" s="73"/>
      <c r="F473" s="72"/>
    </row>
    <row r="474" ht="14.25" customHeight="1">
      <c r="A474" s="73"/>
      <c r="B474" s="73"/>
      <c r="C474" s="73"/>
      <c r="D474" s="73"/>
      <c r="E474" s="73"/>
      <c r="F474" s="72"/>
    </row>
    <row r="475" ht="14.25" customHeight="1">
      <c r="A475" s="73"/>
      <c r="B475" s="73"/>
      <c r="C475" s="73"/>
      <c r="D475" s="73"/>
      <c r="E475" s="73"/>
      <c r="F475" s="72"/>
    </row>
    <row r="476" ht="14.25" customHeight="1">
      <c r="A476" s="73"/>
      <c r="B476" s="73"/>
      <c r="C476" s="73"/>
      <c r="D476" s="73"/>
      <c r="E476" s="73"/>
      <c r="F476" s="72"/>
    </row>
    <row r="477" ht="14.25" customHeight="1">
      <c r="A477" s="73"/>
      <c r="B477" s="73"/>
      <c r="C477" s="73"/>
      <c r="D477" s="73"/>
      <c r="E477" s="73"/>
      <c r="F477" s="72"/>
    </row>
    <row r="478" ht="14.25" customHeight="1">
      <c r="A478" s="73"/>
      <c r="B478" s="73"/>
      <c r="C478" s="73"/>
      <c r="D478" s="73"/>
      <c r="E478" s="73"/>
      <c r="F478" s="72"/>
    </row>
    <row r="479" ht="14.25" customHeight="1">
      <c r="A479" s="73"/>
      <c r="B479" s="73"/>
      <c r="C479" s="73"/>
      <c r="D479" s="73"/>
      <c r="E479" s="73"/>
      <c r="F479" s="72"/>
    </row>
    <row r="480" ht="14.25" customHeight="1">
      <c r="A480" s="73"/>
      <c r="B480" s="73"/>
      <c r="C480" s="73"/>
      <c r="D480" s="73"/>
      <c r="E480" s="73"/>
      <c r="F480" s="72"/>
    </row>
    <row r="481" ht="14.25" customHeight="1">
      <c r="A481" s="73"/>
      <c r="B481" s="73"/>
      <c r="C481" s="73"/>
      <c r="D481" s="73"/>
      <c r="E481" s="73"/>
      <c r="F481" s="72"/>
    </row>
    <row r="482" ht="14.25" customHeight="1">
      <c r="A482" s="73"/>
      <c r="B482" s="73"/>
      <c r="C482" s="73"/>
      <c r="D482" s="73"/>
      <c r="E482" s="73"/>
      <c r="F482" s="72"/>
    </row>
    <row r="483" ht="14.25" customHeight="1">
      <c r="A483" s="73"/>
      <c r="B483" s="73"/>
      <c r="C483" s="73"/>
      <c r="D483" s="73"/>
      <c r="E483" s="73"/>
      <c r="F483" s="72"/>
    </row>
    <row r="484" ht="14.25" customHeight="1">
      <c r="A484" s="73"/>
      <c r="B484" s="73"/>
      <c r="C484" s="73"/>
      <c r="D484" s="73"/>
      <c r="E484" s="73"/>
      <c r="F484" s="72"/>
    </row>
    <row r="485" ht="14.25" customHeight="1">
      <c r="A485" s="73"/>
      <c r="B485" s="73"/>
      <c r="C485" s="73"/>
      <c r="D485" s="73"/>
      <c r="E485" s="73"/>
      <c r="F485" s="72"/>
    </row>
    <row r="486" ht="14.25" customHeight="1">
      <c r="A486" s="73"/>
      <c r="B486" s="73"/>
      <c r="C486" s="73"/>
      <c r="D486" s="73"/>
      <c r="E486" s="73"/>
      <c r="F486" s="72"/>
    </row>
    <row r="487" ht="14.25" customHeight="1">
      <c r="A487" s="73"/>
      <c r="B487" s="73"/>
      <c r="C487" s="73"/>
      <c r="D487" s="73"/>
      <c r="E487" s="73"/>
      <c r="F487" s="72"/>
    </row>
    <row r="488" ht="14.25" customHeight="1">
      <c r="A488" s="73"/>
      <c r="B488" s="73"/>
      <c r="C488" s="73"/>
      <c r="D488" s="73"/>
      <c r="E488" s="73"/>
      <c r="F488" s="72"/>
    </row>
    <row r="489" ht="14.25" customHeight="1">
      <c r="A489" s="73"/>
      <c r="B489" s="73"/>
      <c r="C489" s="73"/>
      <c r="D489" s="73"/>
      <c r="E489" s="73"/>
      <c r="F489" s="72"/>
    </row>
    <row r="490" ht="14.25" customHeight="1">
      <c r="A490" s="73"/>
      <c r="B490" s="73"/>
      <c r="C490" s="73"/>
      <c r="D490" s="73"/>
      <c r="E490" s="73"/>
      <c r="F490" s="72"/>
    </row>
    <row r="491" ht="14.25" customHeight="1">
      <c r="A491" s="73"/>
      <c r="B491" s="73"/>
      <c r="C491" s="73"/>
      <c r="D491" s="73"/>
      <c r="E491" s="73"/>
      <c r="F491" s="72"/>
    </row>
    <row r="492" ht="14.25" customHeight="1">
      <c r="A492" s="73"/>
      <c r="B492" s="73"/>
      <c r="C492" s="73"/>
      <c r="D492" s="73"/>
      <c r="E492" s="73"/>
      <c r="F492" s="72"/>
    </row>
    <row r="493" ht="14.25" customHeight="1">
      <c r="A493" s="73"/>
      <c r="B493" s="73"/>
      <c r="C493" s="73"/>
      <c r="D493" s="73"/>
      <c r="E493" s="73"/>
      <c r="F493" s="72"/>
    </row>
    <row r="494" ht="14.25" customHeight="1">
      <c r="A494" s="73"/>
      <c r="B494" s="73"/>
      <c r="C494" s="73"/>
      <c r="D494" s="73"/>
      <c r="E494" s="73"/>
      <c r="F494" s="72"/>
    </row>
    <row r="495" ht="14.25" customHeight="1">
      <c r="A495" s="73"/>
      <c r="B495" s="73"/>
      <c r="C495" s="73"/>
      <c r="D495" s="73"/>
      <c r="E495" s="73"/>
      <c r="F495" s="72"/>
    </row>
    <row r="496" ht="14.25" customHeight="1">
      <c r="A496" s="73"/>
      <c r="B496" s="73"/>
      <c r="C496" s="73"/>
      <c r="D496" s="73"/>
      <c r="E496" s="73"/>
      <c r="F496" s="72"/>
    </row>
    <row r="497" ht="14.25" customHeight="1">
      <c r="A497" s="73"/>
      <c r="B497" s="73"/>
      <c r="C497" s="73"/>
      <c r="D497" s="73"/>
      <c r="E497" s="73"/>
      <c r="F497" s="72"/>
    </row>
    <row r="498" ht="14.25" customHeight="1">
      <c r="A498" s="73"/>
      <c r="B498" s="73"/>
      <c r="C498" s="73"/>
      <c r="D498" s="73"/>
      <c r="E498" s="73"/>
      <c r="F498" s="72"/>
    </row>
    <row r="499" ht="14.25" customHeight="1">
      <c r="A499" s="73"/>
      <c r="B499" s="73"/>
      <c r="C499" s="73"/>
      <c r="D499" s="73"/>
      <c r="E499" s="73"/>
      <c r="F499" s="72"/>
    </row>
    <row r="500" ht="14.25" customHeight="1">
      <c r="A500" s="73"/>
      <c r="B500" s="73"/>
      <c r="C500" s="73"/>
      <c r="D500" s="73"/>
      <c r="E500" s="73"/>
      <c r="F500" s="72"/>
    </row>
    <row r="501" ht="14.25" customHeight="1">
      <c r="A501" s="73"/>
      <c r="B501" s="73"/>
      <c r="C501" s="73"/>
      <c r="D501" s="73"/>
      <c r="E501" s="73"/>
      <c r="F501" s="72"/>
    </row>
    <row r="502" ht="14.25" customHeight="1">
      <c r="A502" s="73"/>
      <c r="B502" s="73"/>
      <c r="C502" s="73"/>
      <c r="D502" s="73"/>
      <c r="E502" s="73"/>
      <c r="F502" s="72"/>
    </row>
    <row r="503" ht="14.25" customHeight="1">
      <c r="A503" s="73"/>
      <c r="B503" s="73"/>
      <c r="C503" s="73"/>
      <c r="D503" s="73"/>
      <c r="E503" s="73"/>
      <c r="F503" s="72"/>
    </row>
    <row r="504" ht="14.25" customHeight="1">
      <c r="A504" s="73"/>
      <c r="B504" s="73"/>
      <c r="C504" s="73"/>
      <c r="D504" s="73"/>
      <c r="E504" s="73"/>
      <c r="F504" s="72"/>
    </row>
    <row r="505" ht="14.25" customHeight="1">
      <c r="A505" s="73"/>
      <c r="B505" s="73"/>
      <c r="C505" s="73"/>
      <c r="D505" s="73"/>
      <c r="E505" s="73"/>
      <c r="F505" s="72"/>
    </row>
    <row r="506" ht="14.25" customHeight="1">
      <c r="A506" s="73"/>
      <c r="B506" s="73"/>
      <c r="C506" s="73"/>
      <c r="D506" s="73"/>
      <c r="E506" s="73"/>
      <c r="F506" s="72"/>
    </row>
    <row r="507" ht="14.25" customHeight="1">
      <c r="A507" s="73"/>
      <c r="B507" s="73"/>
      <c r="C507" s="73"/>
      <c r="D507" s="73"/>
      <c r="E507" s="73"/>
      <c r="F507" s="72"/>
    </row>
    <row r="508" ht="14.25" customHeight="1">
      <c r="A508" s="73"/>
      <c r="B508" s="73"/>
      <c r="C508" s="73"/>
      <c r="D508" s="73"/>
      <c r="E508" s="73"/>
      <c r="F508" s="72"/>
    </row>
    <row r="509" ht="14.25" customHeight="1">
      <c r="A509" s="73"/>
      <c r="B509" s="73"/>
      <c r="C509" s="73"/>
      <c r="D509" s="73"/>
      <c r="E509" s="73"/>
      <c r="F509" s="72"/>
    </row>
    <row r="510" ht="14.25" customHeight="1">
      <c r="A510" s="73"/>
      <c r="B510" s="73"/>
      <c r="C510" s="73"/>
      <c r="D510" s="73"/>
      <c r="E510" s="73"/>
      <c r="F510" s="72"/>
    </row>
    <row r="511" ht="14.25" customHeight="1">
      <c r="A511" s="73"/>
      <c r="B511" s="73"/>
      <c r="C511" s="73"/>
      <c r="D511" s="73"/>
      <c r="E511" s="73"/>
      <c r="F511" s="72"/>
    </row>
    <row r="512" ht="14.25" customHeight="1">
      <c r="A512" s="73"/>
      <c r="B512" s="73"/>
      <c r="C512" s="73"/>
      <c r="D512" s="73"/>
      <c r="E512" s="73"/>
      <c r="F512" s="72"/>
    </row>
    <row r="513" ht="14.25" customHeight="1">
      <c r="A513" s="73"/>
      <c r="B513" s="73"/>
      <c r="C513" s="73"/>
      <c r="D513" s="73"/>
      <c r="E513" s="73"/>
      <c r="F513" s="72"/>
    </row>
    <row r="514" ht="14.25" customHeight="1">
      <c r="A514" s="73"/>
      <c r="B514" s="73"/>
      <c r="C514" s="73"/>
      <c r="D514" s="73"/>
      <c r="E514" s="73"/>
      <c r="F514" s="72"/>
    </row>
    <row r="515" ht="14.25" customHeight="1">
      <c r="A515" s="73"/>
      <c r="B515" s="73"/>
      <c r="C515" s="73"/>
      <c r="D515" s="73"/>
      <c r="E515" s="73"/>
      <c r="F515" s="72"/>
    </row>
    <row r="516" ht="14.25" customHeight="1">
      <c r="A516" s="73"/>
      <c r="B516" s="73"/>
      <c r="C516" s="73"/>
      <c r="D516" s="73"/>
      <c r="E516" s="73"/>
      <c r="F516" s="72"/>
    </row>
    <row r="517" ht="14.25" customHeight="1">
      <c r="A517" s="73"/>
      <c r="B517" s="73"/>
      <c r="C517" s="73"/>
      <c r="D517" s="73"/>
      <c r="E517" s="73"/>
      <c r="F517" s="72"/>
    </row>
    <row r="518" ht="14.25" customHeight="1">
      <c r="A518" s="73"/>
      <c r="B518" s="73"/>
      <c r="C518" s="73"/>
      <c r="D518" s="73"/>
      <c r="E518" s="73"/>
      <c r="F518" s="72"/>
    </row>
    <row r="519" ht="14.25" customHeight="1">
      <c r="A519" s="73"/>
      <c r="B519" s="73"/>
      <c r="C519" s="73"/>
      <c r="D519" s="73"/>
      <c r="E519" s="73"/>
      <c r="F519" s="72"/>
    </row>
    <row r="520" ht="14.25" customHeight="1">
      <c r="A520" s="73"/>
      <c r="B520" s="73"/>
      <c r="C520" s="73"/>
      <c r="D520" s="73"/>
      <c r="E520" s="73"/>
      <c r="F520" s="72"/>
    </row>
    <row r="521" ht="14.25" customHeight="1">
      <c r="A521" s="73"/>
      <c r="B521" s="73"/>
      <c r="C521" s="73"/>
      <c r="D521" s="73"/>
      <c r="E521" s="73"/>
      <c r="F521" s="72"/>
    </row>
    <row r="522" ht="14.25" customHeight="1">
      <c r="A522" s="73"/>
      <c r="B522" s="73"/>
      <c r="C522" s="73"/>
      <c r="D522" s="73"/>
      <c r="E522" s="73"/>
      <c r="F522" s="72"/>
    </row>
    <row r="523" ht="14.25" customHeight="1">
      <c r="A523" s="73"/>
      <c r="B523" s="73"/>
      <c r="C523" s="73"/>
      <c r="D523" s="73"/>
      <c r="E523" s="73"/>
      <c r="F523" s="72"/>
    </row>
    <row r="524" ht="14.25" customHeight="1">
      <c r="A524" s="73"/>
      <c r="B524" s="73"/>
      <c r="C524" s="73"/>
      <c r="D524" s="73"/>
      <c r="E524" s="73"/>
      <c r="F524" s="72"/>
    </row>
    <row r="525" ht="14.25" customHeight="1">
      <c r="A525" s="73"/>
      <c r="B525" s="73"/>
      <c r="C525" s="73"/>
      <c r="D525" s="73"/>
      <c r="E525" s="73"/>
      <c r="F525" s="72"/>
    </row>
    <row r="526" ht="14.25" customHeight="1">
      <c r="A526" s="73"/>
      <c r="B526" s="73"/>
      <c r="C526" s="73"/>
      <c r="D526" s="73"/>
      <c r="E526" s="73"/>
      <c r="F526" s="72"/>
    </row>
    <row r="527" ht="14.25" customHeight="1">
      <c r="A527" s="73"/>
      <c r="B527" s="73"/>
      <c r="C527" s="73"/>
      <c r="D527" s="73"/>
      <c r="E527" s="73"/>
      <c r="F527" s="72"/>
    </row>
    <row r="528" ht="14.25" customHeight="1">
      <c r="A528" s="73"/>
      <c r="B528" s="73"/>
      <c r="C528" s="73"/>
      <c r="D528" s="73"/>
      <c r="E528" s="73"/>
      <c r="F528" s="72"/>
    </row>
    <row r="529" ht="14.25" customHeight="1">
      <c r="A529" s="73"/>
      <c r="B529" s="73"/>
      <c r="C529" s="73"/>
      <c r="D529" s="73"/>
      <c r="E529" s="73"/>
      <c r="F529" s="72"/>
    </row>
    <row r="530" ht="14.25" customHeight="1">
      <c r="A530" s="73"/>
      <c r="B530" s="73"/>
      <c r="C530" s="73"/>
      <c r="D530" s="73"/>
      <c r="E530" s="73"/>
      <c r="F530" s="72"/>
    </row>
    <row r="531" ht="14.25" customHeight="1">
      <c r="A531" s="73"/>
      <c r="B531" s="73"/>
      <c r="C531" s="73"/>
      <c r="D531" s="73"/>
      <c r="E531" s="73"/>
      <c r="F531" s="72"/>
    </row>
    <row r="532" ht="14.25" customHeight="1">
      <c r="A532" s="73"/>
      <c r="B532" s="73"/>
      <c r="C532" s="73"/>
      <c r="D532" s="73"/>
      <c r="E532" s="73"/>
      <c r="F532" s="72"/>
    </row>
    <row r="533" ht="14.25" customHeight="1">
      <c r="A533" s="73"/>
      <c r="B533" s="73"/>
      <c r="C533" s="73"/>
      <c r="D533" s="73"/>
      <c r="E533" s="73"/>
      <c r="F533" s="72"/>
    </row>
    <row r="534" ht="14.25" customHeight="1">
      <c r="A534" s="73"/>
      <c r="B534" s="73"/>
      <c r="C534" s="73"/>
      <c r="D534" s="73"/>
      <c r="E534" s="73"/>
      <c r="F534" s="72"/>
    </row>
    <row r="535" ht="14.25" customHeight="1">
      <c r="A535" s="73"/>
      <c r="B535" s="73"/>
      <c r="C535" s="73"/>
      <c r="D535" s="73"/>
      <c r="E535" s="73"/>
      <c r="F535" s="72"/>
    </row>
    <row r="536" ht="14.25" customHeight="1">
      <c r="A536" s="73"/>
      <c r="B536" s="73"/>
      <c r="C536" s="73"/>
      <c r="D536" s="73"/>
      <c r="E536" s="73"/>
      <c r="F536" s="72"/>
    </row>
    <row r="537" ht="14.25" customHeight="1">
      <c r="A537" s="73"/>
      <c r="B537" s="73"/>
      <c r="C537" s="73"/>
      <c r="D537" s="73"/>
      <c r="E537" s="73"/>
      <c r="F537" s="72"/>
    </row>
    <row r="538" ht="14.25" customHeight="1">
      <c r="A538" s="73"/>
      <c r="B538" s="73"/>
      <c r="C538" s="73"/>
      <c r="D538" s="73"/>
      <c r="E538" s="73"/>
      <c r="F538" s="72"/>
    </row>
    <row r="539" ht="14.25" customHeight="1">
      <c r="A539" s="73"/>
      <c r="B539" s="73"/>
      <c r="C539" s="73"/>
      <c r="D539" s="73"/>
      <c r="E539" s="73"/>
      <c r="F539" s="72"/>
    </row>
    <row r="540" ht="14.25" customHeight="1">
      <c r="A540" s="73"/>
      <c r="B540" s="73"/>
      <c r="C540" s="73"/>
      <c r="D540" s="73"/>
      <c r="E540" s="73"/>
      <c r="F540" s="72"/>
    </row>
    <row r="541" ht="14.25" customHeight="1">
      <c r="A541" s="73"/>
      <c r="B541" s="73"/>
      <c r="C541" s="73"/>
      <c r="D541" s="73"/>
      <c r="E541" s="73"/>
      <c r="F541" s="72"/>
    </row>
    <row r="542" ht="14.25" customHeight="1">
      <c r="A542" s="73"/>
      <c r="B542" s="73"/>
      <c r="C542" s="73"/>
      <c r="D542" s="73"/>
      <c r="E542" s="73"/>
      <c r="F542" s="72"/>
    </row>
    <row r="543" ht="14.25" customHeight="1">
      <c r="A543" s="73"/>
      <c r="B543" s="73"/>
      <c r="C543" s="73"/>
      <c r="D543" s="73"/>
      <c r="E543" s="73"/>
      <c r="F543" s="72"/>
    </row>
    <row r="544" ht="14.25" customHeight="1">
      <c r="A544" s="73"/>
      <c r="B544" s="73"/>
      <c r="C544" s="73"/>
      <c r="D544" s="73"/>
      <c r="E544" s="73"/>
      <c r="F544" s="72"/>
    </row>
    <row r="545" ht="14.25" customHeight="1">
      <c r="A545" s="73"/>
      <c r="B545" s="73"/>
      <c r="C545" s="73"/>
      <c r="D545" s="73"/>
      <c r="E545" s="73"/>
      <c r="F545" s="72"/>
    </row>
    <row r="546" ht="14.25" customHeight="1">
      <c r="A546" s="73"/>
      <c r="B546" s="73"/>
      <c r="C546" s="73"/>
      <c r="D546" s="73"/>
      <c r="E546" s="73"/>
      <c r="F546" s="72"/>
    </row>
    <row r="547" ht="14.25" customHeight="1">
      <c r="A547" s="73"/>
      <c r="B547" s="73"/>
      <c r="C547" s="73"/>
      <c r="D547" s="73"/>
      <c r="E547" s="73"/>
      <c r="F547" s="72"/>
    </row>
    <row r="548" ht="14.25" customHeight="1">
      <c r="A548" s="73"/>
      <c r="B548" s="73"/>
      <c r="C548" s="73"/>
      <c r="D548" s="73"/>
      <c r="E548" s="73"/>
      <c r="F548" s="72"/>
    </row>
    <row r="549" ht="14.25" customHeight="1">
      <c r="A549" s="73"/>
      <c r="B549" s="73"/>
      <c r="C549" s="73"/>
      <c r="D549" s="73"/>
      <c r="E549" s="73"/>
      <c r="F549" s="72"/>
    </row>
    <row r="550" ht="14.25" customHeight="1">
      <c r="A550" s="73"/>
      <c r="B550" s="73"/>
      <c r="C550" s="73"/>
      <c r="D550" s="73"/>
      <c r="E550" s="73"/>
      <c r="F550" s="72"/>
    </row>
    <row r="551" ht="14.25" customHeight="1">
      <c r="A551" s="73"/>
      <c r="B551" s="73"/>
      <c r="C551" s="73"/>
      <c r="D551" s="73"/>
      <c r="E551" s="73"/>
      <c r="F551" s="72"/>
    </row>
    <row r="552" ht="14.25" customHeight="1">
      <c r="A552" s="73"/>
      <c r="B552" s="73"/>
      <c r="C552" s="73"/>
      <c r="D552" s="73"/>
      <c r="E552" s="73"/>
      <c r="F552" s="72"/>
    </row>
    <row r="553" ht="14.25" customHeight="1">
      <c r="A553" s="73"/>
      <c r="B553" s="73"/>
      <c r="C553" s="73"/>
      <c r="D553" s="73"/>
      <c r="E553" s="73"/>
      <c r="F553" s="72"/>
    </row>
    <row r="554" ht="14.25" customHeight="1">
      <c r="A554" s="73"/>
      <c r="B554" s="73"/>
      <c r="C554" s="73"/>
      <c r="D554" s="73"/>
      <c r="E554" s="73"/>
      <c r="F554" s="72"/>
    </row>
    <row r="555" ht="14.25" customHeight="1">
      <c r="A555" s="73"/>
      <c r="B555" s="73"/>
      <c r="C555" s="73"/>
      <c r="D555" s="73"/>
      <c r="E555" s="73"/>
      <c r="F555" s="72"/>
    </row>
    <row r="556" ht="14.25" customHeight="1">
      <c r="A556" s="73"/>
      <c r="B556" s="73"/>
      <c r="C556" s="73"/>
      <c r="D556" s="73"/>
      <c r="E556" s="73"/>
      <c r="F556" s="72"/>
    </row>
    <row r="557" ht="14.25" customHeight="1">
      <c r="A557" s="73"/>
      <c r="B557" s="73"/>
      <c r="C557" s="73"/>
      <c r="D557" s="73"/>
      <c r="E557" s="73"/>
      <c r="F557" s="72"/>
    </row>
    <row r="558" ht="14.25" customHeight="1">
      <c r="A558" s="73"/>
      <c r="B558" s="73"/>
      <c r="C558" s="73"/>
      <c r="D558" s="73"/>
      <c r="E558" s="73"/>
      <c r="F558" s="72"/>
    </row>
    <row r="559" ht="14.25" customHeight="1">
      <c r="A559" s="73"/>
      <c r="B559" s="73"/>
      <c r="C559" s="73"/>
      <c r="D559" s="73"/>
      <c r="E559" s="73"/>
      <c r="F559" s="72"/>
    </row>
    <row r="560" ht="14.25" customHeight="1">
      <c r="A560" s="73"/>
      <c r="B560" s="73"/>
      <c r="C560" s="73"/>
      <c r="D560" s="73"/>
      <c r="E560" s="73"/>
      <c r="F560" s="72"/>
    </row>
    <row r="561" ht="14.25" customHeight="1">
      <c r="A561" s="73"/>
      <c r="B561" s="73"/>
      <c r="C561" s="73"/>
      <c r="D561" s="73"/>
      <c r="E561" s="73"/>
      <c r="F561" s="72"/>
    </row>
    <row r="562" ht="14.25" customHeight="1">
      <c r="A562" s="73"/>
      <c r="B562" s="73"/>
      <c r="C562" s="73"/>
      <c r="D562" s="73"/>
      <c r="E562" s="73"/>
      <c r="F562" s="72"/>
    </row>
    <row r="563" ht="14.25" customHeight="1">
      <c r="A563" s="73"/>
      <c r="B563" s="73"/>
      <c r="C563" s="73"/>
      <c r="D563" s="73"/>
      <c r="E563" s="73"/>
      <c r="F563" s="72"/>
    </row>
    <row r="564" ht="14.25" customHeight="1">
      <c r="A564" s="73"/>
      <c r="B564" s="73"/>
      <c r="C564" s="73"/>
      <c r="D564" s="73"/>
      <c r="E564" s="73"/>
      <c r="F564" s="72"/>
    </row>
    <row r="565" ht="14.25" customHeight="1">
      <c r="A565" s="73"/>
      <c r="B565" s="73"/>
      <c r="C565" s="73"/>
      <c r="D565" s="73"/>
      <c r="E565" s="73"/>
      <c r="F565" s="72"/>
    </row>
    <row r="566" ht="14.25" customHeight="1">
      <c r="A566" s="73"/>
      <c r="B566" s="73"/>
      <c r="C566" s="73"/>
      <c r="D566" s="73"/>
      <c r="E566" s="73"/>
      <c r="F566" s="72"/>
    </row>
    <row r="567" ht="14.25" customHeight="1">
      <c r="A567" s="73"/>
      <c r="B567" s="73"/>
      <c r="C567" s="73"/>
      <c r="D567" s="73"/>
      <c r="E567" s="73"/>
      <c r="F567" s="72"/>
    </row>
    <row r="568" ht="14.25" customHeight="1">
      <c r="A568" s="73"/>
      <c r="B568" s="73"/>
      <c r="C568" s="73"/>
      <c r="D568" s="73"/>
      <c r="E568" s="73"/>
      <c r="F568" s="72"/>
    </row>
    <row r="569" ht="14.25" customHeight="1">
      <c r="A569" s="73"/>
      <c r="B569" s="73"/>
      <c r="C569" s="73"/>
      <c r="D569" s="73"/>
      <c r="E569" s="73"/>
      <c r="F569" s="72"/>
    </row>
    <row r="570" ht="14.25" customHeight="1">
      <c r="A570" s="73"/>
      <c r="B570" s="73"/>
      <c r="C570" s="73"/>
      <c r="D570" s="73"/>
      <c r="E570" s="73"/>
      <c r="F570" s="72"/>
    </row>
    <row r="571" ht="14.25" customHeight="1">
      <c r="A571" s="73"/>
      <c r="B571" s="73"/>
      <c r="C571" s="73"/>
      <c r="D571" s="73"/>
      <c r="E571" s="73"/>
      <c r="F571" s="72"/>
    </row>
    <row r="572" ht="14.25" customHeight="1">
      <c r="A572" s="73"/>
      <c r="B572" s="73"/>
      <c r="C572" s="73"/>
      <c r="D572" s="73"/>
      <c r="E572" s="73"/>
      <c r="F572" s="72"/>
    </row>
    <row r="573" ht="14.25" customHeight="1">
      <c r="A573" s="73"/>
      <c r="B573" s="73"/>
      <c r="C573" s="73"/>
      <c r="D573" s="73"/>
      <c r="E573" s="73"/>
      <c r="F573" s="72"/>
    </row>
    <row r="574" ht="14.25" customHeight="1">
      <c r="A574" s="73"/>
      <c r="B574" s="73"/>
      <c r="C574" s="73"/>
      <c r="D574" s="73"/>
      <c r="E574" s="73"/>
      <c r="F574" s="72"/>
    </row>
    <row r="575" ht="14.25" customHeight="1">
      <c r="A575" s="73"/>
      <c r="B575" s="73"/>
      <c r="C575" s="73"/>
      <c r="D575" s="73"/>
      <c r="E575" s="73"/>
      <c r="F575" s="72"/>
    </row>
    <row r="576" ht="14.25" customHeight="1">
      <c r="A576" s="73"/>
      <c r="B576" s="73"/>
      <c r="C576" s="73"/>
      <c r="D576" s="73"/>
      <c r="E576" s="73"/>
      <c r="F576" s="72"/>
    </row>
    <row r="577" ht="14.25" customHeight="1">
      <c r="A577" s="73"/>
      <c r="B577" s="73"/>
      <c r="C577" s="73"/>
      <c r="D577" s="73"/>
      <c r="E577" s="73"/>
      <c r="F577" s="72"/>
    </row>
    <row r="578" ht="14.25" customHeight="1">
      <c r="A578" s="73"/>
      <c r="B578" s="73"/>
      <c r="C578" s="73"/>
      <c r="D578" s="73"/>
      <c r="E578" s="73"/>
      <c r="F578" s="72"/>
    </row>
    <row r="579" ht="14.25" customHeight="1">
      <c r="A579" s="73"/>
      <c r="B579" s="73"/>
      <c r="C579" s="73"/>
      <c r="D579" s="73"/>
      <c r="E579" s="73"/>
      <c r="F579" s="72"/>
    </row>
    <row r="580" ht="14.25" customHeight="1">
      <c r="A580" s="73"/>
      <c r="B580" s="73"/>
      <c r="C580" s="73"/>
      <c r="D580" s="73"/>
      <c r="E580" s="73"/>
      <c r="F580" s="72"/>
    </row>
    <row r="581" ht="14.25" customHeight="1">
      <c r="A581" s="73"/>
      <c r="B581" s="73"/>
      <c r="C581" s="73"/>
      <c r="D581" s="73"/>
      <c r="E581" s="73"/>
      <c r="F581" s="72"/>
    </row>
    <row r="582" ht="14.25" customHeight="1">
      <c r="A582" s="73"/>
      <c r="B582" s="73"/>
      <c r="C582" s="73"/>
      <c r="D582" s="73"/>
      <c r="E582" s="73"/>
      <c r="F582" s="72"/>
    </row>
    <row r="583" ht="14.25" customHeight="1">
      <c r="A583" s="73"/>
      <c r="B583" s="73"/>
      <c r="C583" s="73"/>
      <c r="D583" s="73"/>
      <c r="E583" s="73"/>
      <c r="F583" s="72"/>
    </row>
    <row r="584" ht="14.25" customHeight="1">
      <c r="A584" s="73"/>
      <c r="B584" s="73"/>
      <c r="C584" s="73"/>
      <c r="D584" s="73"/>
      <c r="E584" s="73"/>
      <c r="F584" s="72"/>
    </row>
    <row r="585" ht="14.25" customHeight="1">
      <c r="A585" s="73"/>
      <c r="B585" s="73"/>
      <c r="C585" s="73"/>
      <c r="D585" s="73"/>
      <c r="E585" s="73"/>
      <c r="F585" s="72"/>
    </row>
    <row r="586" ht="14.25" customHeight="1">
      <c r="A586" s="73"/>
      <c r="B586" s="73"/>
      <c r="C586" s="73"/>
      <c r="D586" s="73"/>
      <c r="E586" s="73"/>
      <c r="F586" s="72"/>
    </row>
    <row r="587" ht="14.25" customHeight="1">
      <c r="A587" s="73"/>
      <c r="B587" s="73"/>
      <c r="C587" s="73"/>
      <c r="D587" s="73"/>
      <c r="E587" s="73"/>
      <c r="F587" s="72"/>
    </row>
    <row r="588" ht="14.25" customHeight="1">
      <c r="A588" s="73"/>
      <c r="B588" s="73"/>
      <c r="C588" s="73"/>
      <c r="D588" s="73"/>
      <c r="E588" s="73"/>
      <c r="F588" s="72"/>
    </row>
    <row r="589" ht="14.25" customHeight="1">
      <c r="A589" s="73"/>
      <c r="B589" s="73"/>
      <c r="C589" s="73"/>
      <c r="D589" s="73"/>
      <c r="E589" s="73"/>
      <c r="F589" s="72"/>
    </row>
    <row r="590" ht="14.25" customHeight="1">
      <c r="A590" s="73"/>
      <c r="B590" s="73"/>
      <c r="C590" s="73"/>
      <c r="D590" s="73"/>
      <c r="E590" s="73"/>
      <c r="F590" s="72"/>
    </row>
    <row r="591" ht="14.25" customHeight="1">
      <c r="A591" s="73"/>
      <c r="B591" s="73"/>
      <c r="C591" s="73"/>
      <c r="D591" s="73"/>
      <c r="E591" s="73"/>
      <c r="F591" s="72"/>
    </row>
    <row r="592" ht="14.25" customHeight="1">
      <c r="A592" s="73"/>
      <c r="B592" s="73"/>
      <c r="C592" s="73"/>
      <c r="D592" s="73"/>
      <c r="E592" s="73"/>
      <c r="F592" s="72"/>
    </row>
    <row r="593" ht="14.25" customHeight="1">
      <c r="A593" s="73"/>
      <c r="B593" s="73"/>
      <c r="C593" s="73"/>
      <c r="D593" s="73"/>
      <c r="E593" s="73"/>
      <c r="F593" s="72"/>
    </row>
    <row r="594" ht="14.25" customHeight="1">
      <c r="A594" s="73"/>
      <c r="B594" s="73"/>
      <c r="C594" s="73"/>
      <c r="D594" s="73"/>
      <c r="E594" s="73"/>
      <c r="F594" s="72"/>
    </row>
    <row r="595" ht="14.25" customHeight="1">
      <c r="A595" s="73"/>
      <c r="B595" s="73"/>
      <c r="C595" s="73"/>
      <c r="D595" s="73"/>
      <c r="E595" s="73"/>
      <c r="F595" s="72"/>
    </row>
    <row r="596" ht="14.25" customHeight="1">
      <c r="A596" s="73"/>
      <c r="B596" s="73"/>
      <c r="C596" s="73"/>
      <c r="D596" s="73"/>
      <c r="E596" s="73"/>
      <c r="F596" s="72"/>
    </row>
    <row r="597" ht="14.25" customHeight="1">
      <c r="A597" s="73"/>
      <c r="B597" s="73"/>
      <c r="C597" s="73"/>
      <c r="D597" s="73"/>
      <c r="E597" s="73"/>
      <c r="F597" s="72"/>
    </row>
    <row r="598" ht="14.25" customHeight="1">
      <c r="A598" s="73"/>
      <c r="B598" s="73"/>
      <c r="C598" s="73"/>
      <c r="D598" s="73"/>
      <c r="E598" s="73"/>
      <c r="F598" s="72"/>
    </row>
    <row r="599" ht="14.25" customHeight="1">
      <c r="A599" s="73"/>
      <c r="B599" s="73"/>
      <c r="C599" s="73"/>
      <c r="D599" s="73"/>
      <c r="E599" s="73"/>
      <c r="F599" s="72"/>
    </row>
    <row r="600" ht="14.25" customHeight="1">
      <c r="A600" s="73"/>
      <c r="B600" s="73"/>
      <c r="C600" s="73"/>
      <c r="D600" s="73"/>
      <c r="E600" s="73"/>
      <c r="F600" s="72"/>
    </row>
    <row r="601" ht="14.25" customHeight="1">
      <c r="A601" s="73"/>
      <c r="B601" s="73"/>
      <c r="C601" s="73"/>
      <c r="D601" s="73"/>
      <c r="E601" s="73"/>
      <c r="F601" s="72"/>
    </row>
    <row r="602" ht="14.25" customHeight="1">
      <c r="A602" s="73"/>
      <c r="B602" s="73"/>
      <c r="C602" s="73"/>
      <c r="D602" s="73"/>
      <c r="E602" s="73"/>
      <c r="F602" s="72"/>
    </row>
    <row r="603" ht="14.25" customHeight="1">
      <c r="A603" s="73"/>
      <c r="B603" s="73"/>
      <c r="C603" s="73"/>
      <c r="D603" s="73"/>
      <c r="E603" s="73"/>
      <c r="F603" s="72"/>
    </row>
    <row r="604" ht="14.25" customHeight="1">
      <c r="A604" s="73"/>
      <c r="B604" s="73"/>
      <c r="C604" s="73"/>
      <c r="D604" s="73"/>
      <c r="E604" s="73"/>
      <c r="F604" s="72"/>
    </row>
    <row r="605" ht="14.25" customHeight="1">
      <c r="A605" s="73"/>
      <c r="B605" s="73"/>
      <c r="C605" s="73"/>
      <c r="D605" s="73"/>
      <c r="E605" s="73"/>
      <c r="F605" s="72"/>
    </row>
    <row r="606" ht="14.25" customHeight="1">
      <c r="A606" s="73"/>
      <c r="B606" s="73"/>
      <c r="C606" s="73"/>
      <c r="D606" s="73"/>
      <c r="E606" s="73"/>
      <c r="F606" s="72"/>
    </row>
    <row r="607" ht="14.25" customHeight="1">
      <c r="A607" s="73"/>
      <c r="B607" s="73"/>
      <c r="C607" s="73"/>
      <c r="D607" s="73"/>
      <c r="E607" s="73"/>
      <c r="F607" s="72"/>
    </row>
    <row r="608" ht="14.25" customHeight="1">
      <c r="A608" s="73"/>
      <c r="B608" s="73"/>
      <c r="C608" s="73"/>
      <c r="D608" s="73"/>
      <c r="E608" s="73"/>
      <c r="F608" s="72"/>
    </row>
    <row r="609" ht="14.25" customHeight="1">
      <c r="A609" s="73"/>
      <c r="B609" s="73"/>
      <c r="C609" s="73"/>
      <c r="D609" s="73"/>
      <c r="E609" s="73"/>
      <c r="F609" s="72"/>
    </row>
    <row r="610" ht="14.25" customHeight="1">
      <c r="A610" s="73"/>
      <c r="B610" s="73"/>
      <c r="C610" s="73"/>
      <c r="D610" s="73"/>
      <c r="E610" s="73"/>
      <c r="F610" s="72"/>
    </row>
    <row r="611" ht="14.25" customHeight="1">
      <c r="A611" s="73"/>
      <c r="B611" s="73"/>
      <c r="C611" s="73"/>
      <c r="D611" s="73"/>
      <c r="E611" s="73"/>
      <c r="F611" s="72"/>
    </row>
    <row r="612" ht="14.25" customHeight="1">
      <c r="A612" s="73"/>
      <c r="B612" s="73"/>
      <c r="C612" s="73"/>
      <c r="D612" s="73"/>
      <c r="E612" s="73"/>
      <c r="F612" s="72"/>
    </row>
    <row r="613" ht="14.25" customHeight="1">
      <c r="A613" s="73"/>
      <c r="B613" s="73"/>
      <c r="C613" s="73"/>
      <c r="D613" s="73"/>
      <c r="E613" s="73"/>
      <c r="F613" s="72"/>
    </row>
    <row r="614" ht="14.25" customHeight="1">
      <c r="A614" s="73"/>
      <c r="B614" s="73"/>
      <c r="C614" s="73"/>
      <c r="D614" s="73"/>
      <c r="E614" s="73"/>
      <c r="F614" s="72"/>
    </row>
    <row r="615" ht="14.25" customHeight="1">
      <c r="A615" s="73"/>
      <c r="B615" s="73"/>
      <c r="C615" s="73"/>
      <c r="D615" s="73"/>
      <c r="E615" s="73"/>
      <c r="F615" s="72"/>
    </row>
    <row r="616" ht="14.25" customHeight="1">
      <c r="A616" s="73"/>
      <c r="B616" s="73"/>
      <c r="C616" s="73"/>
      <c r="D616" s="73"/>
      <c r="E616" s="73"/>
      <c r="F616" s="72"/>
    </row>
    <row r="617" ht="14.25" customHeight="1">
      <c r="A617" s="73"/>
      <c r="B617" s="73"/>
      <c r="C617" s="73"/>
      <c r="D617" s="73"/>
      <c r="E617" s="73"/>
      <c r="F617" s="72"/>
    </row>
    <row r="618" ht="14.25" customHeight="1">
      <c r="A618" s="73"/>
      <c r="B618" s="73"/>
      <c r="C618" s="73"/>
      <c r="D618" s="73"/>
      <c r="E618" s="73"/>
      <c r="F618" s="72"/>
    </row>
    <row r="619" ht="14.25" customHeight="1">
      <c r="A619" s="73"/>
      <c r="B619" s="73"/>
      <c r="C619" s="73"/>
      <c r="D619" s="73"/>
      <c r="E619" s="73"/>
      <c r="F619" s="72"/>
    </row>
    <row r="620" ht="14.25" customHeight="1">
      <c r="A620" s="73"/>
      <c r="B620" s="73"/>
      <c r="C620" s="73"/>
      <c r="D620" s="73"/>
      <c r="E620" s="73"/>
      <c r="F620" s="72"/>
    </row>
    <row r="621" ht="14.25" customHeight="1">
      <c r="A621" s="73"/>
      <c r="B621" s="73"/>
      <c r="C621" s="73"/>
      <c r="D621" s="73"/>
      <c r="E621" s="73"/>
      <c r="F621" s="72"/>
    </row>
    <row r="622" ht="14.25" customHeight="1">
      <c r="A622" s="73"/>
      <c r="B622" s="73"/>
      <c r="C622" s="73"/>
      <c r="D622" s="73"/>
      <c r="E622" s="73"/>
      <c r="F622" s="72"/>
    </row>
    <row r="623" ht="14.25" customHeight="1">
      <c r="A623" s="73"/>
      <c r="B623" s="73"/>
      <c r="C623" s="73"/>
      <c r="D623" s="73"/>
      <c r="E623" s="73"/>
      <c r="F623" s="72"/>
    </row>
    <row r="624" ht="14.25" customHeight="1">
      <c r="A624" s="73"/>
      <c r="B624" s="73"/>
      <c r="C624" s="73"/>
      <c r="D624" s="73"/>
      <c r="E624" s="73"/>
      <c r="F624" s="72"/>
    </row>
    <row r="625" ht="14.25" customHeight="1">
      <c r="A625" s="73"/>
      <c r="B625" s="73"/>
      <c r="C625" s="73"/>
      <c r="D625" s="73"/>
      <c r="E625" s="73"/>
      <c r="F625" s="72"/>
    </row>
    <row r="626" ht="14.25" customHeight="1">
      <c r="A626" s="73"/>
      <c r="B626" s="73"/>
      <c r="C626" s="73"/>
      <c r="D626" s="73"/>
      <c r="E626" s="73"/>
      <c r="F626" s="72"/>
    </row>
    <row r="627" ht="14.25" customHeight="1">
      <c r="A627" s="73"/>
      <c r="B627" s="73"/>
      <c r="C627" s="73"/>
      <c r="D627" s="73"/>
      <c r="E627" s="73"/>
      <c r="F627" s="72"/>
    </row>
    <row r="628" ht="14.25" customHeight="1">
      <c r="A628" s="73"/>
      <c r="B628" s="73"/>
      <c r="C628" s="73"/>
      <c r="D628" s="73"/>
      <c r="E628" s="73"/>
      <c r="F628" s="72"/>
    </row>
    <row r="629" ht="14.25" customHeight="1">
      <c r="A629" s="73"/>
      <c r="B629" s="73"/>
      <c r="C629" s="73"/>
      <c r="D629" s="73"/>
      <c r="E629" s="73"/>
      <c r="F629" s="72"/>
    </row>
    <row r="630" ht="14.25" customHeight="1">
      <c r="A630" s="73"/>
      <c r="B630" s="73"/>
      <c r="C630" s="73"/>
      <c r="D630" s="73"/>
      <c r="E630" s="73"/>
      <c r="F630" s="72"/>
    </row>
    <row r="631" ht="14.25" customHeight="1">
      <c r="A631" s="73"/>
      <c r="B631" s="73"/>
      <c r="C631" s="73"/>
      <c r="D631" s="73"/>
      <c r="E631" s="73"/>
      <c r="F631" s="72"/>
    </row>
    <row r="632" ht="14.25" customHeight="1">
      <c r="A632" s="73"/>
      <c r="B632" s="73"/>
      <c r="C632" s="73"/>
      <c r="D632" s="73"/>
      <c r="E632" s="73"/>
      <c r="F632" s="72"/>
    </row>
    <row r="633" ht="14.25" customHeight="1">
      <c r="A633" s="73"/>
      <c r="B633" s="73"/>
      <c r="C633" s="73"/>
      <c r="D633" s="73"/>
      <c r="E633" s="73"/>
      <c r="F633" s="72"/>
    </row>
    <row r="634" ht="14.25" customHeight="1">
      <c r="A634" s="73"/>
      <c r="B634" s="73"/>
      <c r="C634" s="73"/>
      <c r="D634" s="73"/>
      <c r="E634" s="73"/>
      <c r="F634" s="72"/>
    </row>
    <row r="635" ht="14.25" customHeight="1">
      <c r="A635" s="73"/>
      <c r="B635" s="73"/>
      <c r="C635" s="73"/>
      <c r="D635" s="73"/>
      <c r="E635" s="73"/>
      <c r="F635" s="72"/>
    </row>
    <row r="636" ht="14.25" customHeight="1">
      <c r="A636" s="73"/>
      <c r="B636" s="73"/>
      <c r="C636" s="73"/>
      <c r="D636" s="73"/>
      <c r="E636" s="73"/>
      <c r="F636" s="72"/>
    </row>
    <row r="637" ht="14.25" customHeight="1">
      <c r="A637" s="73"/>
      <c r="B637" s="73"/>
      <c r="C637" s="73"/>
      <c r="D637" s="73"/>
      <c r="E637" s="73"/>
      <c r="F637" s="72"/>
    </row>
    <row r="638" ht="14.25" customHeight="1">
      <c r="A638" s="73"/>
      <c r="B638" s="73"/>
      <c r="C638" s="73"/>
      <c r="D638" s="73"/>
      <c r="E638" s="73"/>
      <c r="F638" s="72"/>
    </row>
    <row r="639" ht="14.25" customHeight="1">
      <c r="A639" s="73"/>
      <c r="B639" s="73"/>
      <c r="C639" s="73"/>
      <c r="D639" s="73"/>
      <c r="E639" s="73"/>
      <c r="F639" s="72"/>
    </row>
    <row r="640" ht="14.25" customHeight="1">
      <c r="A640" s="73"/>
      <c r="B640" s="73"/>
      <c r="C640" s="73"/>
      <c r="D640" s="73"/>
      <c r="E640" s="73"/>
      <c r="F640" s="72"/>
    </row>
    <row r="641" ht="14.25" customHeight="1">
      <c r="A641" s="73"/>
      <c r="B641" s="73"/>
      <c r="C641" s="73"/>
      <c r="D641" s="73"/>
      <c r="E641" s="73"/>
      <c r="F641" s="72"/>
    </row>
    <row r="642" ht="14.25" customHeight="1">
      <c r="A642" s="73"/>
      <c r="B642" s="73"/>
      <c r="C642" s="73"/>
      <c r="D642" s="73"/>
      <c r="E642" s="73"/>
      <c r="F642" s="72"/>
    </row>
    <row r="643" ht="14.25" customHeight="1">
      <c r="A643" s="73"/>
      <c r="B643" s="73"/>
      <c r="C643" s="73"/>
      <c r="D643" s="73"/>
      <c r="E643" s="73"/>
      <c r="F643" s="72"/>
    </row>
    <row r="644" ht="14.25" customHeight="1">
      <c r="A644" s="73"/>
      <c r="B644" s="73"/>
      <c r="C644" s="73"/>
      <c r="D644" s="73"/>
      <c r="E644" s="73"/>
      <c r="F644" s="72"/>
    </row>
    <row r="645" ht="14.25" customHeight="1">
      <c r="A645" s="73"/>
      <c r="B645" s="73"/>
      <c r="C645" s="73"/>
      <c r="D645" s="73"/>
      <c r="E645" s="73"/>
      <c r="F645" s="72"/>
    </row>
    <row r="646" ht="14.25" customHeight="1">
      <c r="A646" s="73"/>
      <c r="B646" s="73"/>
      <c r="C646" s="73"/>
      <c r="D646" s="73"/>
      <c r="E646" s="73"/>
      <c r="F646" s="72"/>
    </row>
    <row r="647" ht="14.25" customHeight="1">
      <c r="A647" s="73"/>
      <c r="B647" s="73"/>
      <c r="C647" s="73"/>
      <c r="D647" s="73"/>
      <c r="E647" s="73"/>
      <c r="F647" s="72"/>
    </row>
    <row r="648" ht="14.25" customHeight="1">
      <c r="A648" s="73"/>
      <c r="B648" s="73"/>
      <c r="C648" s="73"/>
      <c r="D648" s="73"/>
      <c r="E648" s="73"/>
      <c r="F648" s="72"/>
    </row>
    <row r="649" ht="14.25" customHeight="1">
      <c r="A649" s="73"/>
      <c r="B649" s="73"/>
      <c r="C649" s="73"/>
      <c r="D649" s="73"/>
      <c r="E649" s="73"/>
      <c r="F649" s="72"/>
    </row>
    <row r="650" ht="14.25" customHeight="1">
      <c r="A650" s="73"/>
      <c r="B650" s="73"/>
      <c r="C650" s="73"/>
      <c r="D650" s="73"/>
      <c r="E650" s="73"/>
      <c r="F650" s="72"/>
    </row>
    <row r="651" ht="14.25" customHeight="1">
      <c r="A651" s="73"/>
      <c r="B651" s="73"/>
      <c r="C651" s="73"/>
      <c r="D651" s="73"/>
      <c r="E651" s="73"/>
      <c r="F651" s="72"/>
    </row>
    <row r="652" ht="14.25" customHeight="1">
      <c r="A652" s="73"/>
      <c r="B652" s="73"/>
      <c r="C652" s="73"/>
      <c r="D652" s="73"/>
      <c r="E652" s="73"/>
      <c r="F652" s="72"/>
    </row>
    <row r="653" ht="14.25" customHeight="1">
      <c r="A653" s="73"/>
      <c r="B653" s="73"/>
      <c r="C653" s="73"/>
      <c r="D653" s="73"/>
      <c r="E653" s="73"/>
      <c r="F653" s="72"/>
    </row>
    <row r="654" ht="14.25" customHeight="1">
      <c r="A654" s="73"/>
      <c r="B654" s="73"/>
      <c r="C654" s="73"/>
      <c r="D654" s="73"/>
      <c r="E654" s="73"/>
      <c r="F654" s="72"/>
    </row>
    <row r="655" ht="14.25" customHeight="1">
      <c r="A655" s="73"/>
      <c r="B655" s="73"/>
      <c r="C655" s="73"/>
      <c r="D655" s="73"/>
      <c r="E655" s="73"/>
      <c r="F655" s="72"/>
    </row>
    <row r="656" ht="14.25" customHeight="1">
      <c r="A656" s="73"/>
      <c r="B656" s="73"/>
      <c r="C656" s="73"/>
      <c r="D656" s="73"/>
      <c r="E656" s="73"/>
      <c r="F656" s="72"/>
    </row>
    <row r="657" ht="14.25" customHeight="1">
      <c r="A657" s="73"/>
      <c r="B657" s="73"/>
      <c r="C657" s="73"/>
      <c r="D657" s="73"/>
      <c r="E657" s="73"/>
      <c r="F657" s="72"/>
    </row>
    <row r="658" ht="14.25" customHeight="1">
      <c r="A658" s="73"/>
      <c r="B658" s="73"/>
      <c r="C658" s="73"/>
      <c r="D658" s="73"/>
      <c r="E658" s="73"/>
      <c r="F658" s="72"/>
    </row>
    <row r="659" ht="14.25" customHeight="1">
      <c r="A659" s="73"/>
      <c r="B659" s="73"/>
      <c r="C659" s="73"/>
      <c r="D659" s="73"/>
      <c r="E659" s="73"/>
      <c r="F659" s="72"/>
    </row>
    <row r="660" ht="14.25" customHeight="1">
      <c r="A660" s="73"/>
      <c r="B660" s="73"/>
      <c r="C660" s="73"/>
      <c r="D660" s="73"/>
      <c r="E660" s="73"/>
      <c r="F660" s="72"/>
    </row>
    <row r="661" ht="14.25" customHeight="1">
      <c r="A661" s="73"/>
      <c r="B661" s="73"/>
      <c r="C661" s="73"/>
      <c r="D661" s="73"/>
      <c r="E661" s="73"/>
      <c r="F661" s="72"/>
    </row>
    <row r="662" ht="14.25" customHeight="1">
      <c r="A662" s="73"/>
      <c r="B662" s="73"/>
      <c r="C662" s="73"/>
      <c r="D662" s="73"/>
      <c r="E662" s="73"/>
      <c r="F662" s="72"/>
    </row>
    <row r="663" ht="14.25" customHeight="1">
      <c r="A663" s="73"/>
      <c r="B663" s="73"/>
      <c r="C663" s="73"/>
      <c r="D663" s="73"/>
      <c r="E663" s="73"/>
      <c r="F663" s="72"/>
    </row>
    <row r="664" ht="14.25" customHeight="1">
      <c r="A664" s="73"/>
      <c r="B664" s="73"/>
      <c r="C664" s="73"/>
      <c r="D664" s="73"/>
      <c r="E664" s="73"/>
      <c r="F664" s="72"/>
    </row>
    <row r="665" ht="14.25" customHeight="1">
      <c r="A665" s="73"/>
      <c r="B665" s="73"/>
      <c r="C665" s="73"/>
      <c r="D665" s="73"/>
      <c r="E665" s="73"/>
      <c r="F665" s="72"/>
    </row>
    <row r="666" ht="14.25" customHeight="1">
      <c r="A666" s="73"/>
      <c r="B666" s="73"/>
      <c r="C666" s="73"/>
      <c r="D666" s="73"/>
      <c r="E666" s="73"/>
      <c r="F666" s="72"/>
    </row>
    <row r="667" ht="14.25" customHeight="1">
      <c r="A667" s="73"/>
      <c r="B667" s="73"/>
      <c r="C667" s="73"/>
      <c r="D667" s="73"/>
      <c r="E667" s="73"/>
      <c r="F667" s="72"/>
    </row>
    <row r="668" ht="14.25" customHeight="1">
      <c r="A668" s="73"/>
      <c r="B668" s="73"/>
      <c r="C668" s="73"/>
      <c r="D668" s="73"/>
      <c r="E668" s="73"/>
      <c r="F668" s="72"/>
    </row>
    <row r="669" ht="14.25" customHeight="1">
      <c r="A669" s="73"/>
      <c r="B669" s="73"/>
      <c r="C669" s="73"/>
      <c r="D669" s="73"/>
      <c r="E669" s="73"/>
      <c r="F669" s="72"/>
    </row>
    <row r="670" ht="14.25" customHeight="1">
      <c r="A670" s="73"/>
      <c r="B670" s="73"/>
      <c r="C670" s="73"/>
      <c r="D670" s="73"/>
      <c r="E670" s="73"/>
      <c r="F670" s="72"/>
    </row>
    <row r="671" ht="14.25" customHeight="1">
      <c r="A671" s="73"/>
      <c r="B671" s="73"/>
      <c r="C671" s="73"/>
      <c r="D671" s="73"/>
      <c r="E671" s="73"/>
      <c r="F671" s="72"/>
    </row>
    <row r="672" ht="14.25" customHeight="1">
      <c r="A672" s="73"/>
      <c r="B672" s="73"/>
      <c r="C672" s="73"/>
      <c r="D672" s="73"/>
      <c r="E672" s="73"/>
      <c r="F672" s="72"/>
    </row>
    <row r="673" ht="14.25" customHeight="1">
      <c r="A673" s="73"/>
      <c r="B673" s="73"/>
      <c r="C673" s="73"/>
      <c r="D673" s="73"/>
      <c r="E673" s="73"/>
      <c r="F673" s="72"/>
    </row>
    <row r="674" ht="14.25" customHeight="1">
      <c r="A674" s="73"/>
      <c r="B674" s="73"/>
      <c r="C674" s="73"/>
      <c r="D674" s="73"/>
      <c r="E674" s="73"/>
      <c r="F674" s="72"/>
    </row>
    <row r="675" ht="14.25" customHeight="1">
      <c r="A675" s="73"/>
      <c r="B675" s="73"/>
      <c r="C675" s="73"/>
      <c r="D675" s="73"/>
      <c r="E675" s="73"/>
      <c r="F675" s="72"/>
    </row>
    <row r="676" ht="14.25" customHeight="1">
      <c r="A676" s="73"/>
      <c r="B676" s="73"/>
      <c r="C676" s="73"/>
      <c r="D676" s="73"/>
      <c r="E676" s="73"/>
      <c r="F676" s="72"/>
    </row>
    <row r="677" ht="14.25" customHeight="1">
      <c r="A677" s="73"/>
      <c r="B677" s="73"/>
      <c r="C677" s="73"/>
      <c r="D677" s="73"/>
      <c r="E677" s="73"/>
      <c r="F677" s="72"/>
    </row>
    <row r="678" ht="14.25" customHeight="1">
      <c r="A678" s="73"/>
      <c r="B678" s="73"/>
      <c r="C678" s="73"/>
      <c r="D678" s="73"/>
      <c r="E678" s="73"/>
      <c r="F678" s="72"/>
    </row>
    <row r="679" ht="14.25" customHeight="1">
      <c r="A679" s="73"/>
      <c r="B679" s="73"/>
      <c r="C679" s="73"/>
      <c r="D679" s="73"/>
      <c r="E679" s="73"/>
      <c r="F679" s="72"/>
    </row>
    <row r="680" ht="14.25" customHeight="1">
      <c r="A680" s="73"/>
      <c r="B680" s="73"/>
      <c r="C680" s="73"/>
      <c r="D680" s="73"/>
      <c r="E680" s="73"/>
      <c r="F680" s="72"/>
    </row>
    <row r="681" ht="14.25" customHeight="1">
      <c r="A681" s="73"/>
      <c r="B681" s="73"/>
      <c r="C681" s="73"/>
      <c r="D681" s="73"/>
      <c r="E681" s="73"/>
      <c r="F681" s="72"/>
    </row>
    <row r="682" ht="14.25" customHeight="1">
      <c r="A682" s="73"/>
      <c r="B682" s="73"/>
      <c r="C682" s="73"/>
      <c r="D682" s="73"/>
      <c r="E682" s="73"/>
      <c r="F682" s="72"/>
    </row>
    <row r="683" ht="14.25" customHeight="1">
      <c r="A683" s="73"/>
      <c r="B683" s="73"/>
      <c r="C683" s="73"/>
      <c r="D683" s="73"/>
      <c r="E683" s="73"/>
      <c r="F683" s="72"/>
    </row>
    <row r="684" ht="14.25" customHeight="1">
      <c r="A684" s="73"/>
      <c r="B684" s="73"/>
      <c r="C684" s="73"/>
      <c r="D684" s="73"/>
      <c r="E684" s="73"/>
      <c r="F684" s="72"/>
    </row>
    <row r="685" ht="14.25" customHeight="1">
      <c r="A685" s="73"/>
      <c r="B685" s="73"/>
      <c r="C685" s="73"/>
      <c r="D685" s="73"/>
      <c r="E685" s="73"/>
      <c r="F685" s="72"/>
    </row>
    <row r="686" ht="14.25" customHeight="1">
      <c r="A686" s="73"/>
      <c r="B686" s="73"/>
      <c r="C686" s="73"/>
      <c r="D686" s="73"/>
      <c r="E686" s="73"/>
      <c r="F686" s="72"/>
    </row>
    <row r="687" ht="14.25" customHeight="1">
      <c r="A687" s="73"/>
      <c r="B687" s="73"/>
      <c r="C687" s="73"/>
      <c r="D687" s="73"/>
      <c r="E687" s="73"/>
      <c r="F687" s="72"/>
    </row>
    <row r="688" ht="14.25" customHeight="1">
      <c r="A688" s="73"/>
      <c r="B688" s="73"/>
      <c r="C688" s="73"/>
      <c r="D688" s="73"/>
      <c r="E688" s="73"/>
      <c r="F688" s="72"/>
    </row>
    <row r="689" ht="14.25" customHeight="1">
      <c r="A689" s="73"/>
      <c r="B689" s="73"/>
      <c r="C689" s="73"/>
      <c r="D689" s="73"/>
      <c r="E689" s="73"/>
      <c r="F689" s="72"/>
    </row>
    <row r="690" ht="14.25" customHeight="1">
      <c r="A690" s="73"/>
      <c r="B690" s="73"/>
      <c r="C690" s="73"/>
      <c r="D690" s="73"/>
      <c r="E690" s="73"/>
      <c r="F690" s="72"/>
    </row>
    <row r="691" ht="14.25" customHeight="1">
      <c r="A691" s="73"/>
      <c r="B691" s="73"/>
      <c r="C691" s="73"/>
      <c r="D691" s="73"/>
      <c r="E691" s="73"/>
      <c r="F691" s="72"/>
    </row>
    <row r="692" ht="14.25" customHeight="1">
      <c r="A692" s="73"/>
      <c r="B692" s="73"/>
      <c r="C692" s="73"/>
      <c r="D692" s="73"/>
      <c r="E692" s="73"/>
      <c r="F692" s="72"/>
    </row>
    <row r="693" ht="14.25" customHeight="1">
      <c r="A693" s="73"/>
      <c r="B693" s="73"/>
      <c r="C693" s="73"/>
      <c r="D693" s="73"/>
      <c r="E693" s="73"/>
      <c r="F693" s="72"/>
    </row>
    <row r="694" ht="14.25" customHeight="1">
      <c r="A694" s="73"/>
      <c r="B694" s="73"/>
      <c r="C694" s="73"/>
      <c r="D694" s="73"/>
      <c r="E694" s="73"/>
      <c r="F694" s="72"/>
    </row>
    <row r="695" ht="14.25" customHeight="1">
      <c r="A695" s="73"/>
      <c r="B695" s="73"/>
      <c r="C695" s="73"/>
      <c r="D695" s="73"/>
      <c r="E695" s="73"/>
      <c r="F695" s="72"/>
    </row>
    <row r="696" ht="14.25" customHeight="1">
      <c r="A696" s="73"/>
      <c r="B696" s="73"/>
      <c r="C696" s="73"/>
      <c r="D696" s="73"/>
      <c r="E696" s="73"/>
      <c r="F696" s="72"/>
    </row>
    <row r="697" ht="14.25" customHeight="1">
      <c r="A697" s="73"/>
      <c r="B697" s="73"/>
      <c r="C697" s="73"/>
      <c r="D697" s="73"/>
      <c r="E697" s="73"/>
      <c r="F697" s="72"/>
    </row>
    <row r="698" ht="14.25" customHeight="1">
      <c r="A698" s="73"/>
      <c r="B698" s="73"/>
      <c r="C698" s="73"/>
      <c r="D698" s="73"/>
      <c r="E698" s="73"/>
      <c r="F698" s="72"/>
    </row>
    <row r="699" ht="14.25" customHeight="1">
      <c r="A699" s="73"/>
      <c r="B699" s="73"/>
      <c r="C699" s="73"/>
      <c r="D699" s="73"/>
      <c r="E699" s="73"/>
      <c r="F699" s="72"/>
    </row>
    <row r="700" ht="14.25" customHeight="1">
      <c r="A700" s="73"/>
      <c r="B700" s="73"/>
      <c r="C700" s="73"/>
      <c r="D700" s="73"/>
      <c r="E700" s="73"/>
      <c r="F700" s="72"/>
    </row>
    <row r="701" ht="14.25" customHeight="1">
      <c r="A701" s="73"/>
      <c r="B701" s="73"/>
      <c r="C701" s="73"/>
      <c r="D701" s="73"/>
      <c r="E701" s="73"/>
      <c r="F701" s="72"/>
    </row>
    <row r="702" ht="14.25" customHeight="1">
      <c r="A702" s="73"/>
      <c r="B702" s="73"/>
      <c r="C702" s="73"/>
      <c r="D702" s="73"/>
      <c r="E702" s="73"/>
      <c r="F702" s="72"/>
    </row>
    <row r="703" ht="14.25" customHeight="1">
      <c r="A703" s="73"/>
      <c r="B703" s="73"/>
      <c r="C703" s="73"/>
      <c r="D703" s="73"/>
      <c r="E703" s="73"/>
      <c r="F703" s="72"/>
    </row>
    <row r="704" ht="14.25" customHeight="1">
      <c r="A704" s="73"/>
      <c r="B704" s="73"/>
      <c r="C704" s="73"/>
      <c r="D704" s="73"/>
      <c r="E704" s="73"/>
      <c r="F704" s="72"/>
    </row>
    <row r="705" ht="14.25" customHeight="1">
      <c r="A705" s="73"/>
      <c r="B705" s="73"/>
      <c r="C705" s="73"/>
      <c r="D705" s="73"/>
      <c r="E705" s="73"/>
      <c r="F705" s="72"/>
    </row>
    <row r="706" ht="14.25" customHeight="1">
      <c r="A706" s="73"/>
      <c r="B706" s="73"/>
      <c r="C706" s="73"/>
      <c r="D706" s="73"/>
      <c r="E706" s="73"/>
      <c r="F706" s="72"/>
    </row>
    <row r="707" ht="14.25" customHeight="1">
      <c r="A707" s="73"/>
      <c r="B707" s="73"/>
      <c r="C707" s="73"/>
      <c r="D707" s="73"/>
      <c r="E707" s="73"/>
      <c r="F707" s="72"/>
    </row>
    <row r="708" ht="14.25" customHeight="1">
      <c r="A708" s="73"/>
      <c r="B708" s="73"/>
      <c r="C708" s="73"/>
      <c r="D708" s="73"/>
      <c r="E708" s="73"/>
      <c r="F708" s="72"/>
    </row>
    <row r="709" ht="14.25" customHeight="1">
      <c r="A709" s="73"/>
      <c r="B709" s="73"/>
      <c r="C709" s="73"/>
      <c r="D709" s="73"/>
      <c r="E709" s="73"/>
      <c r="F709" s="72"/>
    </row>
    <row r="710" ht="14.25" customHeight="1">
      <c r="A710" s="73"/>
      <c r="B710" s="73"/>
      <c r="C710" s="73"/>
      <c r="D710" s="73"/>
      <c r="E710" s="73"/>
      <c r="F710" s="72"/>
    </row>
    <row r="711" ht="14.25" customHeight="1">
      <c r="A711" s="73"/>
      <c r="B711" s="73"/>
      <c r="C711" s="73"/>
      <c r="D711" s="73"/>
      <c r="E711" s="73"/>
      <c r="F711" s="72"/>
    </row>
    <row r="712" ht="14.25" customHeight="1">
      <c r="A712" s="73"/>
      <c r="B712" s="73"/>
      <c r="C712" s="73"/>
      <c r="D712" s="73"/>
      <c r="E712" s="73"/>
      <c r="F712" s="72"/>
    </row>
    <row r="713" ht="14.25" customHeight="1">
      <c r="A713" s="73"/>
      <c r="B713" s="73"/>
      <c r="C713" s="73"/>
      <c r="D713" s="73"/>
      <c r="E713" s="73"/>
      <c r="F713" s="72"/>
    </row>
    <row r="714" ht="14.25" customHeight="1">
      <c r="A714" s="73"/>
      <c r="B714" s="73"/>
      <c r="C714" s="73"/>
      <c r="D714" s="73"/>
      <c r="E714" s="73"/>
      <c r="F714" s="72"/>
    </row>
    <row r="715" ht="14.25" customHeight="1">
      <c r="A715" s="73"/>
      <c r="B715" s="73"/>
      <c r="C715" s="73"/>
      <c r="D715" s="73"/>
      <c r="E715" s="73"/>
      <c r="F715" s="72"/>
    </row>
    <row r="716" ht="14.25" customHeight="1">
      <c r="A716" s="73"/>
      <c r="B716" s="73"/>
      <c r="C716" s="73"/>
      <c r="D716" s="73"/>
      <c r="E716" s="73"/>
      <c r="F716" s="72"/>
    </row>
    <row r="717" ht="14.25" customHeight="1">
      <c r="A717" s="73"/>
      <c r="B717" s="73"/>
      <c r="C717" s="73"/>
      <c r="D717" s="73"/>
      <c r="E717" s="73"/>
      <c r="F717" s="72"/>
    </row>
    <row r="718" ht="14.25" customHeight="1">
      <c r="A718" s="73"/>
      <c r="B718" s="73"/>
      <c r="C718" s="73"/>
      <c r="D718" s="73"/>
      <c r="E718" s="73"/>
      <c r="F718" s="72"/>
    </row>
    <row r="719" ht="14.25" customHeight="1">
      <c r="A719" s="73"/>
      <c r="B719" s="73"/>
      <c r="C719" s="73"/>
      <c r="D719" s="73"/>
      <c r="E719" s="73"/>
      <c r="F719" s="72"/>
    </row>
    <row r="720" ht="14.25" customHeight="1">
      <c r="A720" s="73"/>
      <c r="B720" s="73"/>
      <c r="C720" s="73"/>
      <c r="D720" s="73"/>
      <c r="E720" s="73"/>
      <c r="F720" s="72"/>
    </row>
    <row r="721" ht="14.25" customHeight="1">
      <c r="A721" s="73"/>
      <c r="B721" s="73"/>
      <c r="C721" s="73"/>
      <c r="D721" s="73"/>
      <c r="E721" s="73"/>
      <c r="F721" s="72"/>
    </row>
    <row r="722" ht="14.25" customHeight="1">
      <c r="A722" s="73"/>
      <c r="B722" s="73"/>
      <c r="C722" s="73"/>
      <c r="D722" s="73"/>
      <c r="E722" s="73"/>
      <c r="F722" s="72"/>
    </row>
    <row r="723" ht="14.25" customHeight="1">
      <c r="A723" s="73"/>
      <c r="B723" s="73"/>
      <c r="C723" s="73"/>
      <c r="D723" s="73"/>
      <c r="E723" s="73"/>
      <c r="F723" s="72"/>
    </row>
    <row r="724" ht="14.25" customHeight="1">
      <c r="A724" s="73"/>
      <c r="B724" s="73"/>
      <c r="C724" s="73"/>
      <c r="D724" s="73"/>
      <c r="E724" s="73"/>
      <c r="F724" s="72"/>
    </row>
    <row r="725" ht="14.25" customHeight="1">
      <c r="A725" s="73"/>
      <c r="B725" s="73"/>
      <c r="C725" s="73"/>
      <c r="D725" s="73"/>
      <c r="E725" s="73"/>
      <c r="F725" s="72"/>
    </row>
    <row r="726" ht="14.25" customHeight="1">
      <c r="A726" s="73"/>
      <c r="B726" s="73"/>
      <c r="C726" s="73"/>
      <c r="D726" s="73"/>
      <c r="E726" s="73"/>
      <c r="F726" s="72"/>
    </row>
    <row r="727" ht="14.25" customHeight="1">
      <c r="A727" s="73"/>
      <c r="B727" s="73"/>
      <c r="C727" s="73"/>
      <c r="D727" s="73"/>
      <c r="E727" s="73"/>
      <c r="F727" s="72"/>
    </row>
    <row r="728" ht="14.25" customHeight="1">
      <c r="A728" s="73"/>
      <c r="B728" s="73"/>
      <c r="C728" s="73"/>
      <c r="D728" s="73"/>
      <c r="E728" s="73"/>
      <c r="F728" s="72"/>
    </row>
    <row r="729" ht="14.25" customHeight="1">
      <c r="A729" s="73"/>
      <c r="B729" s="73"/>
      <c r="C729" s="73"/>
      <c r="D729" s="73"/>
      <c r="E729" s="73"/>
      <c r="F729" s="72"/>
    </row>
    <row r="730" ht="14.25" customHeight="1">
      <c r="A730" s="73"/>
      <c r="B730" s="73"/>
      <c r="C730" s="73"/>
      <c r="D730" s="73"/>
      <c r="E730" s="73"/>
      <c r="F730" s="72"/>
    </row>
    <row r="731" ht="14.25" customHeight="1">
      <c r="A731" s="73"/>
      <c r="B731" s="73"/>
      <c r="C731" s="73"/>
      <c r="D731" s="73"/>
      <c r="E731" s="73"/>
      <c r="F731" s="72"/>
    </row>
    <row r="732" ht="14.25" customHeight="1">
      <c r="A732" s="73"/>
      <c r="B732" s="73"/>
      <c r="C732" s="73"/>
      <c r="D732" s="73"/>
      <c r="E732" s="73"/>
      <c r="F732" s="72"/>
    </row>
    <row r="733" ht="14.25" customHeight="1">
      <c r="A733" s="73"/>
      <c r="B733" s="73"/>
      <c r="C733" s="73"/>
      <c r="D733" s="73"/>
      <c r="E733" s="73"/>
      <c r="F733" s="72"/>
    </row>
    <row r="734" ht="14.25" customHeight="1">
      <c r="A734" s="73"/>
      <c r="B734" s="73"/>
      <c r="C734" s="73"/>
      <c r="D734" s="73"/>
      <c r="E734" s="73"/>
      <c r="F734" s="72"/>
    </row>
    <row r="735" ht="14.25" customHeight="1">
      <c r="A735" s="73"/>
      <c r="B735" s="73"/>
      <c r="C735" s="73"/>
      <c r="D735" s="73"/>
      <c r="E735" s="73"/>
      <c r="F735" s="72"/>
    </row>
    <row r="736" ht="14.25" customHeight="1">
      <c r="A736" s="73"/>
      <c r="B736" s="73"/>
      <c r="C736" s="73"/>
      <c r="D736" s="73"/>
      <c r="E736" s="73"/>
      <c r="F736" s="72"/>
    </row>
    <row r="737" ht="14.25" customHeight="1">
      <c r="A737" s="73"/>
      <c r="B737" s="73"/>
      <c r="C737" s="73"/>
      <c r="D737" s="73"/>
      <c r="E737" s="73"/>
      <c r="F737" s="72"/>
    </row>
    <row r="738" ht="14.25" customHeight="1">
      <c r="A738" s="73"/>
      <c r="B738" s="73"/>
      <c r="C738" s="73"/>
      <c r="D738" s="73"/>
      <c r="E738" s="73"/>
      <c r="F738" s="72"/>
    </row>
    <row r="739" ht="14.25" customHeight="1">
      <c r="A739" s="73"/>
      <c r="B739" s="73"/>
      <c r="C739" s="73"/>
      <c r="D739" s="73"/>
      <c r="E739" s="73"/>
      <c r="F739" s="72"/>
    </row>
    <row r="740" ht="14.25" customHeight="1">
      <c r="A740" s="73"/>
      <c r="B740" s="73"/>
      <c r="C740" s="73"/>
      <c r="D740" s="73"/>
      <c r="E740" s="73"/>
      <c r="F740" s="72"/>
    </row>
    <row r="741" ht="14.25" customHeight="1">
      <c r="A741" s="73"/>
      <c r="B741" s="73"/>
      <c r="C741" s="73"/>
      <c r="D741" s="73"/>
      <c r="E741" s="73"/>
      <c r="F741" s="72"/>
    </row>
    <row r="742" ht="14.25" customHeight="1">
      <c r="A742" s="73"/>
      <c r="B742" s="73"/>
      <c r="C742" s="73"/>
      <c r="D742" s="73"/>
      <c r="E742" s="73"/>
      <c r="F742" s="72"/>
    </row>
    <row r="743" ht="14.25" customHeight="1">
      <c r="A743" s="73"/>
      <c r="B743" s="73"/>
      <c r="C743" s="73"/>
      <c r="D743" s="73"/>
      <c r="E743" s="73"/>
      <c r="F743" s="72"/>
    </row>
    <row r="744" ht="14.25" customHeight="1">
      <c r="A744" s="73"/>
      <c r="B744" s="73"/>
      <c r="C744" s="73"/>
      <c r="D744" s="73"/>
      <c r="E744" s="73"/>
      <c r="F744" s="72"/>
    </row>
    <row r="745" ht="14.25" customHeight="1">
      <c r="A745" s="73"/>
      <c r="B745" s="73"/>
      <c r="C745" s="73"/>
      <c r="D745" s="73"/>
      <c r="E745" s="73"/>
      <c r="F745" s="72"/>
    </row>
    <row r="746" ht="14.25" customHeight="1">
      <c r="A746" s="73"/>
      <c r="B746" s="73"/>
      <c r="C746" s="73"/>
      <c r="D746" s="73"/>
      <c r="E746" s="73"/>
      <c r="F746" s="72"/>
    </row>
    <row r="747" ht="14.25" customHeight="1">
      <c r="A747" s="73"/>
      <c r="B747" s="73"/>
      <c r="C747" s="73"/>
      <c r="D747" s="73"/>
      <c r="E747" s="73"/>
      <c r="F747" s="72"/>
    </row>
    <row r="748" ht="14.25" customHeight="1">
      <c r="A748" s="73"/>
      <c r="B748" s="73"/>
      <c r="C748" s="73"/>
      <c r="D748" s="73"/>
      <c r="E748" s="73"/>
      <c r="F748" s="72"/>
    </row>
    <row r="749" ht="14.25" customHeight="1">
      <c r="A749" s="73"/>
      <c r="B749" s="73"/>
      <c r="C749" s="73"/>
      <c r="D749" s="73"/>
      <c r="E749" s="73"/>
      <c r="F749" s="72"/>
    </row>
    <row r="750" ht="14.25" customHeight="1">
      <c r="A750" s="73"/>
      <c r="B750" s="73"/>
      <c r="C750" s="73"/>
      <c r="D750" s="73"/>
      <c r="E750" s="73"/>
      <c r="F750" s="72"/>
    </row>
    <row r="751" ht="14.25" customHeight="1">
      <c r="A751" s="73"/>
      <c r="B751" s="73"/>
      <c r="C751" s="73"/>
      <c r="D751" s="73"/>
      <c r="E751" s="73"/>
      <c r="F751" s="72"/>
    </row>
    <row r="752" ht="14.25" customHeight="1">
      <c r="A752" s="73"/>
      <c r="B752" s="73"/>
      <c r="C752" s="73"/>
      <c r="D752" s="73"/>
      <c r="E752" s="73"/>
      <c r="F752" s="72"/>
    </row>
    <row r="753" ht="14.25" customHeight="1">
      <c r="A753" s="73"/>
      <c r="B753" s="73"/>
      <c r="C753" s="73"/>
      <c r="D753" s="73"/>
      <c r="E753" s="73"/>
      <c r="F753" s="72"/>
    </row>
    <row r="754" ht="14.25" customHeight="1">
      <c r="A754" s="73"/>
      <c r="B754" s="73"/>
      <c r="C754" s="73"/>
      <c r="D754" s="73"/>
      <c r="E754" s="73"/>
      <c r="F754" s="72"/>
    </row>
    <row r="755" ht="14.25" customHeight="1">
      <c r="A755" s="73"/>
      <c r="B755" s="73"/>
      <c r="C755" s="73"/>
      <c r="D755" s="73"/>
      <c r="E755" s="73"/>
      <c r="F755" s="72"/>
    </row>
    <row r="756" ht="14.25" customHeight="1">
      <c r="A756" s="73"/>
      <c r="B756" s="73"/>
      <c r="C756" s="73"/>
      <c r="D756" s="73"/>
      <c r="E756" s="73"/>
      <c r="F756" s="72"/>
    </row>
    <row r="757" ht="14.25" customHeight="1">
      <c r="A757" s="73"/>
      <c r="B757" s="73"/>
      <c r="C757" s="73"/>
      <c r="D757" s="73"/>
      <c r="E757" s="73"/>
      <c r="F757" s="72"/>
    </row>
    <row r="758" ht="14.25" customHeight="1">
      <c r="A758" s="73"/>
      <c r="B758" s="73"/>
      <c r="C758" s="73"/>
      <c r="D758" s="73"/>
      <c r="E758" s="73"/>
      <c r="F758" s="72"/>
    </row>
    <row r="759" ht="14.25" customHeight="1">
      <c r="A759" s="73"/>
      <c r="B759" s="73"/>
      <c r="C759" s="73"/>
      <c r="D759" s="73"/>
      <c r="E759" s="73"/>
      <c r="F759" s="72"/>
    </row>
    <row r="760" ht="14.25" customHeight="1">
      <c r="A760" s="73"/>
      <c r="B760" s="73"/>
      <c r="C760" s="73"/>
      <c r="D760" s="73"/>
      <c r="E760" s="73"/>
      <c r="F760" s="72"/>
    </row>
    <row r="761" ht="14.25" customHeight="1">
      <c r="A761" s="73"/>
      <c r="B761" s="73"/>
      <c r="C761" s="73"/>
      <c r="D761" s="73"/>
      <c r="E761" s="73"/>
      <c r="F761" s="72"/>
    </row>
    <row r="762" ht="14.25" customHeight="1">
      <c r="A762" s="73"/>
      <c r="B762" s="73"/>
      <c r="C762" s="73"/>
      <c r="D762" s="73"/>
      <c r="E762" s="73"/>
      <c r="F762" s="72"/>
    </row>
    <row r="763" ht="14.25" customHeight="1">
      <c r="A763" s="73"/>
      <c r="B763" s="73"/>
      <c r="C763" s="73"/>
      <c r="D763" s="73"/>
      <c r="E763" s="73"/>
      <c r="F763" s="72"/>
    </row>
    <row r="764" ht="14.25" customHeight="1">
      <c r="A764" s="73"/>
      <c r="B764" s="73"/>
      <c r="C764" s="73"/>
      <c r="D764" s="73"/>
      <c r="E764" s="73"/>
      <c r="F764" s="72"/>
    </row>
    <row r="765" ht="14.25" customHeight="1">
      <c r="A765" s="73"/>
      <c r="B765" s="73"/>
      <c r="C765" s="73"/>
      <c r="D765" s="73"/>
      <c r="E765" s="73"/>
      <c r="F765" s="72"/>
    </row>
    <row r="766" ht="14.25" customHeight="1">
      <c r="A766" s="73"/>
      <c r="B766" s="73"/>
      <c r="C766" s="73"/>
      <c r="D766" s="73"/>
      <c r="E766" s="73"/>
      <c r="F766" s="72"/>
    </row>
    <row r="767" ht="14.25" customHeight="1">
      <c r="A767" s="73"/>
      <c r="B767" s="73"/>
      <c r="C767" s="73"/>
      <c r="D767" s="73"/>
      <c r="E767" s="73"/>
      <c r="F767" s="72"/>
    </row>
    <row r="768" ht="14.25" customHeight="1">
      <c r="A768" s="73"/>
      <c r="B768" s="73"/>
      <c r="C768" s="73"/>
      <c r="D768" s="73"/>
      <c r="E768" s="73"/>
      <c r="F768" s="72"/>
    </row>
    <row r="769" ht="14.25" customHeight="1">
      <c r="A769" s="73"/>
      <c r="B769" s="73"/>
      <c r="C769" s="73"/>
      <c r="D769" s="73"/>
      <c r="E769" s="73"/>
      <c r="F769" s="72"/>
    </row>
    <row r="770" ht="14.25" customHeight="1">
      <c r="A770" s="73"/>
      <c r="B770" s="73"/>
      <c r="C770" s="73"/>
      <c r="D770" s="73"/>
      <c r="E770" s="73"/>
      <c r="F770" s="72"/>
    </row>
    <row r="771" ht="14.25" customHeight="1">
      <c r="A771" s="73"/>
      <c r="B771" s="73"/>
      <c r="C771" s="73"/>
      <c r="D771" s="73"/>
      <c r="E771" s="73"/>
      <c r="F771" s="72"/>
    </row>
    <row r="772" ht="14.25" customHeight="1">
      <c r="A772" s="73"/>
      <c r="B772" s="73"/>
      <c r="C772" s="73"/>
      <c r="D772" s="73"/>
      <c r="E772" s="73"/>
      <c r="F772" s="72"/>
    </row>
    <row r="773" ht="14.25" customHeight="1">
      <c r="A773" s="73"/>
      <c r="B773" s="73"/>
      <c r="C773" s="73"/>
      <c r="D773" s="73"/>
      <c r="E773" s="73"/>
      <c r="F773" s="72"/>
    </row>
    <row r="774" ht="14.25" customHeight="1">
      <c r="A774" s="73"/>
      <c r="B774" s="73"/>
      <c r="C774" s="73"/>
      <c r="D774" s="73"/>
      <c r="E774" s="73"/>
      <c r="F774" s="72"/>
    </row>
    <row r="775" ht="14.25" customHeight="1">
      <c r="A775" s="73"/>
      <c r="B775" s="73"/>
      <c r="C775" s="73"/>
      <c r="D775" s="73"/>
      <c r="E775" s="73"/>
      <c r="F775" s="72"/>
    </row>
    <row r="776" ht="14.25" customHeight="1">
      <c r="A776" s="73"/>
      <c r="B776" s="73"/>
      <c r="C776" s="73"/>
      <c r="D776" s="73"/>
      <c r="E776" s="73"/>
      <c r="F776" s="72"/>
    </row>
    <row r="777" ht="14.25" customHeight="1">
      <c r="A777" s="73"/>
      <c r="B777" s="73"/>
      <c r="C777" s="73"/>
      <c r="D777" s="73"/>
      <c r="E777" s="73"/>
      <c r="F777" s="72"/>
    </row>
    <row r="778" ht="14.25" customHeight="1">
      <c r="A778" s="73"/>
      <c r="B778" s="73"/>
      <c r="C778" s="73"/>
      <c r="D778" s="73"/>
      <c r="E778" s="73"/>
      <c r="F778" s="72"/>
    </row>
    <row r="779" ht="14.25" customHeight="1">
      <c r="A779" s="73"/>
      <c r="B779" s="73"/>
      <c r="C779" s="73"/>
      <c r="D779" s="73"/>
      <c r="E779" s="73"/>
      <c r="F779" s="72"/>
    </row>
    <row r="780" ht="14.25" customHeight="1">
      <c r="A780" s="73"/>
      <c r="B780" s="73"/>
      <c r="C780" s="73"/>
      <c r="D780" s="73"/>
      <c r="E780" s="73"/>
      <c r="F780" s="72"/>
    </row>
    <row r="781" ht="14.25" customHeight="1">
      <c r="A781" s="73"/>
      <c r="B781" s="73"/>
      <c r="C781" s="73"/>
      <c r="D781" s="73"/>
      <c r="E781" s="73"/>
      <c r="F781" s="72"/>
    </row>
    <row r="782" ht="14.25" customHeight="1">
      <c r="A782" s="73"/>
      <c r="B782" s="73"/>
      <c r="C782" s="73"/>
      <c r="D782" s="73"/>
      <c r="E782" s="73"/>
      <c r="F782" s="72"/>
    </row>
    <row r="783" ht="14.25" customHeight="1">
      <c r="A783" s="73"/>
      <c r="B783" s="73"/>
      <c r="C783" s="73"/>
      <c r="D783" s="73"/>
      <c r="E783" s="73"/>
      <c r="F783" s="72"/>
    </row>
    <row r="784" ht="14.25" customHeight="1">
      <c r="A784" s="73"/>
      <c r="B784" s="73"/>
      <c r="C784" s="73"/>
      <c r="D784" s="73"/>
      <c r="E784" s="73"/>
      <c r="F784" s="72"/>
    </row>
    <row r="785" ht="14.25" customHeight="1">
      <c r="A785" s="73"/>
      <c r="B785" s="73"/>
      <c r="C785" s="73"/>
      <c r="D785" s="73"/>
      <c r="E785" s="73"/>
      <c r="F785" s="72"/>
    </row>
    <row r="786" ht="14.25" customHeight="1">
      <c r="A786" s="73"/>
      <c r="B786" s="73"/>
      <c r="C786" s="73"/>
      <c r="D786" s="73"/>
      <c r="E786" s="73"/>
      <c r="F786" s="72"/>
    </row>
    <row r="787" ht="14.25" customHeight="1">
      <c r="A787" s="73"/>
      <c r="B787" s="73"/>
      <c r="C787" s="73"/>
      <c r="D787" s="73"/>
      <c r="E787" s="73"/>
      <c r="F787" s="72"/>
    </row>
    <row r="788" ht="14.25" customHeight="1">
      <c r="A788" s="73"/>
      <c r="B788" s="73"/>
      <c r="C788" s="73"/>
      <c r="D788" s="73"/>
      <c r="E788" s="73"/>
      <c r="F788" s="72"/>
    </row>
    <row r="789" ht="14.25" customHeight="1">
      <c r="A789" s="73"/>
      <c r="B789" s="73"/>
      <c r="C789" s="73"/>
      <c r="D789" s="73"/>
      <c r="E789" s="73"/>
      <c r="F789" s="72"/>
    </row>
    <row r="790" ht="14.25" customHeight="1">
      <c r="A790" s="73"/>
      <c r="B790" s="73"/>
      <c r="C790" s="73"/>
      <c r="D790" s="73"/>
      <c r="E790" s="73"/>
      <c r="F790" s="72"/>
    </row>
    <row r="791" ht="14.25" customHeight="1">
      <c r="A791" s="73"/>
      <c r="B791" s="73"/>
      <c r="C791" s="73"/>
      <c r="D791" s="73"/>
      <c r="E791" s="73"/>
      <c r="F791" s="72"/>
    </row>
    <row r="792" ht="14.25" customHeight="1">
      <c r="A792" s="73"/>
      <c r="B792" s="73"/>
      <c r="C792" s="73"/>
      <c r="D792" s="73"/>
      <c r="E792" s="73"/>
      <c r="F792" s="72"/>
    </row>
    <row r="793" ht="14.25" customHeight="1">
      <c r="A793" s="73"/>
      <c r="B793" s="73"/>
      <c r="C793" s="73"/>
      <c r="D793" s="73"/>
      <c r="E793" s="73"/>
      <c r="F793" s="72"/>
    </row>
    <row r="794" ht="14.25" customHeight="1">
      <c r="A794" s="73"/>
      <c r="B794" s="73"/>
      <c r="C794" s="73"/>
      <c r="D794" s="73"/>
      <c r="E794" s="73"/>
      <c r="F794" s="72"/>
    </row>
    <row r="795" ht="14.25" customHeight="1">
      <c r="A795" s="73"/>
      <c r="B795" s="73"/>
      <c r="C795" s="73"/>
      <c r="D795" s="73"/>
      <c r="E795" s="73"/>
      <c r="F795" s="72"/>
    </row>
    <row r="796" ht="14.25" customHeight="1">
      <c r="A796" s="73"/>
      <c r="B796" s="73"/>
      <c r="C796" s="73"/>
      <c r="D796" s="73"/>
      <c r="E796" s="73"/>
      <c r="F796" s="72"/>
    </row>
    <row r="797" ht="14.25" customHeight="1">
      <c r="A797" s="73"/>
      <c r="B797" s="73"/>
      <c r="C797" s="73"/>
      <c r="D797" s="73"/>
      <c r="E797" s="73"/>
      <c r="F797" s="72"/>
    </row>
    <row r="798" ht="14.25" customHeight="1">
      <c r="A798" s="73"/>
      <c r="B798" s="73"/>
      <c r="C798" s="73"/>
      <c r="D798" s="73"/>
      <c r="E798" s="73"/>
      <c r="F798" s="72"/>
    </row>
    <row r="799" ht="14.25" customHeight="1">
      <c r="A799" s="73"/>
      <c r="B799" s="73"/>
      <c r="C799" s="73"/>
      <c r="D799" s="73"/>
      <c r="E799" s="73"/>
      <c r="F799" s="72"/>
    </row>
    <row r="800" ht="14.25" customHeight="1">
      <c r="A800" s="73"/>
      <c r="B800" s="73"/>
      <c r="C800" s="73"/>
      <c r="D800" s="73"/>
      <c r="E800" s="73"/>
      <c r="F800" s="72"/>
    </row>
    <row r="801" ht="14.25" customHeight="1">
      <c r="A801" s="73"/>
      <c r="B801" s="73"/>
      <c r="C801" s="73"/>
      <c r="D801" s="73"/>
      <c r="E801" s="73"/>
      <c r="F801" s="72"/>
    </row>
    <row r="802" ht="14.25" customHeight="1">
      <c r="A802" s="73"/>
      <c r="B802" s="73"/>
      <c r="C802" s="73"/>
      <c r="D802" s="73"/>
      <c r="E802" s="73"/>
      <c r="F802" s="72"/>
    </row>
    <row r="803" ht="14.25" customHeight="1">
      <c r="A803" s="73"/>
      <c r="B803" s="73"/>
      <c r="C803" s="73"/>
      <c r="D803" s="73"/>
      <c r="E803" s="73"/>
      <c r="F803" s="72"/>
    </row>
    <row r="804" ht="14.25" customHeight="1">
      <c r="A804" s="73"/>
      <c r="B804" s="73"/>
      <c r="C804" s="73"/>
      <c r="D804" s="73"/>
      <c r="E804" s="73"/>
      <c r="F804" s="72"/>
    </row>
    <row r="805" ht="14.25" customHeight="1">
      <c r="A805" s="73"/>
      <c r="B805" s="73"/>
      <c r="C805" s="73"/>
      <c r="D805" s="73"/>
      <c r="E805" s="73"/>
      <c r="F805" s="72"/>
    </row>
    <row r="806" ht="14.25" customHeight="1">
      <c r="A806" s="73"/>
      <c r="B806" s="73"/>
      <c r="C806" s="73"/>
      <c r="D806" s="73"/>
      <c r="E806" s="73"/>
      <c r="F806" s="72"/>
    </row>
    <row r="807" ht="14.25" customHeight="1">
      <c r="A807" s="73"/>
      <c r="B807" s="73"/>
      <c r="C807" s="73"/>
      <c r="D807" s="73"/>
      <c r="E807" s="73"/>
      <c r="F807" s="72"/>
    </row>
    <row r="808" ht="14.25" customHeight="1">
      <c r="A808" s="73"/>
      <c r="B808" s="73"/>
      <c r="C808" s="73"/>
      <c r="D808" s="73"/>
      <c r="E808" s="73"/>
      <c r="F808" s="72"/>
    </row>
    <row r="809" ht="14.25" customHeight="1">
      <c r="A809" s="73"/>
      <c r="B809" s="73"/>
      <c r="C809" s="73"/>
      <c r="D809" s="73"/>
      <c r="E809" s="73"/>
      <c r="F809" s="72"/>
    </row>
    <row r="810" ht="14.25" customHeight="1">
      <c r="A810" s="73"/>
      <c r="B810" s="73"/>
      <c r="C810" s="73"/>
      <c r="D810" s="73"/>
      <c r="E810" s="73"/>
      <c r="F810" s="72"/>
    </row>
    <row r="811" ht="14.25" customHeight="1">
      <c r="A811" s="73"/>
      <c r="B811" s="73"/>
      <c r="C811" s="73"/>
      <c r="D811" s="73"/>
      <c r="E811" s="73"/>
      <c r="F811" s="72"/>
    </row>
    <row r="812" ht="14.25" customHeight="1">
      <c r="A812" s="73"/>
      <c r="B812" s="73"/>
      <c r="C812" s="73"/>
      <c r="D812" s="73"/>
      <c r="E812" s="73"/>
      <c r="F812" s="72"/>
    </row>
    <row r="813" ht="14.25" customHeight="1">
      <c r="A813" s="73"/>
      <c r="B813" s="73"/>
      <c r="C813" s="73"/>
      <c r="D813" s="73"/>
      <c r="E813" s="73"/>
      <c r="F813" s="72"/>
    </row>
    <row r="814" ht="14.25" customHeight="1">
      <c r="A814" s="73"/>
      <c r="B814" s="73"/>
      <c r="C814" s="73"/>
      <c r="D814" s="73"/>
      <c r="E814" s="73"/>
      <c r="F814" s="72"/>
    </row>
    <row r="815" ht="14.25" customHeight="1">
      <c r="A815" s="73"/>
      <c r="B815" s="73"/>
      <c r="C815" s="73"/>
      <c r="D815" s="73"/>
      <c r="E815" s="73"/>
      <c r="F815" s="72"/>
    </row>
    <row r="816" ht="14.25" customHeight="1">
      <c r="A816" s="73"/>
      <c r="B816" s="73"/>
      <c r="C816" s="73"/>
      <c r="D816" s="73"/>
      <c r="E816" s="73"/>
      <c r="F816" s="72"/>
    </row>
    <row r="817" ht="14.25" customHeight="1">
      <c r="A817" s="73"/>
      <c r="B817" s="73"/>
      <c r="C817" s="73"/>
      <c r="D817" s="73"/>
      <c r="E817" s="73"/>
      <c r="F817" s="72"/>
    </row>
    <row r="818" ht="14.25" customHeight="1">
      <c r="A818" s="73"/>
      <c r="B818" s="73"/>
      <c r="C818" s="73"/>
      <c r="D818" s="73"/>
      <c r="E818" s="73"/>
      <c r="F818" s="72"/>
    </row>
    <row r="819" ht="14.25" customHeight="1">
      <c r="A819" s="73"/>
      <c r="B819" s="73"/>
      <c r="C819" s="73"/>
      <c r="D819" s="73"/>
      <c r="E819" s="73"/>
      <c r="F819" s="72"/>
    </row>
    <row r="820" ht="14.25" customHeight="1">
      <c r="A820" s="73"/>
      <c r="B820" s="73"/>
      <c r="C820" s="73"/>
      <c r="D820" s="73"/>
      <c r="E820" s="73"/>
      <c r="F820" s="72"/>
    </row>
    <row r="821" ht="14.25" customHeight="1">
      <c r="A821" s="73"/>
      <c r="B821" s="73"/>
      <c r="C821" s="73"/>
      <c r="D821" s="73"/>
      <c r="E821" s="73"/>
      <c r="F821" s="72"/>
    </row>
    <row r="822" ht="14.25" customHeight="1">
      <c r="A822" s="73"/>
      <c r="B822" s="73"/>
      <c r="C822" s="73"/>
      <c r="D822" s="73"/>
      <c r="E822" s="73"/>
      <c r="F822" s="72"/>
    </row>
    <row r="823" ht="14.25" customHeight="1">
      <c r="A823" s="73"/>
      <c r="B823" s="73"/>
      <c r="C823" s="73"/>
      <c r="D823" s="73"/>
      <c r="E823" s="73"/>
      <c r="F823" s="72"/>
    </row>
    <row r="824" ht="14.25" customHeight="1">
      <c r="A824" s="73"/>
      <c r="B824" s="73"/>
      <c r="C824" s="73"/>
      <c r="D824" s="73"/>
      <c r="E824" s="73"/>
      <c r="F824" s="72"/>
    </row>
    <row r="825" ht="14.25" customHeight="1">
      <c r="A825" s="73"/>
      <c r="B825" s="73"/>
      <c r="C825" s="73"/>
      <c r="D825" s="73"/>
      <c r="E825" s="73"/>
      <c r="F825" s="72"/>
    </row>
    <row r="826" ht="14.25" customHeight="1">
      <c r="A826" s="73"/>
      <c r="B826" s="73"/>
      <c r="C826" s="73"/>
      <c r="D826" s="73"/>
      <c r="E826" s="73"/>
      <c r="F826" s="72"/>
    </row>
    <row r="827" ht="14.25" customHeight="1">
      <c r="A827" s="73"/>
      <c r="B827" s="73"/>
      <c r="C827" s="73"/>
      <c r="D827" s="73"/>
      <c r="E827" s="73"/>
      <c r="F827" s="72"/>
    </row>
    <row r="828" ht="14.25" customHeight="1">
      <c r="A828" s="73"/>
      <c r="B828" s="73"/>
      <c r="C828" s="73"/>
      <c r="D828" s="73"/>
      <c r="E828" s="73"/>
      <c r="F828" s="72"/>
    </row>
    <row r="829" ht="14.25" customHeight="1">
      <c r="A829" s="73"/>
      <c r="B829" s="73"/>
      <c r="C829" s="73"/>
      <c r="D829" s="73"/>
      <c r="E829" s="73"/>
      <c r="F829" s="72"/>
    </row>
    <row r="830" ht="14.25" customHeight="1">
      <c r="A830" s="73"/>
      <c r="B830" s="73"/>
      <c r="C830" s="73"/>
      <c r="D830" s="73"/>
      <c r="E830" s="73"/>
      <c r="F830" s="72"/>
    </row>
    <row r="831" ht="14.25" customHeight="1">
      <c r="A831" s="73"/>
      <c r="B831" s="73"/>
      <c r="C831" s="73"/>
      <c r="D831" s="73"/>
      <c r="E831" s="73"/>
      <c r="F831" s="72"/>
    </row>
    <row r="832" ht="14.25" customHeight="1">
      <c r="A832" s="73"/>
      <c r="B832" s="73"/>
      <c r="C832" s="73"/>
      <c r="D832" s="73"/>
      <c r="E832" s="73"/>
      <c r="F832" s="72"/>
    </row>
    <row r="833" ht="14.25" customHeight="1">
      <c r="A833" s="73"/>
      <c r="B833" s="73"/>
      <c r="C833" s="73"/>
      <c r="D833" s="73"/>
      <c r="E833" s="73"/>
      <c r="F833" s="72"/>
    </row>
    <row r="834" ht="14.25" customHeight="1">
      <c r="A834" s="73"/>
      <c r="B834" s="73"/>
      <c r="C834" s="73"/>
      <c r="D834" s="73"/>
      <c r="E834" s="73"/>
      <c r="F834" s="72"/>
    </row>
    <row r="835" ht="14.25" customHeight="1">
      <c r="A835" s="73"/>
      <c r="B835" s="73"/>
      <c r="C835" s="73"/>
      <c r="D835" s="73"/>
      <c r="E835" s="73"/>
      <c r="F835" s="72"/>
    </row>
    <row r="836" ht="14.25" customHeight="1">
      <c r="A836" s="73"/>
      <c r="B836" s="73"/>
      <c r="C836" s="73"/>
      <c r="D836" s="73"/>
      <c r="E836" s="73"/>
      <c r="F836" s="72"/>
    </row>
    <row r="837" ht="14.25" customHeight="1">
      <c r="A837" s="73"/>
      <c r="B837" s="73"/>
      <c r="C837" s="73"/>
      <c r="D837" s="73"/>
      <c r="E837" s="73"/>
      <c r="F837" s="72"/>
    </row>
    <row r="838" ht="14.25" customHeight="1">
      <c r="A838" s="73"/>
      <c r="B838" s="73"/>
      <c r="C838" s="73"/>
      <c r="D838" s="73"/>
      <c r="E838" s="73"/>
      <c r="F838" s="72"/>
    </row>
    <row r="839" ht="14.25" customHeight="1">
      <c r="A839" s="73"/>
      <c r="B839" s="73"/>
      <c r="C839" s="73"/>
      <c r="D839" s="73"/>
      <c r="E839" s="73"/>
      <c r="F839" s="72"/>
    </row>
    <row r="840" ht="14.25" customHeight="1">
      <c r="A840" s="73"/>
      <c r="B840" s="73"/>
      <c r="C840" s="73"/>
      <c r="D840" s="73"/>
      <c r="E840" s="73"/>
      <c r="F840" s="72"/>
    </row>
    <row r="841" ht="14.25" customHeight="1">
      <c r="A841" s="73"/>
      <c r="B841" s="73"/>
      <c r="C841" s="73"/>
      <c r="D841" s="73"/>
      <c r="E841" s="73"/>
      <c r="F841" s="72"/>
    </row>
    <row r="842" ht="14.25" customHeight="1">
      <c r="A842" s="73"/>
      <c r="B842" s="73"/>
      <c r="C842" s="73"/>
      <c r="D842" s="73"/>
      <c r="E842" s="73"/>
      <c r="F842" s="72"/>
    </row>
    <row r="843" ht="14.25" customHeight="1">
      <c r="A843" s="73"/>
      <c r="B843" s="73"/>
      <c r="C843" s="73"/>
      <c r="D843" s="73"/>
      <c r="E843" s="73"/>
      <c r="F843" s="72"/>
    </row>
    <row r="844" ht="14.25" customHeight="1">
      <c r="A844" s="73"/>
      <c r="B844" s="73"/>
      <c r="C844" s="73"/>
      <c r="D844" s="73"/>
      <c r="E844" s="73"/>
      <c r="F844" s="72"/>
    </row>
    <row r="845" ht="14.25" customHeight="1">
      <c r="A845" s="73"/>
      <c r="B845" s="73"/>
      <c r="C845" s="73"/>
      <c r="D845" s="73"/>
      <c r="E845" s="73"/>
      <c r="F845" s="72"/>
    </row>
    <row r="846" ht="14.25" customHeight="1">
      <c r="A846" s="73"/>
      <c r="B846" s="73"/>
      <c r="C846" s="73"/>
      <c r="D846" s="73"/>
      <c r="E846" s="73"/>
      <c r="F846" s="72"/>
    </row>
    <row r="847" ht="14.25" customHeight="1">
      <c r="A847" s="73"/>
      <c r="B847" s="73"/>
      <c r="C847" s="73"/>
      <c r="D847" s="73"/>
      <c r="E847" s="73"/>
      <c r="F847" s="72"/>
    </row>
    <row r="848" ht="14.25" customHeight="1">
      <c r="A848" s="73"/>
      <c r="B848" s="73"/>
      <c r="C848" s="73"/>
      <c r="D848" s="73"/>
      <c r="E848" s="73"/>
      <c r="F848" s="72"/>
    </row>
    <row r="849" ht="14.25" customHeight="1">
      <c r="A849" s="73"/>
      <c r="B849" s="73"/>
      <c r="C849" s="73"/>
      <c r="D849" s="73"/>
      <c r="E849" s="73"/>
      <c r="F849" s="72"/>
    </row>
    <row r="850" ht="14.25" customHeight="1">
      <c r="A850" s="73"/>
      <c r="B850" s="73"/>
      <c r="C850" s="73"/>
      <c r="D850" s="73"/>
      <c r="E850" s="73"/>
      <c r="F850" s="72"/>
    </row>
    <row r="851" ht="14.25" customHeight="1">
      <c r="A851" s="73"/>
      <c r="B851" s="73"/>
      <c r="C851" s="73"/>
      <c r="D851" s="73"/>
      <c r="E851" s="73"/>
      <c r="F851" s="72"/>
    </row>
    <row r="852" ht="14.25" customHeight="1">
      <c r="A852" s="73"/>
      <c r="B852" s="73"/>
      <c r="C852" s="73"/>
      <c r="D852" s="73"/>
      <c r="E852" s="73"/>
      <c r="F852" s="72"/>
    </row>
    <row r="853" ht="14.25" customHeight="1">
      <c r="A853" s="73"/>
      <c r="B853" s="73"/>
      <c r="C853" s="73"/>
      <c r="D853" s="73"/>
      <c r="E853" s="73"/>
      <c r="F853" s="72"/>
    </row>
    <row r="854" ht="14.25" customHeight="1">
      <c r="A854" s="73"/>
      <c r="B854" s="73"/>
      <c r="C854" s="73"/>
      <c r="D854" s="73"/>
      <c r="E854" s="73"/>
      <c r="F854" s="72"/>
    </row>
    <row r="855" ht="14.25" customHeight="1">
      <c r="A855" s="73"/>
      <c r="B855" s="73"/>
      <c r="C855" s="73"/>
      <c r="D855" s="73"/>
      <c r="E855" s="73"/>
      <c r="F855" s="72"/>
    </row>
    <row r="856" ht="14.25" customHeight="1">
      <c r="A856" s="73"/>
      <c r="B856" s="73"/>
      <c r="C856" s="73"/>
      <c r="D856" s="73"/>
      <c r="E856" s="73"/>
      <c r="F856" s="72"/>
    </row>
    <row r="857" ht="14.25" customHeight="1">
      <c r="A857" s="73"/>
      <c r="B857" s="73"/>
      <c r="C857" s="73"/>
      <c r="D857" s="73"/>
      <c r="E857" s="73"/>
      <c r="F857" s="72"/>
    </row>
    <row r="858" ht="14.25" customHeight="1">
      <c r="A858" s="73"/>
      <c r="B858" s="73"/>
      <c r="C858" s="73"/>
      <c r="D858" s="73"/>
      <c r="E858" s="73"/>
      <c r="F858" s="72"/>
    </row>
    <row r="859" ht="14.25" customHeight="1">
      <c r="A859" s="73"/>
      <c r="B859" s="73"/>
      <c r="C859" s="73"/>
      <c r="D859" s="73"/>
      <c r="E859" s="73"/>
      <c r="F859" s="72"/>
    </row>
    <row r="860" ht="14.25" customHeight="1">
      <c r="A860" s="73"/>
      <c r="B860" s="73"/>
      <c r="C860" s="73"/>
      <c r="D860" s="73"/>
      <c r="E860" s="73"/>
      <c r="F860" s="72"/>
    </row>
    <row r="861" ht="14.25" customHeight="1">
      <c r="A861" s="73"/>
      <c r="B861" s="73"/>
      <c r="C861" s="73"/>
      <c r="D861" s="73"/>
      <c r="E861" s="73"/>
      <c r="F861" s="72"/>
    </row>
    <row r="862" ht="14.25" customHeight="1">
      <c r="A862" s="73"/>
      <c r="B862" s="73"/>
      <c r="C862" s="73"/>
      <c r="D862" s="73"/>
      <c r="E862" s="73"/>
      <c r="F862" s="72"/>
    </row>
    <row r="863" ht="14.25" customHeight="1">
      <c r="A863" s="73"/>
      <c r="B863" s="73"/>
      <c r="C863" s="73"/>
      <c r="D863" s="73"/>
      <c r="E863" s="73"/>
      <c r="F863" s="72"/>
    </row>
    <row r="864" ht="14.25" customHeight="1">
      <c r="A864" s="73"/>
      <c r="B864" s="73"/>
      <c r="C864" s="73"/>
      <c r="D864" s="73"/>
      <c r="E864" s="73"/>
      <c r="F864" s="72"/>
    </row>
    <row r="865" ht="14.25" customHeight="1">
      <c r="A865" s="73"/>
      <c r="B865" s="73"/>
      <c r="C865" s="73"/>
      <c r="D865" s="73"/>
      <c r="E865" s="73"/>
      <c r="F865" s="72"/>
    </row>
    <row r="866" ht="14.25" customHeight="1">
      <c r="A866" s="73"/>
      <c r="B866" s="73"/>
      <c r="C866" s="73"/>
      <c r="D866" s="73"/>
      <c r="E866" s="73"/>
      <c r="F866" s="72"/>
    </row>
    <row r="867" ht="14.25" customHeight="1">
      <c r="A867" s="73"/>
      <c r="B867" s="73"/>
      <c r="C867" s="73"/>
      <c r="D867" s="73"/>
      <c r="E867" s="73"/>
      <c r="F867" s="72"/>
    </row>
    <row r="868" ht="14.25" customHeight="1">
      <c r="A868" s="73"/>
      <c r="B868" s="73"/>
      <c r="C868" s="73"/>
      <c r="D868" s="73"/>
      <c r="E868" s="73"/>
      <c r="F868" s="72"/>
    </row>
    <row r="869" ht="14.25" customHeight="1">
      <c r="A869" s="73"/>
      <c r="B869" s="73"/>
      <c r="C869" s="73"/>
      <c r="D869" s="73"/>
      <c r="E869" s="73"/>
      <c r="F869" s="72"/>
    </row>
    <row r="870" ht="14.25" customHeight="1">
      <c r="A870" s="73"/>
      <c r="B870" s="73"/>
      <c r="C870" s="73"/>
      <c r="D870" s="73"/>
      <c r="E870" s="73"/>
      <c r="F870" s="72"/>
    </row>
    <row r="871" ht="14.25" customHeight="1">
      <c r="A871" s="73"/>
      <c r="B871" s="73"/>
      <c r="C871" s="73"/>
      <c r="D871" s="73"/>
      <c r="E871" s="73"/>
      <c r="F871" s="72"/>
    </row>
    <row r="872" ht="14.25" customHeight="1">
      <c r="A872" s="73"/>
      <c r="B872" s="73"/>
      <c r="C872" s="73"/>
      <c r="D872" s="73"/>
      <c r="E872" s="73"/>
      <c r="F872" s="72"/>
    </row>
    <row r="873" ht="14.25" customHeight="1">
      <c r="A873" s="73"/>
      <c r="B873" s="73"/>
      <c r="C873" s="73"/>
      <c r="D873" s="73"/>
      <c r="E873" s="73"/>
      <c r="F873" s="72"/>
    </row>
    <row r="874" ht="14.25" customHeight="1">
      <c r="A874" s="73"/>
      <c r="B874" s="73"/>
      <c r="C874" s="73"/>
      <c r="D874" s="73"/>
      <c r="E874" s="73"/>
      <c r="F874" s="72"/>
    </row>
    <row r="875" ht="14.25" customHeight="1">
      <c r="A875" s="73"/>
      <c r="B875" s="73"/>
      <c r="C875" s="73"/>
      <c r="D875" s="73"/>
      <c r="E875" s="73"/>
      <c r="F875" s="72"/>
    </row>
    <row r="876" ht="14.25" customHeight="1">
      <c r="A876" s="73"/>
      <c r="B876" s="73"/>
      <c r="C876" s="73"/>
      <c r="D876" s="73"/>
      <c r="E876" s="73"/>
      <c r="F876" s="72"/>
    </row>
    <row r="877" ht="14.25" customHeight="1">
      <c r="A877" s="73"/>
      <c r="B877" s="73"/>
      <c r="C877" s="73"/>
      <c r="D877" s="73"/>
      <c r="E877" s="73"/>
      <c r="F877" s="72"/>
    </row>
    <row r="878" ht="14.25" customHeight="1">
      <c r="A878" s="73"/>
      <c r="B878" s="73"/>
      <c r="C878" s="73"/>
      <c r="D878" s="73"/>
      <c r="E878" s="73"/>
      <c r="F878" s="72"/>
    </row>
    <row r="879" ht="14.25" customHeight="1">
      <c r="A879" s="73"/>
      <c r="B879" s="73"/>
      <c r="C879" s="73"/>
      <c r="D879" s="73"/>
      <c r="E879" s="73"/>
      <c r="F879" s="72"/>
    </row>
    <row r="880" ht="14.25" customHeight="1">
      <c r="A880" s="73"/>
      <c r="B880" s="73"/>
      <c r="C880" s="73"/>
      <c r="D880" s="73"/>
      <c r="E880" s="73"/>
      <c r="F880" s="72"/>
    </row>
    <row r="881" ht="14.25" customHeight="1">
      <c r="A881" s="73"/>
      <c r="B881" s="73"/>
      <c r="C881" s="73"/>
      <c r="D881" s="73"/>
      <c r="E881" s="73"/>
      <c r="F881" s="72"/>
    </row>
    <row r="882" ht="14.25" customHeight="1">
      <c r="A882" s="73"/>
      <c r="B882" s="73"/>
      <c r="C882" s="73"/>
      <c r="D882" s="73"/>
      <c r="E882" s="73"/>
      <c r="F882" s="72"/>
    </row>
    <row r="883" ht="14.25" customHeight="1">
      <c r="A883" s="73"/>
      <c r="B883" s="73"/>
      <c r="C883" s="73"/>
      <c r="D883" s="73"/>
      <c r="E883" s="73"/>
      <c r="F883" s="72"/>
    </row>
    <row r="884" ht="14.25" customHeight="1">
      <c r="A884" s="73"/>
      <c r="B884" s="73"/>
      <c r="C884" s="73"/>
      <c r="D884" s="73"/>
      <c r="E884" s="73"/>
      <c r="F884" s="72"/>
    </row>
    <row r="885" ht="14.25" customHeight="1">
      <c r="A885" s="73"/>
      <c r="B885" s="73"/>
      <c r="C885" s="73"/>
      <c r="D885" s="73"/>
      <c r="E885" s="73"/>
      <c r="F885" s="72"/>
    </row>
    <row r="886" ht="14.25" customHeight="1">
      <c r="A886" s="73"/>
      <c r="B886" s="73"/>
      <c r="C886" s="73"/>
      <c r="D886" s="73"/>
      <c r="E886" s="73"/>
      <c r="F886" s="72"/>
    </row>
    <row r="887" ht="14.25" customHeight="1">
      <c r="A887" s="73"/>
      <c r="B887" s="73"/>
      <c r="C887" s="73"/>
      <c r="D887" s="73"/>
      <c r="E887" s="73"/>
      <c r="F887" s="72"/>
    </row>
    <row r="888" ht="14.25" customHeight="1">
      <c r="A888" s="73"/>
      <c r="B888" s="73"/>
      <c r="C888" s="73"/>
      <c r="D888" s="73"/>
      <c r="E888" s="73"/>
      <c r="F888" s="72"/>
    </row>
    <row r="889" ht="14.25" customHeight="1">
      <c r="A889" s="73"/>
      <c r="B889" s="73"/>
      <c r="C889" s="73"/>
      <c r="D889" s="73"/>
      <c r="E889" s="73"/>
      <c r="F889" s="72"/>
    </row>
    <row r="890" ht="14.25" customHeight="1">
      <c r="A890" s="73"/>
      <c r="B890" s="73"/>
      <c r="C890" s="73"/>
      <c r="D890" s="73"/>
      <c r="E890" s="73"/>
      <c r="F890" s="72"/>
    </row>
    <row r="891" ht="14.25" customHeight="1">
      <c r="A891" s="73"/>
      <c r="B891" s="73"/>
      <c r="C891" s="73"/>
      <c r="D891" s="73"/>
      <c r="E891" s="73"/>
      <c r="F891" s="72"/>
    </row>
    <row r="892" ht="14.25" customHeight="1">
      <c r="A892" s="73"/>
      <c r="B892" s="73"/>
      <c r="C892" s="73"/>
      <c r="D892" s="73"/>
      <c r="E892" s="73"/>
      <c r="F892" s="72"/>
    </row>
    <row r="893" ht="14.25" customHeight="1">
      <c r="A893" s="73"/>
      <c r="B893" s="73"/>
      <c r="C893" s="73"/>
      <c r="D893" s="73"/>
      <c r="E893" s="73"/>
      <c r="F893" s="72"/>
    </row>
    <row r="894" ht="14.25" customHeight="1">
      <c r="A894" s="73"/>
      <c r="B894" s="73"/>
      <c r="C894" s="73"/>
      <c r="D894" s="73"/>
      <c r="E894" s="73"/>
      <c r="F894" s="72"/>
    </row>
    <row r="895" ht="14.25" customHeight="1">
      <c r="A895" s="73"/>
      <c r="B895" s="73"/>
      <c r="C895" s="73"/>
      <c r="D895" s="73"/>
      <c r="E895" s="73"/>
      <c r="F895" s="72"/>
    </row>
    <row r="896" ht="14.25" customHeight="1">
      <c r="A896" s="73"/>
      <c r="B896" s="73"/>
      <c r="C896" s="73"/>
      <c r="D896" s="73"/>
      <c r="E896" s="73"/>
      <c r="F896" s="72"/>
    </row>
    <row r="897" ht="14.25" customHeight="1">
      <c r="A897" s="73"/>
      <c r="B897" s="73"/>
      <c r="C897" s="73"/>
      <c r="D897" s="73"/>
      <c r="E897" s="73"/>
      <c r="F897" s="72"/>
    </row>
    <row r="898" ht="14.25" customHeight="1">
      <c r="A898" s="73"/>
      <c r="B898" s="73"/>
      <c r="C898" s="73"/>
      <c r="D898" s="73"/>
      <c r="E898" s="73"/>
      <c r="F898" s="72"/>
    </row>
    <row r="899" ht="14.25" customHeight="1">
      <c r="A899" s="73"/>
      <c r="B899" s="73"/>
      <c r="C899" s="73"/>
      <c r="D899" s="73"/>
      <c r="E899" s="73"/>
      <c r="F899" s="72"/>
    </row>
    <row r="900" ht="14.25" customHeight="1">
      <c r="A900" s="73"/>
      <c r="B900" s="73"/>
      <c r="C900" s="73"/>
      <c r="D900" s="73"/>
      <c r="E900" s="73"/>
      <c r="F900" s="72"/>
    </row>
    <row r="901" ht="14.25" customHeight="1">
      <c r="A901" s="73"/>
      <c r="B901" s="73"/>
      <c r="C901" s="73"/>
      <c r="D901" s="73"/>
      <c r="E901" s="73"/>
      <c r="F901" s="72"/>
    </row>
    <row r="902" ht="14.25" customHeight="1">
      <c r="A902" s="73"/>
      <c r="B902" s="73"/>
      <c r="C902" s="73"/>
      <c r="D902" s="73"/>
      <c r="E902" s="73"/>
      <c r="F902" s="72"/>
    </row>
    <row r="903" ht="14.25" customHeight="1">
      <c r="A903" s="73"/>
      <c r="B903" s="73"/>
      <c r="C903" s="73"/>
      <c r="D903" s="73"/>
      <c r="E903" s="73"/>
      <c r="F903" s="72"/>
    </row>
    <row r="904" ht="14.25" customHeight="1">
      <c r="A904" s="73"/>
      <c r="B904" s="73"/>
      <c r="C904" s="73"/>
      <c r="D904" s="73"/>
      <c r="E904" s="73"/>
      <c r="F904" s="72"/>
    </row>
    <row r="905" ht="14.25" customHeight="1">
      <c r="A905" s="73"/>
      <c r="B905" s="73"/>
      <c r="C905" s="73"/>
      <c r="D905" s="73"/>
      <c r="E905" s="73"/>
      <c r="F905" s="72"/>
    </row>
    <row r="906" ht="14.25" customHeight="1">
      <c r="A906" s="73"/>
      <c r="B906" s="73"/>
      <c r="C906" s="73"/>
      <c r="D906" s="73"/>
      <c r="E906" s="73"/>
      <c r="F906" s="72"/>
    </row>
    <row r="907" ht="14.25" customHeight="1">
      <c r="A907" s="73"/>
      <c r="B907" s="73"/>
      <c r="C907" s="73"/>
      <c r="D907" s="73"/>
      <c r="E907" s="73"/>
      <c r="F907" s="72"/>
    </row>
    <row r="908" ht="14.25" customHeight="1">
      <c r="A908" s="73"/>
      <c r="B908" s="73"/>
      <c r="C908" s="73"/>
      <c r="D908" s="73"/>
      <c r="E908" s="73"/>
      <c r="F908" s="72"/>
    </row>
    <row r="909" ht="14.25" customHeight="1">
      <c r="A909" s="73"/>
      <c r="B909" s="73"/>
      <c r="C909" s="73"/>
      <c r="D909" s="73"/>
      <c r="E909" s="73"/>
      <c r="F909" s="72"/>
    </row>
    <row r="910" ht="14.25" customHeight="1">
      <c r="A910" s="73"/>
      <c r="B910" s="73"/>
      <c r="C910" s="73"/>
      <c r="D910" s="73"/>
      <c r="E910" s="73"/>
      <c r="F910" s="72"/>
    </row>
    <row r="911" ht="14.25" customHeight="1">
      <c r="A911" s="73"/>
      <c r="B911" s="73"/>
      <c r="C911" s="73"/>
      <c r="D911" s="73"/>
      <c r="E911" s="73"/>
      <c r="F911" s="72"/>
    </row>
    <row r="912" ht="14.25" customHeight="1">
      <c r="A912" s="73"/>
      <c r="B912" s="73"/>
      <c r="C912" s="73"/>
      <c r="D912" s="73"/>
      <c r="E912" s="73"/>
      <c r="F912" s="72"/>
    </row>
    <row r="913" ht="14.25" customHeight="1">
      <c r="A913" s="73"/>
      <c r="B913" s="73"/>
      <c r="C913" s="73"/>
      <c r="D913" s="73"/>
      <c r="E913" s="73"/>
      <c r="F913" s="72"/>
    </row>
    <row r="914" ht="14.25" customHeight="1">
      <c r="A914" s="73"/>
      <c r="B914" s="73"/>
      <c r="C914" s="73"/>
      <c r="D914" s="73"/>
      <c r="E914" s="73"/>
      <c r="F914" s="72"/>
    </row>
    <row r="915" ht="14.25" customHeight="1">
      <c r="A915" s="73"/>
      <c r="B915" s="73"/>
      <c r="C915" s="73"/>
      <c r="D915" s="73"/>
      <c r="E915" s="73"/>
      <c r="F915" s="72"/>
    </row>
    <row r="916" ht="14.25" customHeight="1">
      <c r="A916" s="73"/>
      <c r="B916" s="73"/>
      <c r="C916" s="73"/>
      <c r="D916" s="73"/>
      <c r="E916" s="73"/>
      <c r="F916" s="72"/>
    </row>
    <row r="917" ht="14.25" customHeight="1">
      <c r="A917" s="73"/>
      <c r="B917" s="73"/>
      <c r="C917" s="73"/>
      <c r="D917" s="73"/>
      <c r="E917" s="73"/>
      <c r="F917" s="72"/>
    </row>
    <row r="918" ht="14.25" customHeight="1">
      <c r="A918" s="73"/>
      <c r="B918" s="73"/>
      <c r="C918" s="73"/>
      <c r="D918" s="73"/>
      <c r="E918" s="73"/>
      <c r="F918" s="72"/>
    </row>
    <row r="919" ht="14.25" customHeight="1">
      <c r="A919" s="73"/>
      <c r="B919" s="73"/>
      <c r="C919" s="73"/>
      <c r="D919" s="73"/>
      <c r="E919" s="73"/>
      <c r="F919" s="72"/>
    </row>
    <row r="920" ht="14.25" customHeight="1">
      <c r="A920" s="73"/>
      <c r="B920" s="73"/>
      <c r="C920" s="73"/>
      <c r="D920" s="73"/>
      <c r="E920" s="73"/>
      <c r="F920" s="72"/>
    </row>
    <row r="921" ht="14.25" customHeight="1">
      <c r="A921" s="73"/>
      <c r="B921" s="73"/>
      <c r="C921" s="73"/>
      <c r="D921" s="73"/>
      <c r="E921" s="73"/>
      <c r="F921" s="72"/>
    </row>
    <row r="922" ht="14.25" customHeight="1">
      <c r="A922" s="73"/>
      <c r="B922" s="73"/>
      <c r="C922" s="73"/>
      <c r="D922" s="73"/>
      <c r="E922" s="73"/>
      <c r="F922" s="72"/>
    </row>
    <row r="923" ht="14.25" customHeight="1">
      <c r="A923" s="73"/>
      <c r="B923" s="73"/>
      <c r="C923" s="73"/>
      <c r="D923" s="73"/>
      <c r="E923" s="73"/>
      <c r="F923" s="72"/>
    </row>
    <row r="924" ht="14.25" customHeight="1">
      <c r="A924" s="73"/>
      <c r="B924" s="73"/>
      <c r="C924" s="73"/>
      <c r="D924" s="73"/>
      <c r="E924" s="73"/>
      <c r="F924" s="72"/>
    </row>
    <row r="925" ht="14.25" customHeight="1">
      <c r="A925" s="73"/>
      <c r="B925" s="73"/>
      <c r="C925" s="73"/>
      <c r="D925" s="73"/>
      <c r="E925" s="73"/>
      <c r="F925" s="72"/>
    </row>
    <row r="926" ht="14.25" customHeight="1">
      <c r="A926" s="73"/>
      <c r="B926" s="73"/>
      <c r="C926" s="73"/>
      <c r="D926" s="73"/>
      <c r="E926" s="73"/>
      <c r="F926" s="72"/>
    </row>
    <row r="927" ht="14.25" customHeight="1">
      <c r="A927" s="73"/>
      <c r="B927" s="73"/>
      <c r="C927" s="73"/>
      <c r="D927" s="73"/>
      <c r="E927" s="73"/>
      <c r="F927" s="72"/>
    </row>
    <row r="928" ht="14.25" customHeight="1">
      <c r="A928" s="73"/>
      <c r="B928" s="73"/>
      <c r="C928" s="73"/>
      <c r="D928" s="73"/>
      <c r="E928" s="73"/>
      <c r="F928" s="72"/>
    </row>
    <row r="929" ht="14.25" customHeight="1">
      <c r="A929" s="73"/>
      <c r="B929" s="73"/>
      <c r="C929" s="73"/>
      <c r="D929" s="73"/>
      <c r="E929" s="73"/>
      <c r="F929" s="72"/>
    </row>
    <row r="930" ht="14.25" customHeight="1">
      <c r="A930" s="73"/>
      <c r="B930" s="73"/>
      <c r="C930" s="73"/>
      <c r="D930" s="73"/>
      <c r="E930" s="73"/>
      <c r="F930" s="72"/>
    </row>
    <row r="931" ht="14.25" customHeight="1">
      <c r="A931" s="73"/>
      <c r="B931" s="73"/>
      <c r="C931" s="73"/>
      <c r="D931" s="73"/>
      <c r="E931" s="73"/>
      <c r="F931" s="72"/>
    </row>
    <row r="932" ht="14.25" customHeight="1">
      <c r="A932" s="73"/>
      <c r="B932" s="73"/>
      <c r="C932" s="73"/>
      <c r="D932" s="73"/>
      <c r="E932" s="73"/>
      <c r="F932" s="72"/>
    </row>
    <row r="933" ht="14.25" customHeight="1">
      <c r="A933" s="73"/>
      <c r="B933" s="73"/>
      <c r="C933" s="73"/>
      <c r="D933" s="73"/>
      <c r="E933" s="73"/>
      <c r="F933" s="72"/>
    </row>
    <row r="934" ht="14.25" customHeight="1">
      <c r="A934" s="73"/>
      <c r="B934" s="73"/>
      <c r="C934" s="73"/>
      <c r="D934" s="73"/>
      <c r="E934" s="73"/>
      <c r="F934" s="72"/>
    </row>
    <row r="935" ht="14.25" customHeight="1">
      <c r="A935" s="73"/>
      <c r="B935" s="73"/>
      <c r="C935" s="73"/>
      <c r="D935" s="73"/>
      <c r="E935" s="73"/>
      <c r="F935" s="72"/>
    </row>
    <row r="936" ht="14.25" customHeight="1">
      <c r="A936" s="73"/>
      <c r="B936" s="73"/>
      <c r="C936" s="73"/>
      <c r="D936" s="73"/>
      <c r="E936" s="73"/>
      <c r="F936" s="72"/>
    </row>
    <row r="937" ht="14.25" customHeight="1">
      <c r="A937" s="73"/>
      <c r="B937" s="73"/>
      <c r="C937" s="73"/>
      <c r="D937" s="73"/>
      <c r="E937" s="73"/>
      <c r="F937" s="72"/>
    </row>
    <row r="938" ht="14.25" customHeight="1">
      <c r="A938" s="73"/>
      <c r="B938" s="73"/>
      <c r="C938" s="73"/>
      <c r="D938" s="73"/>
      <c r="E938" s="73"/>
      <c r="F938" s="72"/>
    </row>
    <row r="939" ht="14.25" customHeight="1">
      <c r="A939" s="73"/>
      <c r="B939" s="73"/>
      <c r="C939" s="73"/>
      <c r="D939" s="73"/>
      <c r="E939" s="73"/>
      <c r="F939" s="72"/>
    </row>
    <row r="940" ht="14.25" customHeight="1">
      <c r="A940" s="73"/>
      <c r="B940" s="73"/>
      <c r="C940" s="73"/>
      <c r="D940" s="73"/>
      <c r="E940" s="73"/>
      <c r="F940" s="72"/>
    </row>
    <row r="941" ht="14.25" customHeight="1">
      <c r="A941" s="73"/>
      <c r="B941" s="73"/>
      <c r="C941" s="73"/>
      <c r="D941" s="73"/>
      <c r="E941" s="73"/>
      <c r="F941" s="72"/>
    </row>
    <row r="942" ht="14.25" customHeight="1">
      <c r="A942" s="73"/>
      <c r="B942" s="73"/>
      <c r="C942" s="73"/>
      <c r="D942" s="73"/>
      <c r="E942" s="73"/>
      <c r="F942" s="72"/>
    </row>
    <row r="943" ht="14.25" customHeight="1">
      <c r="A943" s="73"/>
      <c r="B943" s="73"/>
      <c r="C943" s="73"/>
      <c r="D943" s="73"/>
      <c r="E943" s="73"/>
      <c r="F943" s="72"/>
    </row>
    <row r="944" ht="14.25" customHeight="1">
      <c r="A944" s="73"/>
      <c r="B944" s="73"/>
      <c r="C944" s="73"/>
      <c r="D944" s="73"/>
      <c r="E944" s="73"/>
      <c r="F944" s="72"/>
    </row>
    <row r="945" ht="14.25" customHeight="1">
      <c r="A945" s="73"/>
      <c r="B945" s="73"/>
      <c r="C945" s="73"/>
      <c r="D945" s="73"/>
      <c r="E945" s="73"/>
      <c r="F945" s="72"/>
    </row>
    <row r="946" ht="14.25" customHeight="1">
      <c r="A946" s="73"/>
      <c r="B946" s="73"/>
      <c r="C946" s="73"/>
      <c r="D946" s="73"/>
      <c r="E946" s="73"/>
      <c r="F946" s="72"/>
    </row>
    <row r="947" ht="14.25" customHeight="1">
      <c r="A947" s="73"/>
      <c r="B947" s="73"/>
      <c r="C947" s="73"/>
      <c r="D947" s="73"/>
      <c r="E947" s="73"/>
      <c r="F947" s="72"/>
    </row>
    <row r="948" ht="14.25" customHeight="1">
      <c r="A948" s="73"/>
      <c r="B948" s="73"/>
      <c r="C948" s="73"/>
      <c r="D948" s="73"/>
      <c r="E948" s="73"/>
      <c r="F948" s="72"/>
    </row>
    <row r="949" ht="14.25" customHeight="1">
      <c r="A949" s="73"/>
      <c r="B949" s="73"/>
      <c r="C949" s="73"/>
      <c r="D949" s="73"/>
      <c r="E949" s="73"/>
      <c r="F949" s="72"/>
    </row>
    <row r="950" ht="14.25" customHeight="1">
      <c r="A950" s="73"/>
      <c r="B950" s="73"/>
      <c r="C950" s="73"/>
      <c r="D950" s="73"/>
      <c r="E950" s="73"/>
      <c r="F950" s="72"/>
    </row>
    <row r="951" ht="14.25" customHeight="1">
      <c r="A951" s="73"/>
      <c r="B951" s="73"/>
      <c r="C951" s="73"/>
      <c r="D951" s="73"/>
      <c r="E951" s="73"/>
      <c r="F951" s="72"/>
    </row>
    <row r="952" ht="14.25" customHeight="1">
      <c r="A952" s="73"/>
      <c r="B952" s="73"/>
      <c r="C952" s="73"/>
      <c r="D952" s="73"/>
      <c r="E952" s="73"/>
      <c r="F952" s="72"/>
    </row>
    <row r="953" ht="14.25" customHeight="1">
      <c r="A953" s="73"/>
      <c r="B953" s="73"/>
      <c r="C953" s="73"/>
      <c r="D953" s="73"/>
      <c r="E953" s="73"/>
      <c r="F953" s="72"/>
    </row>
    <row r="954" ht="14.25" customHeight="1">
      <c r="A954" s="73"/>
      <c r="B954" s="73"/>
      <c r="C954" s="73"/>
      <c r="D954" s="73"/>
      <c r="E954" s="73"/>
      <c r="F954" s="72"/>
    </row>
    <row r="955" ht="14.25" customHeight="1">
      <c r="A955" s="73"/>
      <c r="B955" s="73"/>
      <c r="C955" s="73"/>
      <c r="D955" s="73"/>
      <c r="E955" s="73"/>
      <c r="F955" s="72"/>
    </row>
    <row r="956" ht="14.25" customHeight="1">
      <c r="A956" s="73"/>
      <c r="B956" s="73"/>
      <c r="C956" s="73"/>
      <c r="D956" s="73"/>
      <c r="E956" s="73"/>
      <c r="F956" s="72"/>
    </row>
    <row r="957" ht="14.25" customHeight="1">
      <c r="A957" s="73"/>
      <c r="B957" s="73"/>
      <c r="C957" s="73"/>
      <c r="D957" s="73"/>
      <c r="E957" s="73"/>
      <c r="F957" s="72"/>
    </row>
    <row r="958" ht="14.25" customHeight="1">
      <c r="A958" s="73"/>
      <c r="B958" s="73"/>
      <c r="C958" s="73"/>
      <c r="D958" s="73"/>
      <c r="E958" s="73"/>
      <c r="F958" s="72"/>
    </row>
    <row r="959" ht="14.25" customHeight="1">
      <c r="A959" s="73"/>
      <c r="B959" s="73"/>
      <c r="C959" s="73"/>
      <c r="D959" s="73"/>
      <c r="E959" s="73"/>
      <c r="F959" s="72"/>
    </row>
    <row r="960" ht="14.25" customHeight="1">
      <c r="A960" s="73"/>
      <c r="B960" s="73"/>
      <c r="C960" s="73"/>
      <c r="D960" s="73"/>
      <c r="E960" s="73"/>
      <c r="F960" s="72"/>
    </row>
    <row r="961" ht="14.25" customHeight="1">
      <c r="A961" s="73"/>
      <c r="B961" s="73"/>
      <c r="C961" s="73"/>
      <c r="D961" s="73"/>
      <c r="E961" s="73"/>
      <c r="F961" s="72"/>
    </row>
    <row r="962" ht="14.25" customHeight="1">
      <c r="A962" s="73"/>
      <c r="B962" s="73"/>
      <c r="C962" s="73"/>
      <c r="D962" s="73"/>
      <c r="E962" s="73"/>
      <c r="F962" s="72"/>
    </row>
    <row r="963" ht="14.25" customHeight="1">
      <c r="A963" s="73"/>
      <c r="B963" s="73"/>
      <c r="C963" s="73"/>
      <c r="D963" s="73"/>
      <c r="E963" s="73"/>
      <c r="F963" s="72"/>
    </row>
    <row r="964" ht="14.25" customHeight="1">
      <c r="A964" s="73"/>
      <c r="B964" s="73"/>
      <c r="C964" s="73"/>
      <c r="D964" s="73"/>
      <c r="E964" s="73"/>
      <c r="F964" s="72"/>
    </row>
    <row r="965" ht="14.25" customHeight="1">
      <c r="A965" s="73"/>
      <c r="B965" s="73"/>
      <c r="C965" s="73"/>
      <c r="D965" s="73"/>
      <c r="E965" s="73"/>
      <c r="F965" s="72"/>
    </row>
    <row r="966" ht="14.25" customHeight="1">
      <c r="A966" s="73"/>
      <c r="B966" s="73"/>
      <c r="C966" s="73"/>
      <c r="D966" s="73"/>
      <c r="E966" s="73"/>
      <c r="F966" s="72"/>
    </row>
    <row r="967" ht="14.25" customHeight="1">
      <c r="A967" s="73"/>
      <c r="B967" s="73"/>
      <c r="C967" s="73"/>
      <c r="D967" s="73"/>
      <c r="E967" s="73"/>
      <c r="F967" s="72"/>
    </row>
    <row r="968" ht="14.25" customHeight="1">
      <c r="A968" s="73"/>
      <c r="B968" s="73"/>
      <c r="C968" s="73"/>
      <c r="D968" s="73"/>
      <c r="E968" s="73"/>
      <c r="F968" s="72"/>
    </row>
    <row r="969" ht="14.25" customHeight="1">
      <c r="A969" s="73"/>
      <c r="B969" s="73"/>
      <c r="C969" s="73"/>
      <c r="D969" s="73"/>
      <c r="E969" s="73"/>
      <c r="F969" s="72"/>
    </row>
    <row r="970" ht="14.25" customHeight="1">
      <c r="A970" s="73"/>
      <c r="B970" s="73"/>
      <c r="C970" s="73"/>
      <c r="D970" s="73"/>
      <c r="E970" s="73"/>
      <c r="F970" s="72"/>
    </row>
    <row r="971" ht="14.25" customHeight="1">
      <c r="A971" s="73"/>
      <c r="B971" s="73"/>
      <c r="C971" s="73"/>
      <c r="D971" s="73"/>
      <c r="E971" s="73"/>
      <c r="F971" s="72"/>
    </row>
    <row r="972" ht="14.25" customHeight="1">
      <c r="A972" s="73"/>
      <c r="B972" s="73"/>
      <c r="C972" s="73"/>
      <c r="D972" s="73"/>
      <c r="E972" s="73"/>
      <c r="F972" s="72"/>
    </row>
    <row r="973" ht="14.25" customHeight="1">
      <c r="A973" s="73"/>
      <c r="B973" s="73"/>
      <c r="C973" s="73"/>
      <c r="D973" s="73"/>
      <c r="E973" s="73"/>
      <c r="F973" s="72"/>
    </row>
    <row r="974" ht="14.25" customHeight="1">
      <c r="A974" s="73"/>
      <c r="B974" s="73"/>
      <c r="C974" s="73"/>
      <c r="D974" s="73"/>
      <c r="E974" s="73"/>
      <c r="F974" s="72"/>
    </row>
    <row r="975" ht="14.25" customHeight="1">
      <c r="A975" s="73"/>
      <c r="B975" s="73"/>
      <c r="C975" s="73"/>
      <c r="D975" s="73"/>
      <c r="E975" s="73"/>
      <c r="F975" s="72"/>
    </row>
    <row r="976" ht="14.25" customHeight="1">
      <c r="A976" s="73"/>
      <c r="B976" s="73"/>
      <c r="C976" s="73"/>
      <c r="D976" s="73"/>
      <c r="E976" s="73"/>
      <c r="F976" s="72"/>
    </row>
    <row r="977" ht="14.25" customHeight="1">
      <c r="A977" s="73"/>
      <c r="B977" s="73"/>
      <c r="C977" s="73"/>
      <c r="D977" s="73"/>
      <c r="E977" s="73"/>
      <c r="F977" s="72"/>
    </row>
    <row r="978" ht="14.25" customHeight="1">
      <c r="A978" s="73"/>
      <c r="B978" s="73"/>
      <c r="C978" s="73"/>
      <c r="D978" s="73"/>
      <c r="E978" s="73"/>
      <c r="F978" s="72"/>
    </row>
    <row r="979" ht="14.25" customHeight="1">
      <c r="A979" s="73"/>
      <c r="B979" s="73"/>
      <c r="C979" s="73"/>
      <c r="D979" s="73"/>
      <c r="E979" s="73"/>
      <c r="F979" s="72"/>
    </row>
    <row r="980" ht="14.25" customHeight="1">
      <c r="A980" s="73"/>
      <c r="B980" s="73"/>
      <c r="C980" s="73"/>
      <c r="D980" s="73"/>
      <c r="E980" s="73"/>
      <c r="F980" s="72"/>
    </row>
    <row r="981" ht="14.25" customHeight="1">
      <c r="A981" s="73"/>
      <c r="B981" s="73"/>
      <c r="C981" s="73"/>
      <c r="D981" s="73"/>
      <c r="E981" s="73"/>
      <c r="F981" s="72"/>
    </row>
    <row r="982" ht="14.25" customHeight="1">
      <c r="A982" s="73"/>
      <c r="B982" s="73"/>
      <c r="C982" s="73"/>
      <c r="D982" s="73"/>
      <c r="E982" s="73"/>
      <c r="F982" s="72"/>
    </row>
    <row r="983" ht="14.25" customHeight="1">
      <c r="A983" s="73"/>
      <c r="B983" s="73"/>
      <c r="C983" s="73"/>
      <c r="D983" s="73"/>
      <c r="E983" s="73"/>
      <c r="F983" s="72"/>
    </row>
    <row r="984" ht="14.25" customHeight="1">
      <c r="A984" s="73"/>
      <c r="B984" s="73"/>
      <c r="C984" s="73"/>
      <c r="D984" s="73"/>
      <c r="E984" s="73"/>
      <c r="F984" s="72"/>
    </row>
    <row r="985" ht="14.25" customHeight="1">
      <c r="A985" s="73"/>
      <c r="B985" s="73"/>
      <c r="C985" s="73"/>
      <c r="D985" s="73"/>
      <c r="E985" s="73"/>
      <c r="F985" s="72"/>
    </row>
    <row r="986" ht="14.25" customHeight="1">
      <c r="A986" s="73"/>
      <c r="B986" s="73"/>
      <c r="C986" s="73"/>
      <c r="D986" s="73"/>
      <c r="E986" s="73"/>
      <c r="F986" s="72"/>
    </row>
    <row r="987" ht="14.25" customHeight="1">
      <c r="A987" s="73"/>
      <c r="B987" s="73"/>
      <c r="C987" s="73"/>
      <c r="D987" s="73"/>
      <c r="E987" s="73"/>
      <c r="F987" s="72"/>
    </row>
    <row r="988" ht="14.25" customHeight="1">
      <c r="A988" s="73"/>
      <c r="B988" s="73"/>
      <c r="C988" s="73"/>
      <c r="D988" s="73"/>
      <c r="E988" s="73"/>
      <c r="F988" s="72"/>
    </row>
    <row r="989" ht="14.25" customHeight="1">
      <c r="A989" s="73"/>
      <c r="B989" s="73"/>
      <c r="C989" s="73"/>
      <c r="D989" s="73"/>
      <c r="E989" s="73"/>
      <c r="F989" s="72"/>
    </row>
    <row r="990" ht="14.25" customHeight="1">
      <c r="A990" s="73"/>
      <c r="B990" s="73"/>
      <c r="C990" s="73"/>
      <c r="D990" s="73"/>
      <c r="E990" s="73"/>
      <c r="F990" s="72"/>
    </row>
    <row r="991" ht="14.25" customHeight="1">
      <c r="A991" s="73"/>
      <c r="B991" s="73"/>
      <c r="C991" s="73"/>
      <c r="D991" s="73"/>
      <c r="E991" s="73"/>
      <c r="F991" s="72"/>
    </row>
    <row r="992" ht="14.25" customHeight="1">
      <c r="A992" s="73"/>
      <c r="B992" s="73"/>
      <c r="C992" s="73"/>
      <c r="D992" s="73"/>
      <c r="E992" s="73"/>
      <c r="F992" s="72"/>
    </row>
    <row r="993" ht="14.25" customHeight="1">
      <c r="A993" s="73"/>
      <c r="B993" s="73"/>
      <c r="C993" s="73"/>
      <c r="D993" s="73"/>
      <c r="E993" s="73"/>
      <c r="F993" s="72"/>
    </row>
    <row r="994" ht="14.25" customHeight="1">
      <c r="A994" s="73"/>
      <c r="B994" s="73"/>
      <c r="C994" s="73"/>
      <c r="D994" s="73"/>
      <c r="E994" s="73"/>
      <c r="F994" s="72"/>
    </row>
    <row r="995" ht="14.25" customHeight="1">
      <c r="A995" s="73"/>
      <c r="B995" s="73"/>
      <c r="C995" s="73"/>
      <c r="D995" s="73"/>
      <c r="E995" s="73"/>
      <c r="F995" s="72"/>
    </row>
    <row r="996" ht="14.25" customHeight="1">
      <c r="A996" s="73"/>
      <c r="B996" s="73"/>
      <c r="C996" s="73"/>
      <c r="D996" s="73"/>
      <c r="E996" s="73"/>
      <c r="F996" s="72"/>
    </row>
    <row r="997" ht="14.25" customHeight="1">
      <c r="A997" s="73"/>
      <c r="B997" s="73"/>
      <c r="C997" s="73"/>
      <c r="D997" s="73"/>
      <c r="E997" s="73"/>
      <c r="F997" s="72"/>
    </row>
    <row r="998" ht="14.25" customHeight="1">
      <c r="A998" s="73"/>
      <c r="B998" s="73"/>
      <c r="C998" s="73"/>
      <c r="D998" s="73"/>
      <c r="E998" s="73"/>
      <c r="F998" s="72"/>
    </row>
    <row r="999" ht="14.25" customHeight="1">
      <c r="A999" s="73"/>
      <c r="B999" s="73"/>
      <c r="C999" s="73"/>
      <c r="D999" s="73"/>
      <c r="E999" s="73"/>
      <c r="F999" s="72"/>
    </row>
    <row r="1000" ht="14.25" customHeight="1">
      <c r="A1000" s="73"/>
      <c r="B1000" s="73"/>
      <c r="C1000" s="73"/>
      <c r="D1000" s="73"/>
      <c r="E1000" s="73"/>
      <c r="F1000" s="72"/>
    </row>
    <row r="1001" ht="14.25" customHeight="1">
      <c r="A1001" s="73"/>
      <c r="B1001" s="73"/>
      <c r="C1001" s="73"/>
      <c r="D1001" s="73"/>
      <c r="E1001" s="73"/>
      <c r="F1001" s="72"/>
    </row>
    <row r="1002" ht="14.25" customHeight="1">
      <c r="A1002" s="73"/>
      <c r="B1002" s="73"/>
      <c r="C1002" s="73"/>
      <c r="D1002" s="73"/>
      <c r="E1002" s="73"/>
      <c r="F1002" s="72"/>
    </row>
    <row r="1003" ht="14.25" customHeight="1">
      <c r="A1003" s="73"/>
      <c r="B1003" s="73"/>
      <c r="C1003" s="73"/>
      <c r="D1003" s="73"/>
      <c r="E1003" s="73"/>
      <c r="F1003" s="72"/>
    </row>
  </sheetData>
  <mergeCells count="191">
    <mergeCell ref="F46:F47"/>
    <mergeCell ref="G46:I46"/>
    <mergeCell ref="P46:R46"/>
    <mergeCell ref="S46:U46"/>
    <mergeCell ref="V46:X46"/>
    <mergeCell ref="Y46:AA46"/>
    <mergeCell ref="AB46:AB47"/>
    <mergeCell ref="AC46:AC47"/>
    <mergeCell ref="B33:B34"/>
    <mergeCell ref="A42:E42"/>
    <mergeCell ref="A45:AC45"/>
    <mergeCell ref="A46:B47"/>
    <mergeCell ref="C46:C47"/>
    <mergeCell ref="D46:D47"/>
    <mergeCell ref="E46:E47"/>
    <mergeCell ref="B50:B51"/>
    <mergeCell ref="A60:B61"/>
    <mergeCell ref="C60:C61"/>
    <mergeCell ref="D60:D61"/>
    <mergeCell ref="E60:E61"/>
    <mergeCell ref="F60:F61"/>
    <mergeCell ref="J46:L46"/>
    <mergeCell ref="M46:O46"/>
    <mergeCell ref="AF49:AI49"/>
    <mergeCell ref="A50:A51"/>
    <mergeCell ref="C50:C51"/>
    <mergeCell ref="A55:E55"/>
    <mergeCell ref="A59:O59"/>
    <mergeCell ref="P2:R2"/>
    <mergeCell ref="S2:U2"/>
    <mergeCell ref="V2:X2"/>
    <mergeCell ref="Y2:AA2"/>
    <mergeCell ref="AB2:AB3"/>
    <mergeCell ref="AC2:AC3"/>
    <mergeCell ref="AF6:AI6"/>
    <mergeCell ref="AG13:AH13"/>
    <mergeCell ref="AG14:AH14"/>
    <mergeCell ref="A1:AC1"/>
    <mergeCell ref="A2:B3"/>
    <mergeCell ref="C2:C3"/>
    <mergeCell ref="D2:D3"/>
    <mergeCell ref="E2:E3"/>
    <mergeCell ref="F2:F3"/>
    <mergeCell ref="G2:I2"/>
    <mergeCell ref="J2:L2"/>
    <mergeCell ref="M2:O2"/>
    <mergeCell ref="B4:B5"/>
    <mergeCell ref="C4:C5"/>
    <mergeCell ref="B6:B7"/>
    <mergeCell ref="C6:C7"/>
    <mergeCell ref="B13:B14"/>
    <mergeCell ref="B16:B17"/>
    <mergeCell ref="I17:I18"/>
    <mergeCell ref="B20:B23"/>
    <mergeCell ref="C20:C23"/>
    <mergeCell ref="C27:C28"/>
    <mergeCell ref="B30:B32"/>
    <mergeCell ref="C30:C32"/>
    <mergeCell ref="C73:C74"/>
    <mergeCell ref="D73:D74"/>
    <mergeCell ref="G73:H73"/>
    <mergeCell ref="I73:J73"/>
    <mergeCell ref="I93:J93"/>
    <mergeCell ref="K73:L73"/>
    <mergeCell ref="M73:N73"/>
    <mergeCell ref="O73:P73"/>
    <mergeCell ref="Q73:R73"/>
    <mergeCell ref="V75:V84"/>
    <mergeCell ref="Q94:S94"/>
    <mergeCell ref="N60:N61"/>
    <mergeCell ref="O60:O61"/>
    <mergeCell ref="C62:C68"/>
    <mergeCell ref="V62:AB62"/>
    <mergeCell ref="A69:E69"/>
    <mergeCell ref="A72:V72"/>
    <mergeCell ref="A73:B74"/>
    <mergeCell ref="S73:T73"/>
    <mergeCell ref="E73:E74"/>
    <mergeCell ref="F73:F74"/>
    <mergeCell ref="A85:F86"/>
    <mergeCell ref="B90:F90"/>
    <mergeCell ref="C91:F91"/>
    <mergeCell ref="B92:B93"/>
    <mergeCell ref="C92:C93"/>
    <mergeCell ref="B96:E97"/>
    <mergeCell ref="F96:F97"/>
    <mergeCell ref="I96:I97"/>
    <mergeCell ref="J96:J97"/>
    <mergeCell ref="B99:G99"/>
    <mergeCell ref="D100:G100"/>
    <mergeCell ref="D101:F101"/>
    <mergeCell ref="D102:F102"/>
    <mergeCell ref="D103:F103"/>
    <mergeCell ref="Q103:Q104"/>
    <mergeCell ref="B104:B105"/>
    <mergeCell ref="C104:C105"/>
    <mergeCell ref="D104:F104"/>
    <mergeCell ref="D105:F105"/>
    <mergeCell ref="R112:R113"/>
    <mergeCell ref="S112:T113"/>
    <mergeCell ref="X112:X113"/>
    <mergeCell ref="AB112:AB113"/>
    <mergeCell ref="AC112:AC113"/>
    <mergeCell ref="AD112:AD113"/>
    <mergeCell ref="AE112:AE113"/>
    <mergeCell ref="AF112:AG113"/>
    <mergeCell ref="D106:F106"/>
    <mergeCell ref="D107:F107"/>
    <mergeCell ref="C108:G108"/>
    <mergeCell ref="L111:T111"/>
    <mergeCell ref="V111:AG111"/>
    <mergeCell ref="C112:C113"/>
    <mergeCell ref="D112:D113"/>
    <mergeCell ref="E112:E113"/>
    <mergeCell ref="F112:F113"/>
    <mergeCell ref="B115:D115"/>
    <mergeCell ref="I112:I113"/>
    <mergeCell ref="J112:J113"/>
    <mergeCell ref="J114:J118"/>
    <mergeCell ref="L112:L113"/>
    <mergeCell ref="M112:M113"/>
    <mergeCell ref="N112:N113"/>
    <mergeCell ref="O112:O113"/>
    <mergeCell ref="P112:P113"/>
    <mergeCell ref="Q112:Q113"/>
    <mergeCell ref="V112:V113"/>
    <mergeCell ref="W112:W113"/>
    <mergeCell ref="T114:T118"/>
    <mergeCell ref="AG114:AG118"/>
    <mergeCell ref="G112:G113"/>
    <mergeCell ref="H112:H113"/>
    <mergeCell ref="C130:I130"/>
    <mergeCell ref="C133:C134"/>
    <mergeCell ref="C136:C137"/>
    <mergeCell ref="C143:C144"/>
    <mergeCell ref="D143:D144"/>
    <mergeCell ref="J232:K233"/>
    <mergeCell ref="L232:M233"/>
    <mergeCell ref="P232:P238"/>
    <mergeCell ref="B232:C233"/>
    <mergeCell ref="C235:C236"/>
    <mergeCell ref="E235:E237"/>
    <mergeCell ref="I218:I219"/>
    <mergeCell ref="I220:I222"/>
    <mergeCell ref="B231:P231"/>
    <mergeCell ref="D232:E233"/>
    <mergeCell ref="F232:G233"/>
    <mergeCell ref="H232:I233"/>
    <mergeCell ref="N232:O233"/>
    <mergeCell ref="N188:N189"/>
    <mergeCell ref="P188:P189"/>
    <mergeCell ref="P191:P193"/>
    <mergeCell ref="Q191:Q193"/>
    <mergeCell ref="P195:P196"/>
    <mergeCell ref="Q195:Q196"/>
    <mergeCell ref="C149:H149"/>
    <mergeCell ref="D154:G154"/>
    <mergeCell ref="C186:I186"/>
    <mergeCell ref="K186:Q186"/>
    <mergeCell ref="C188:C190"/>
    <mergeCell ref="E188:E190"/>
    <mergeCell ref="F188:F190"/>
    <mergeCell ref="Q188:Q189"/>
    <mergeCell ref="E191:E192"/>
    <mergeCell ref="E193:E195"/>
    <mergeCell ref="C202:D202"/>
    <mergeCell ref="H188:H190"/>
    <mergeCell ref="I188:I190"/>
    <mergeCell ref="C191:C192"/>
    <mergeCell ref="F191:F192"/>
    <mergeCell ref="I191:I192"/>
    <mergeCell ref="C193:C195"/>
    <mergeCell ref="F193:F195"/>
    <mergeCell ref="I193:I195"/>
    <mergeCell ref="K195:K196"/>
    <mergeCell ref="K200:L200"/>
    <mergeCell ref="K188:K189"/>
    <mergeCell ref="M188:M189"/>
    <mergeCell ref="K191:K193"/>
    <mergeCell ref="M191:M193"/>
    <mergeCell ref="N191:N193"/>
    <mergeCell ref="M195:M196"/>
    <mergeCell ref="N195:N196"/>
    <mergeCell ref="H191:H192"/>
    <mergeCell ref="H193:H195"/>
    <mergeCell ref="F214:G214"/>
    <mergeCell ref="G215:G217"/>
    <mergeCell ref="I215:I217"/>
    <mergeCell ref="J215:J217"/>
    <mergeCell ref="G220:G222"/>
    <mergeCell ref="J220:J222"/>
  </mergeCells>
  <conditionalFormatting sqref="AB4:AB18 AB20:AB41">
    <cfRule type="cellIs" dxfId="0" priority="1" operator="lessThan">
      <formula>-1</formula>
    </cfRule>
  </conditionalFormatting>
  <conditionalFormatting sqref="AB42">
    <cfRule type="cellIs" dxfId="1" priority="2" operator="greaterThan">
      <formula>0</formula>
    </cfRule>
  </conditionalFormatting>
  <conditionalFormatting sqref="AB48:AB54">
    <cfRule type="cellIs" dxfId="0" priority="3" operator="lessThan">
      <formula>0</formula>
    </cfRule>
  </conditionalFormatting>
  <conditionalFormatting sqref="AC4">
    <cfRule type="cellIs" dxfId="0" priority="4" operator="greaterThan">
      <formula>$F$4</formula>
    </cfRule>
  </conditionalFormatting>
  <conditionalFormatting sqref="AC5">
    <cfRule type="cellIs" dxfId="0" priority="5" operator="greaterThan">
      <formula>$F$5</formula>
    </cfRule>
  </conditionalFormatting>
  <conditionalFormatting sqref="AC6">
    <cfRule type="cellIs" dxfId="0" priority="6" operator="greaterThan">
      <formula>$F$6</formula>
    </cfRule>
  </conditionalFormatting>
  <conditionalFormatting sqref="AC7">
    <cfRule type="cellIs" dxfId="0" priority="7" operator="greaterThan">
      <formula>$F$7</formula>
    </cfRule>
  </conditionalFormatting>
  <conditionalFormatting sqref="AC8">
    <cfRule type="cellIs" dxfId="0" priority="8" operator="greaterThan">
      <formula>$F$8</formula>
    </cfRule>
  </conditionalFormatting>
  <conditionalFormatting sqref="AC9">
    <cfRule type="cellIs" dxfId="0" priority="9" operator="greaterThan">
      <formula>$F$9</formula>
    </cfRule>
  </conditionalFormatting>
  <conditionalFormatting sqref="AC10">
    <cfRule type="cellIs" dxfId="0" priority="10" operator="greaterThan">
      <formula>$F$10</formula>
    </cfRule>
  </conditionalFormatting>
  <conditionalFormatting sqref="AC11">
    <cfRule type="cellIs" dxfId="0" priority="11" operator="greaterThan">
      <formula>$F$11</formula>
    </cfRule>
  </conditionalFormatting>
  <conditionalFormatting sqref="AC12">
    <cfRule type="cellIs" dxfId="0" priority="12" operator="greaterThan">
      <formula>$F$12</formula>
    </cfRule>
  </conditionalFormatting>
  <conditionalFormatting sqref="AC13">
    <cfRule type="cellIs" dxfId="0" priority="13" operator="greaterThan">
      <formula>$F$13</formula>
    </cfRule>
  </conditionalFormatting>
  <conditionalFormatting sqref="AC14">
    <cfRule type="cellIs" dxfId="0" priority="14" operator="greaterThan">
      <formula>$F$14</formula>
    </cfRule>
  </conditionalFormatting>
  <conditionalFormatting sqref="AC15">
    <cfRule type="cellIs" dxfId="0" priority="15" operator="greaterThan">
      <formula>$F$15</formula>
    </cfRule>
  </conditionalFormatting>
  <conditionalFormatting sqref="AC16:AC17">
    <cfRule type="cellIs" dxfId="0" priority="16" operator="greaterThan">
      <formula>$F$16</formula>
    </cfRule>
  </conditionalFormatting>
  <conditionalFormatting sqref="AC18">
    <cfRule type="cellIs" dxfId="0" priority="17" operator="greaterThan">
      <formula>$F$18</formula>
    </cfRule>
  </conditionalFormatting>
  <conditionalFormatting sqref="AC19">
    <cfRule type="cellIs" dxfId="0" priority="18" operator="greaterThan">
      <formula>$F$19</formula>
    </cfRule>
  </conditionalFormatting>
  <conditionalFormatting sqref="AC20">
    <cfRule type="cellIs" dxfId="0" priority="19" operator="greaterThan">
      <formula>$F$20</formula>
    </cfRule>
  </conditionalFormatting>
  <conditionalFormatting sqref="AC21">
    <cfRule type="cellIs" dxfId="0" priority="20" operator="greaterThan">
      <formula>$F$21</formula>
    </cfRule>
  </conditionalFormatting>
  <conditionalFormatting sqref="AC24">
    <cfRule type="cellIs" dxfId="0" priority="21" operator="greaterThan">
      <formula>$F$24</formula>
    </cfRule>
  </conditionalFormatting>
  <conditionalFormatting sqref="AC25">
    <cfRule type="cellIs" dxfId="0" priority="22" operator="greaterThan">
      <formula>$F$25</formula>
    </cfRule>
  </conditionalFormatting>
  <conditionalFormatting sqref="AC26">
    <cfRule type="cellIs" dxfId="0" priority="23" operator="greaterThan">
      <formula>$F$26</formula>
    </cfRule>
  </conditionalFormatting>
  <conditionalFormatting sqref="AC27">
    <cfRule type="cellIs" dxfId="0" priority="24" operator="greaterThan">
      <formula>$F$27</formula>
    </cfRule>
  </conditionalFormatting>
  <conditionalFormatting sqref="AC28">
    <cfRule type="cellIs" dxfId="0" priority="25" operator="greaterThan">
      <formula>$F$28</formula>
    </cfRule>
  </conditionalFormatting>
  <conditionalFormatting sqref="AC29">
    <cfRule type="cellIs" dxfId="0" priority="26" operator="greaterThan">
      <formula>$F$29</formula>
    </cfRule>
  </conditionalFormatting>
  <conditionalFormatting sqref="AC30">
    <cfRule type="cellIs" dxfId="0" priority="27" operator="greaterThan">
      <formula>$F$30</formula>
    </cfRule>
  </conditionalFormatting>
  <conditionalFormatting sqref="AC31 AC35 AC39">
    <cfRule type="cellIs" dxfId="0" priority="28" operator="greaterThan">
      <formula>$F$31</formula>
    </cfRule>
  </conditionalFormatting>
  <conditionalFormatting sqref="AC32 AC36 AC40">
    <cfRule type="cellIs" dxfId="0" priority="29" operator="greaterThan">
      <formula>$F$32</formula>
    </cfRule>
  </conditionalFormatting>
  <conditionalFormatting sqref="AC33 AC37 AC41">
    <cfRule type="cellIs" dxfId="0" priority="30" operator="greaterThan">
      <formula>$F$33</formula>
    </cfRule>
  </conditionalFormatting>
  <conditionalFormatting sqref="AC34 AC38">
    <cfRule type="cellIs" dxfId="0" priority="31" operator="greaterThan">
      <formula>$F$34</formula>
    </cfRule>
  </conditionalFormatting>
  <conditionalFormatting sqref="AC42">
    <cfRule type="cellIs" dxfId="1" priority="32" operator="lessThan">
      <formula>46700</formula>
    </cfRule>
  </conditionalFormatting>
  <printOptions/>
  <pageMargins bottom="0.75" footer="0.0" header="0.0" left="0.25" right="0.25" top="0.7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36.88"/>
    <col customWidth="1" min="4" max="4" width="32.38"/>
    <col customWidth="1" min="5" max="5" width="19.75"/>
    <col customWidth="1" min="6" max="6" width="21.5"/>
    <col customWidth="1" min="7" max="7" width="20.0"/>
    <col customWidth="1" min="8" max="8" width="17.0"/>
    <col customWidth="1" min="9" max="9" width="19.25"/>
    <col customWidth="1" min="10" max="10" width="17.25"/>
    <col customWidth="1" min="11" max="11" width="15.25"/>
    <col customWidth="1" min="12" max="12" width="16.5"/>
    <col customWidth="1" min="13" max="13" width="16.75"/>
    <col customWidth="1" min="14" max="14" width="21.63"/>
    <col customWidth="1" min="15" max="15" width="20.88"/>
    <col customWidth="1" min="16" max="16" width="19.0"/>
    <col customWidth="1" min="17" max="17" width="15.63"/>
    <col customWidth="1" min="18" max="18" width="14.88"/>
    <col customWidth="1" min="19" max="19" width="18.5"/>
    <col customWidth="1" min="20" max="20" width="22.25"/>
    <col customWidth="1" min="21" max="21" width="16.5"/>
    <col customWidth="1" min="22" max="22" width="16.63"/>
    <col customWidth="1" min="23" max="23" width="17.25"/>
    <col customWidth="1" min="24" max="27" width="10.63"/>
    <col customWidth="1" min="28" max="28" width="19.13"/>
    <col customWidth="1" min="29" max="29" width="18.63"/>
    <col customWidth="1" min="30" max="30" width="14.63"/>
    <col customWidth="1" min="31" max="31" width="10.63"/>
    <col customWidth="1" min="32" max="32" width="21.38"/>
    <col customWidth="1" min="33" max="33" width="16.5"/>
    <col customWidth="1" min="34" max="34" width="21.0"/>
    <col customWidth="1" min="35" max="35" width="18.25"/>
    <col customWidth="1" min="36" max="36" width="10.63"/>
    <col customWidth="1" min="37" max="37" width="15.63"/>
    <col customWidth="1" min="38" max="39" width="10.63"/>
    <col customWidth="1" min="40" max="42" width="13.88"/>
    <col customWidth="1" min="43" max="44" width="14.38"/>
    <col customWidth="1" min="45" max="46" width="14.75"/>
    <col customWidth="1" min="47" max="48" width="18.38"/>
    <col customWidth="1" min="49" max="49" width="10.63"/>
    <col customWidth="1" min="50" max="50" width="13.38"/>
    <col customWidth="1" min="51" max="53" width="10.63"/>
    <col customWidth="1" min="54" max="54" width="15.5"/>
    <col customWidth="1" min="55" max="55" width="10.63"/>
  </cols>
  <sheetData>
    <row r="1" ht="14.2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8">
        <v>46216.0</v>
      </c>
      <c r="H2" s="2"/>
      <c r="I2" s="3"/>
      <c r="J2" s="8">
        <v>46217.0</v>
      </c>
      <c r="K2" s="2"/>
      <c r="L2" s="3"/>
      <c r="M2" s="8">
        <v>46218.0</v>
      </c>
      <c r="N2" s="2"/>
      <c r="O2" s="3"/>
      <c r="P2" s="8">
        <v>46219.0</v>
      </c>
      <c r="Q2" s="2"/>
      <c r="R2" s="3"/>
      <c r="S2" s="8">
        <v>46220.0</v>
      </c>
      <c r="T2" s="2"/>
      <c r="U2" s="3"/>
      <c r="V2" s="8">
        <v>46221.0</v>
      </c>
      <c r="W2" s="2"/>
      <c r="X2" s="3"/>
      <c r="Y2" s="8">
        <v>46222.0</v>
      </c>
      <c r="Z2" s="2"/>
      <c r="AA2" s="3"/>
      <c r="AB2" s="9" t="s">
        <v>7</v>
      </c>
      <c r="AC2" s="7" t="s">
        <v>8</v>
      </c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13" t="s">
        <v>10</v>
      </c>
      <c r="I3" s="13" t="s">
        <v>11</v>
      </c>
      <c r="J3" s="13" t="s">
        <v>9</v>
      </c>
      <c r="K3" s="13" t="s">
        <v>10</v>
      </c>
      <c r="L3" s="13" t="s">
        <v>12</v>
      </c>
      <c r="M3" s="13" t="s">
        <v>9</v>
      </c>
      <c r="N3" s="13" t="s">
        <v>10</v>
      </c>
      <c r="O3" s="13" t="s">
        <v>12</v>
      </c>
      <c r="P3" s="13" t="s">
        <v>9</v>
      </c>
      <c r="Q3" s="13" t="s">
        <v>10</v>
      </c>
      <c r="R3" s="13" t="s">
        <v>12</v>
      </c>
      <c r="S3" s="13" t="s">
        <v>9</v>
      </c>
      <c r="T3" s="13" t="s">
        <v>10</v>
      </c>
      <c r="U3" s="13" t="s">
        <v>11</v>
      </c>
      <c r="V3" s="13" t="s">
        <v>9</v>
      </c>
      <c r="W3" s="13" t="s">
        <v>10</v>
      </c>
      <c r="X3" s="13" t="s">
        <v>11</v>
      </c>
      <c r="Y3" s="13" t="s">
        <v>9</v>
      </c>
      <c r="Z3" s="13" t="s">
        <v>10</v>
      </c>
      <c r="AA3" s="13" t="s">
        <v>11</v>
      </c>
      <c r="AB3" s="12"/>
      <c r="AC3" s="12"/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>
        <f t="shared" ref="AB4:AB18" si="1">F4-(G4+H4+J4+K4+M4+N4+P4+Q4+S4+T4+V4+W4+U4+O4+I4+L4+R4+X4)</f>
        <v>1200</v>
      </c>
      <c r="AC4" s="18">
        <f t="shared" ref="AC4:AC16" si="2">SUM(G4:X4)</f>
        <v>0</v>
      </c>
      <c r="AD4" s="20"/>
    </row>
    <row r="5" ht="14.25" customHeight="1">
      <c r="A5" s="14">
        <v>2.0</v>
      </c>
      <c r="B5" s="12"/>
      <c r="C5" s="12"/>
      <c r="D5" s="21" t="s">
        <v>17</v>
      </c>
      <c r="E5" s="21"/>
      <c r="F5" s="22">
        <v>500.0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18">
        <f t="shared" si="1"/>
        <v>500</v>
      </c>
      <c r="AC5" s="18">
        <f t="shared" si="2"/>
        <v>0</v>
      </c>
      <c r="AD5" s="20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4"/>
      <c r="H6" s="24"/>
      <c r="I6" s="24"/>
      <c r="J6" s="29">
        <v>2072.34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18">
        <f t="shared" si="1"/>
        <v>427.66</v>
      </c>
      <c r="AC6" s="18">
        <f t="shared" si="2"/>
        <v>2072.34</v>
      </c>
      <c r="AD6" s="20"/>
      <c r="AF6" s="31" t="s">
        <v>23</v>
      </c>
      <c r="AG6" s="2"/>
      <c r="AH6" s="2"/>
      <c r="AI6" s="3"/>
      <c r="AK6" s="32"/>
    </row>
    <row r="7" ht="14.25" customHeight="1">
      <c r="A7" s="25">
        <v>4.0</v>
      </c>
      <c r="B7" s="12"/>
      <c r="C7" s="12"/>
      <c r="D7" s="27" t="s">
        <v>17</v>
      </c>
      <c r="E7" s="27"/>
      <c r="F7" s="28">
        <v>500.0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18">
        <f t="shared" si="1"/>
        <v>500</v>
      </c>
      <c r="AC7" s="18">
        <f t="shared" si="2"/>
        <v>0</v>
      </c>
      <c r="AD7" s="20"/>
      <c r="AF7" s="35" t="s">
        <v>25</v>
      </c>
      <c r="AG7" s="35" t="s">
        <v>26</v>
      </c>
      <c r="AH7" s="35" t="s">
        <v>27</v>
      </c>
      <c r="AI7" s="35" t="s">
        <v>28</v>
      </c>
      <c r="AK7" s="32"/>
    </row>
    <row r="8" ht="14.25" customHeight="1">
      <c r="A8" s="25">
        <v>5.0</v>
      </c>
      <c r="B8" s="27" t="s">
        <v>30</v>
      </c>
      <c r="C8" s="27" t="s">
        <v>19</v>
      </c>
      <c r="D8" s="27" t="s">
        <v>31</v>
      </c>
      <c r="E8" s="27" t="s">
        <v>32</v>
      </c>
      <c r="F8" s="28">
        <v>1500.0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18">
        <f t="shared" si="1"/>
        <v>1500</v>
      </c>
      <c r="AC8" s="18">
        <f t="shared" si="2"/>
        <v>0</v>
      </c>
      <c r="AD8" s="20"/>
      <c r="AF8" s="37" t="s">
        <v>9</v>
      </c>
      <c r="AG8" s="38">
        <f t="shared" ref="AG8:AG9" si="3">AI8/AH8</f>
        <v>1280.07121</v>
      </c>
      <c r="AH8" s="39">
        <v>22.89</v>
      </c>
      <c r="AI8" s="40">
        <f>G42+J42+M42+P42+S42+V42</f>
        <v>29300.83</v>
      </c>
    </row>
    <row r="9" ht="14.25" customHeight="1">
      <c r="A9" s="25">
        <v>6.0</v>
      </c>
      <c r="B9" s="27" t="s">
        <v>35</v>
      </c>
      <c r="C9" s="27" t="s">
        <v>19</v>
      </c>
      <c r="D9" s="27" t="s">
        <v>31</v>
      </c>
      <c r="E9" s="27" t="s">
        <v>36</v>
      </c>
      <c r="F9" s="28">
        <v>1500.0</v>
      </c>
      <c r="G9" s="41">
        <v>1250.07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18">
        <f t="shared" si="1"/>
        <v>249.93</v>
      </c>
      <c r="AC9" s="18">
        <f t="shared" si="2"/>
        <v>1250.07</v>
      </c>
      <c r="AD9" s="20"/>
      <c r="AF9" s="37" t="s">
        <v>10</v>
      </c>
      <c r="AG9" s="38">
        <f t="shared" si="3"/>
        <v>3020.004</v>
      </c>
      <c r="AH9" s="39">
        <v>5.0</v>
      </c>
      <c r="AI9" s="43">
        <f>H42+K42+N42+Q42+T42+W42+Z42</f>
        <v>15100.02</v>
      </c>
    </row>
    <row r="10" ht="14.25" customHeight="1">
      <c r="A10" s="25">
        <v>7.0</v>
      </c>
      <c r="B10" s="27" t="s">
        <v>39</v>
      </c>
      <c r="C10" s="27" t="s">
        <v>19</v>
      </c>
      <c r="D10" s="27"/>
      <c r="E10" s="27"/>
      <c r="F10" s="28">
        <v>1500.0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18">
        <f t="shared" si="1"/>
        <v>1500</v>
      </c>
      <c r="AC10" s="18">
        <f t="shared" si="2"/>
        <v>0</v>
      </c>
      <c r="AD10" s="20"/>
      <c r="AF10" s="37" t="s">
        <v>11</v>
      </c>
      <c r="AG10" s="39"/>
      <c r="AH10" s="39"/>
      <c r="AI10" s="40">
        <f>R42+U42+O42</f>
        <v>0</v>
      </c>
    </row>
    <row r="11" ht="14.25" customHeight="1">
      <c r="A11" s="14">
        <v>8.0</v>
      </c>
      <c r="B11" s="21" t="s">
        <v>41</v>
      </c>
      <c r="C11" s="21" t="s">
        <v>42</v>
      </c>
      <c r="D11" s="21" t="s">
        <v>43</v>
      </c>
      <c r="E11" s="21" t="s">
        <v>44</v>
      </c>
      <c r="F11" s="22">
        <v>700.0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18">
        <f t="shared" si="1"/>
        <v>700</v>
      </c>
      <c r="AC11" s="18">
        <f t="shared" si="2"/>
        <v>0</v>
      </c>
      <c r="AD11" s="20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</row>
    <row r="12" ht="14.25" customHeight="1">
      <c r="A12" s="14">
        <v>9.0</v>
      </c>
      <c r="B12" s="21" t="s">
        <v>45</v>
      </c>
      <c r="C12" s="21" t="s">
        <v>46</v>
      </c>
      <c r="D12" s="21" t="s">
        <v>47</v>
      </c>
      <c r="E12" s="21" t="s">
        <v>48</v>
      </c>
      <c r="F12" s="22">
        <v>1500.0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18">
        <f t="shared" si="1"/>
        <v>1500</v>
      </c>
      <c r="AC12" s="18">
        <f t="shared" si="2"/>
        <v>0</v>
      </c>
      <c r="AD12" s="20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</row>
    <row r="13" ht="14.25" customHeight="1">
      <c r="A13" s="25">
        <v>10.0</v>
      </c>
      <c r="B13" s="26" t="s">
        <v>50</v>
      </c>
      <c r="C13" s="27" t="s">
        <v>51</v>
      </c>
      <c r="D13" s="27" t="s">
        <v>52</v>
      </c>
      <c r="E13" s="27" t="s">
        <v>53</v>
      </c>
      <c r="F13" s="28">
        <v>1500.0</v>
      </c>
      <c r="G13" s="41">
        <v>1500.0</v>
      </c>
      <c r="H13" s="24"/>
      <c r="I13" s="24"/>
      <c r="J13" s="24"/>
      <c r="K13" s="24"/>
      <c r="L13" s="24"/>
      <c r="M13" s="24"/>
      <c r="N13" s="24"/>
      <c r="O13" s="24"/>
      <c r="P13" s="30">
        <v>600.0</v>
      </c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18">
        <f t="shared" si="1"/>
        <v>-600</v>
      </c>
      <c r="AC13" s="18">
        <f t="shared" si="2"/>
        <v>2100</v>
      </c>
      <c r="AD13" s="20"/>
      <c r="AG13" s="45"/>
      <c r="AI13" s="46"/>
      <c r="AJ13" s="46"/>
      <c r="AK13" s="46"/>
    </row>
    <row r="14" ht="14.25" customHeight="1">
      <c r="A14" s="25">
        <v>11.0</v>
      </c>
      <c r="B14" s="12"/>
      <c r="C14" s="27" t="s">
        <v>54</v>
      </c>
      <c r="D14" s="27" t="s">
        <v>17</v>
      </c>
      <c r="E14" s="27"/>
      <c r="F14" s="28">
        <v>500.0</v>
      </c>
      <c r="G14" s="24"/>
      <c r="H14" s="24"/>
      <c r="I14" s="24"/>
      <c r="J14" s="24"/>
      <c r="K14" s="24"/>
      <c r="L14" s="24"/>
      <c r="M14" s="24"/>
      <c r="N14" s="24"/>
      <c r="O14" s="24"/>
      <c r="P14" s="47">
        <v>318.38</v>
      </c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18">
        <f t="shared" si="1"/>
        <v>181.62</v>
      </c>
      <c r="AC14" s="18">
        <f t="shared" si="2"/>
        <v>318.38</v>
      </c>
      <c r="AD14" s="20"/>
      <c r="AG14" s="51" t="s">
        <v>55</v>
      </c>
      <c r="AH14" s="3"/>
      <c r="AI14" s="50"/>
      <c r="AJ14" s="50"/>
      <c r="AK14" s="46"/>
    </row>
    <row r="15" ht="14.25" customHeight="1">
      <c r="A15" s="25">
        <v>12.0</v>
      </c>
      <c r="B15" s="27" t="s">
        <v>57</v>
      </c>
      <c r="C15" s="27" t="s">
        <v>51</v>
      </c>
      <c r="D15" s="27" t="s">
        <v>58</v>
      </c>
      <c r="E15" s="27" t="s">
        <v>59</v>
      </c>
      <c r="F15" s="28">
        <v>1500.0</v>
      </c>
      <c r="G15" s="24"/>
      <c r="H15" s="24">
        <v>1500.0</v>
      </c>
      <c r="I15" s="23" t="s">
        <v>60</v>
      </c>
      <c r="J15" s="24"/>
      <c r="K15" s="24"/>
      <c r="L15" s="24"/>
      <c r="M15" s="24"/>
      <c r="N15" s="47">
        <v>1500.0</v>
      </c>
      <c r="O15" s="23" t="s">
        <v>64</v>
      </c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18" t="str">
        <f t="shared" si="1"/>
        <v>#VALUE!</v>
      </c>
      <c r="AC15" s="18">
        <f t="shared" si="2"/>
        <v>3000</v>
      </c>
      <c r="AD15" s="20"/>
      <c r="AG15" s="52" t="s">
        <v>9</v>
      </c>
      <c r="AH15" s="54">
        <f t="shared" ref="AH15:AH17" si="4">AI8+AI51</f>
        <v>40718.64</v>
      </c>
      <c r="AI15" s="50">
        <f>V56+S56+P56+M56+J56+G56</f>
        <v>40718.64</v>
      </c>
      <c r="AJ15" s="46"/>
      <c r="AK15" s="50"/>
    </row>
    <row r="16" ht="14.25" customHeight="1">
      <c r="A16" s="14">
        <v>13.0</v>
      </c>
      <c r="B16" s="55" t="s">
        <v>61</v>
      </c>
      <c r="C16" s="21" t="s">
        <v>63</v>
      </c>
      <c r="D16" s="21" t="s">
        <v>65</v>
      </c>
      <c r="E16" s="21" t="s">
        <v>66</v>
      </c>
      <c r="F16" s="22">
        <v>2500.0</v>
      </c>
      <c r="G16" s="41">
        <v>1374.06</v>
      </c>
      <c r="H16" s="24"/>
      <c r="I16" s="24"/>
      <c r="J16" s="24"/>
      <c r="K16" s="24"/>
      <c r="L16" s="24"/>
      <c r="M16" s="24"/>
      <c r="N16" s="24"/>
      <c r="O16" s="24"/>
      <c r="P16" s="30">
        <v>1600.22</v>
      </c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18">
        <f t="shared" si="1"/>
        <v>-474.28</v>
      </c>
      <c r="AC16" s="18">
        <f t="shared" si="2"/>
        <v>2974.28</v>
      </c>
      <c r="AD16" s="20"/>
      <c r="AG16" s="52" t="s">
        <v>10</v>
      </c>
      <c r="AH16" s="56">
        <f t="shared" si="4"/>
        <v>15100.02</v>
      </c>
      <c r="AI16" s="46"/>
      <c r="AJ16" s="46"/>
      <c r="AK16" s="46"/>
      <c r="BC16" s="19"/>
    </row>
    <row r="17" ht="14.25" customHeight="1">
      <c r="A17" s="14"/>
      <c r="B17" s="12"/>
      <c r="C17" s="21" t="s">
        <v>63</v>
      </c>
      <c r="D17" s="21" t="s">
        <v>17</v>
      </c>
      <c r="E17" s="21"/>
      <c r="F17" s="22">
        <v>300.0</v>
      </c>
      <c r="G17" s="24"/>
      <c r="H17" s="24"/>
      <c r="I17" s="60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18">
        <f t="shared" si="1"/>
        <v>300</v>
      </c>
      <c r="AC17" s="18"/>
      <c r="AD17" s="20"/>
      <c r="AG17" s="52" t="s">
        <v>12</v>
      </c>
      <c r="AH17" s="24">
        <f t="shared" si="4"/>
        <v>0</v>
      </c>
      <c r="BC17" s="19"/>
    </row>
    <row r="18" ht="14.25" customHeight="1">
      <c r="A18" s="14">
        <v>14.0</v>
      </c>
      <c r="B18" s="21" t="s">
        <v>68</v>
      </c>
      <c r="C18" s="21" t="s">
        <v>63</v>
      </c>
      <c r="D18" s="21" t="s">
        <v>69</v>
      </c>
      <c r="E18" s="21" t="s">
        <v>70</v>
      </c>
      <c r="F18" s="22">
        <v>2500.0</v>
      </c>
      <c r="H18" s="24"/>
      <c r="I18" s="63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18">
        <f t="shared" si="1"/>
        <v>2500</v>
      </c>
      <c r="AC18" s="18">
        <f>SUM(H18:X18)</f>
        <v>0</v>
      </c>
      <c r="AD18" s="20"/>
      <c r="AG18" s="52" t="s">
        <v>92</v>
      </c>
      <c r="AH18" s="24">
        <f>O69</f>
        <v>17820.25</v>
      </c>
      <c r="BC18" s="19"/>
    </row>
    <row r="19" ht="14.25" customHeight="1">
      <c r="A19" s="14">
        <v>15.0</v>
      </c>
      <c r="B19" s="21" t="s">
        <v>71</v>
      </c>
      <c r="C19" s="21" t="s">
        <v>63</v>
      </c>
      <c r="D19" s="21" t="s">
        <v>58</v>
      </c>
      <c r="E19" s="21" t="s">
        <v>72</v>
      </c>
      <c r="F19" s="22">
        <v>4000.0</v>
      </c>
      <c r="G19" s="41">
        <v>2920.37</v>
      </c>
      <c r="H19" s="24"/>
      <c r="I19" s="24"/>
      <c r="J19" s="24"/>
      <c r="K19" s="24"/>
      <c r="L19" s="24"/>
      <c r="M19" s="24"/>
      <c r="N19" s="24"/>
      <c r="O19" s="24"/>
      <c r="P19" s="19"/>
      <c r="Q19" s="24">
        <v>1500.0</v>
      </c>
      <c r="R19" s="23" t="s">
        <v>97</v>
      </c>
      <c r="S19" s="24"/>
      <c r="T19" s="24"/>
      <c r="U19" s="24"/>
      <c r="V19" s="24"/>
      <c r="W19" s="24"/>
      <c r="X19" s="24"/>
      <c r="Y19" s="24"/>
      <c r="Z19" s="24"/>
      <c r="AA19" s="24"/>
      <c r="AB19" s="19"/>
      <c r="AC19" s="18">
        <f t="shared" ref="AC19:AC41" si="5">SUM(G19:X19)</f>
        <v>4420.37</v>
      </c>
      <c r="AD19" s="20"/>
      <c r="BC19" s="19"/>
    </row>
    <row r="20" ht="14.25" customHeight="1">
      <c r="A20" s="25">
        <v>16.0</v>
      </c>
      <c r="B20" s="26" t="s">
        <v>74</v>
      </c>
      <c r="C20" s="26" t="s">
        <v>75</v>
      </c>
      <c r="D20" s="27" t="s">
        <v>65</v>
      </c>
      <c r="E20" s="27" t="s">
        <v>76</v>
      </c>
      <c r="F20" s="28">
        <v>2500.0</v>
      </c>
      <c r="G20" s="41">
        <v>1388.51</v>
      </c>
      <c r="H20" s="24"/>
      <c r="I20" s="24"/>
      <c r="J20" s="24"/>
      <c r="K20" s="24"/>
      <c r="L20" s="24"/>
      <c r="M20" s="24"/>
      <c r="N20" s="24"/>
      <c r="O20" s="24"/>
      <c r="P20" s="30">
        <v>1111.0</v>
      </c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18">
        <f t="shared" ref="AB20:AB23" si="6">F20-(G20+H20+J20+K20+M20+N20+P20+Q20+S20+T20+V20+W20+U20+O20+I20+L20+R20+X20)</f>
        <v>0.49</v>
      </c>
      <c r="AC20" s="18">
        <f t="shared" si="5"/>
        <v>2499.51</v>
      </c>
      <c r="AD20" s="20"/>
    </row>
    <row r="21" ht="14.25" customHeight="1">
      <c r="A21" s="25">
        <v>17.0</v>
      </c>
      <c r="B21" s="44"/>
      <c r="C21" s="44"/>
      <c r="D21" s="27" t="s">
        <v>77</v>
      </c>
      <c r="E21" s="27"/>
      <c r="F21" s="57">
        <v>1000.0</v>
      </c>
      <c r="G21" s="47">
        <v>1000.0</v>
      </c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30">
        <v>500.0</v>
      </c>
      <c r="T21" s="24"/>
      <c r="U21" s="24"/>
      <c r="V21" s="24"/>
      <c r="W21" s="24"/>
      <c r="X21" s="24"/>
      <c r="Y21" s="24"/>
      <c r="Z21" s="24"/>
      <c r="AA21" s="24"/>
      <c r="AB21" s="18">
        <f t="shared" si="6"/>
        <v>-500</v>
      </c>
      <c r="AC21" s="18">
        <f t="shared" si="5"/>
        <v>1500</v>
      </c>
      <c r="AD21" s="20"/>
    </row>
    <row r="22" ht="14.25" customHeight="1">
      <c r="A22" s="25">
        <v>18.0</v>
      </c>
      <c r="B22" s="44"/>
      <c r="C22" s="44"/>
      <c r="D22" s="27" t="s">
        <v>78</v>
      </c>
      <c r="E22" s="27"/>
      <c r="F22" s="57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18">
        <f t="shared" si="6"/>
        <v>0</v>
      </c>
      <c r="AC22" s="18">
        <f t="shared" si="5"/>
        <v>0</v>
      </c>
      <c r="AD22" s="20"/>
      <c r="AG22" s="20"/>
    </row>
    <row r="23" ht="14.25" customHeight="1">
      <c r="A23" s="25">
        <v>19.0</v>
      </c>
      <c r="B23" s="12"/>
      <c r="C23" s="12"/>
      <c r="D23" s="27" t="s">
        <v>81</v>
      </c>
      <c r="E23" s="27"/>
      <c r="F23" s="57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18">
        <f t="shared" si="6"/>
        <v>0</v>
      </c>
      <c r="AC23" s="18">
        <f t="shared" si="5"/>
        <v>0</v>
      </c>
      <c r="AD23" s="20"/>
      <c r="AF23" s="34" t="s">
        <v>113</v>
      </c>
      <c r="AG23" s="20">
        <f>(H42+N42+Q42+T42+W42)</f>
        <v>15100.02</v>
      </c>
    </row>
    <row r="24" ht="14.25" customHeight="1">
      <c r="A24" s="25">
        <v>20.0</v>
      </c>
      <c r="B24" s="27" t="s">
        <v>82</v>
      </c>
      <c r="C24" s="27" t="s">
        <v>75</v>
      </c>
      <c r="D24" s="27" t="s">
        <v>65</v>
      </c>
      <c r="E24" s="27" t="s">
        <v>83</v>
      </c>
      <c r="F24" s="28">
        <v>1500.0</v>
      </c>
      <c r="G24" s="24"/>
      <c r="H24" s="24"/>
      <c r="I24" s="24"/>
      <c r="J24" s="30">
        <v>1500.0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18">
        <f t="shared" ref="AB24:AB25" si="7">F24-(G24+H24+J24+K24+M24+N24+P24+Q24+S24+T24+V24+W24+O24+R24+U24+I24+L24+X24)</f>
        <v>0</v>
      </c>
      <c r="AC24" s="18">
        <f t="shared" si="5"/>
        <v>1500</v>
      </c>
      <c r="AD24" s="20"/>
    </row>
    <row r="25" ht="14.25" customHeight="1">
      <c r="A25" s="25">
        <v>21.0</v>
      </c>
      <c r="B25" s="27" t="s">
        <v>89</v>
      </c>
      <c r="C25" s="27" t="s">
        <v>75</v>
      </c>
      <c r="D25" s="27" t="s">
        <v>58</v>
      </c>
      <c r="E25" s="27" t="s">
        <v>90</v>
      </c>
      <c r="F25" s="28">
        <v>3000.0</v>
      </c>
      <c r="G25" s="24"/>
      <c r="H25" s="47">
        <v>3000.0</v>
      </c>
      <c r="I25" s="23" t="s">
        <v>117</v>
      </c>
      <c r="J25" s="24"/>
      <c r="K25" s="24"/>
      <c r="L25" s="24"/>
      <c r="M25" s="24"/>
      <c r="N25" s="24"/>
      <c r="O25" s="24"/>
      <c r="P25" s="30">
        <v>700.0</v>
      </c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18" t="str">
        <f t="shared" si="7"/>
        <v>#VALUE!</v>
      </c>
      <c r="AC25" s="18">
        <f t="shared" si="5"/>
        <v>3700</v>
      </c>
      <c r="AD25" s="20"/>
    </row>
    <row r="26" ht="14.25" customHeight="1">
      <c r="A26" s="25">
        <v>22.0</v>
      </c>
      <c r="B26" s="27" t="s">
        <v>93</v>
      </c>
      <c r="C26" s="27" t="s">
        <v>75</v>
      </c>
      <c r="D26" s="27" t="s">
        <v>69</v>
      </c>
      <c r="E26" s="27" t="s">
        <v>94</v>
      </c>
      <c r="F26" s="28">
        <v>2500.0</v>
      </c>
      <c r="G26" s="47">
        <v>932.79</v>
      </c>
      <c r="H26" s="24"/>
      <c r="I26" s="24"/>
      <c r="J26" s="24"/>
      <c r="K26" s="24"/>
      <c r="L26" s="24"/>
      <c r="M26" s="24"/>
      <c r="N26" s="24"/>
      <c r="O26" s="24"/>
      <c r="P26" s="30">
        <v>1217.34</v>
      </c>
      <c r="Q26" s="24"/>
      <c r="R26" s="24"/>
      <c r="S26" s="30">
        <v>500.0</v>
      </c>
      <c r="V26" s="24"/>
      <c r="W26" s="24"/>
      <c r="Y26" s="24"/>
      <c r="Z26" s="24"/>
      <c r="AA26" s="24"/>
      <c r="AB26" s="18" t="str">
        <f>F26-(G26+H26+J26+K26+M26+N26+P26+Q26+S26+#REF!+V26+W26+O26+R26+#REF!+I26+L26+U40)</f>
        <v>#REF!</v>
      </c>
      <c r="AC26" s="18">
        <f t="shared" si="5"/>
        <v>2650.13</v>
      </c>
      <c r="AD26" s="20"/>
    </row>
    <row r="27" ht="14.25" customHeight="1">
      <c r="A27" s="14">
        <v>23.0</v>
      </c>
      <c r="B27" s="21" t="s">
        <v>96</v>
      </c>
      <c r="C27" s="55" t="s">
        <v>98</v>
      </c>
      <c r="D27" s="21" t="s">
        <v>99</v>
      </c>
      <c r="E27" s="21" t="s">
        <v>100</v>
      </c>
      <c r="F27" s="22">
        <v>2500.0</v>
      </c>
      <c r="G27" s="24"/>
      <c r="H27" s="47">
        <v>1500.0</v>
      </c>
      <c r="I27" s="23" t="s">
        <v>124</v>
      </c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47">
        <v>800.0</v>
      </c>
      <c r="U27" s="23" t="s">
        <v>125</v>
      </c>
      <c r="V27" s="24"/>
      <c r="W27" s="24"/>
      <c r="X27" s="24"/>
      <c r="Y27" s="24"/>
      <c r="Z27" s="24"/>
      <c r="AA27" s="24"/>
      <c r="AB27" s="18" t="str">
        <f>F27-(G27+H27+J27+K27+M27+N27+P27+Q27+S27+T28+V27+W27+O27+R27+U28+I27+L27+X27)</f>
        <v>#VALUE!</v>
      </c>
      <c r="AC27" s="18">
        <f t="shared" si="5"/>
        <v>2300</v>
      </c>
      <c r="AD27" s="20"/>
    </row>
    <row r="28" ht="14.25" customHeight="1">
      <c r="A28" s="14">
        <v>24.0</v>
      </c>
      <c r="B28" s="21" t="s">
        <v>102</v>
      </c>
      <c r="C28" s="12"/>
      <c r="D28" s="21" t="s">
        <v>17</v>
      </c>
      <c r="E28" s="21"/>
      <c r="F28" s="22">
        <v>1000.0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47">
        <v>500.0</v>
      </c>
      <c r="U28" s="23" t="s">
        <v>127</v>
      </c>
      <c r="V28" s="24"/>
      <c r="W28" s="24"/>
      <c r="X28" s="24"/>
      <c r="Y28" s="24"/>
      <c r="Z28" s="24"/>
      <c r="AA28" s="24"/>
      <c r="AB28" s="18" t="str">
        <f>F28-(G28+H28+J28+K28+M28+N28+P28+Q28+S28+T27+V28+W28+O28+R28+U27+I28+L28+X28)</f>
        <v>#VALUE!</v>
      </c>
      <c r="AC28" s="18">
        <f t="shared" si="5"/>
        <v>500</v>
      </c>
      <c r="AD28" s="20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</row>
    <row r="29" ht="14.25" customHeight="1">
      <c r="A29" s="25">
        <v>25.0</v>
      </c>
      <c r="B29" s="27" t="s">
        <v>104</v>
      </c>
      <c r="C29" s="27" t="s">
        <v>105</v>
      </c>
      <c r="D29" s="27" t="s">
        <v>20</v>
      </c>
      <c r="E29" s="27" t="s">
        <v>106</v>
      </c>
      <c r="F29" s="28">
        <v>2500.0</v>
      </c>
      <c r="G29" s="41">
        <v>1980.44</v>
      </c>
      <c r="H29" s="24"/>
      <c r="I29" s="24"/>
      <c r="J29" s="24"/>
      <c r="K29" s="24"/>
      <c r="L29" s="24"/>
      <c r="M29" s="24"/>
      <c r="N29" s="24"/>
      <c r="O29" s="24"/>
      <c r="P29" s="24"/>
      <c r="Q29" s="47">
        <v>1800.02</v>
      </c>
      <c r="R29" s="23" t="s">
        <v>130</v>
      </c>
      <c r="S29" s="24"/>
      <c r="T29" s="24"/>
      <c r="U29" s="24"/>
      <c r="V29" s="24"/>
      <c r="W29" s="24"/>
      <c r="X29" s="24"/>
      <c r="Y29" s="24"/>
      <c r="Z29" s="24"/>
      <c r="AA29" s="24"/>
      <c r="AB29" s="18" t="str">
        <f t="shared" ref="AB29:AB39" si="8">F29-(G29+H29+J29+K29+M29+N29+P29+Q29+S29+T29+V29+W29+O29+R29+U29+I29+L29+X29)</f>
        <v>#VALUE!</v>
      </c>
      <c r="AC29" s="18">
        <f t="shared" si="5"/>
        <v>3780.46</v>
      </c>
      <c r="AD29" s="20"/>
    </row>
    <row r="30" ht="14.25" customHeight="1">
      <c r="A30" s="25">
        <v>26.0</v>
      </c>
      <c r="B30" s="26" t="s">
        <v>107</v>
      </c>
      <c r="C30" s="26" t="s">
        <v>105</v>
      </c>
      <c r="D30" s="27" t="s">
        <v>109</v>
      </c>
      <c r="E30" s="27" t="s">
        <v>110</v>
      </c>
      <c r="F30" s="28">
        <v>1000.0</v>
      </c>
      <c r="G30" s="41">
        <v>1000.0</v>
      </c>
      <c r="H30" s="24"/>
      <c r="I30" s="24"/>
      <c r="J30" s="24"/>
      <c r="K30" s="24"/>
      <c r="L30" s="24"/>
      <c r="M30" s="24"/>
      <c r="N30" s="24"/>
      <c r="O30" s="24"/>
      <c r="P30" s="30">
        <v>200.0</v>
      </c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18">
        <f t="shared" si="8"/>
        <v>-200</v>
      </c>
      <c r="AC30" s="18">
        <f t="shared" si="5"/>
        <v>1200</v>
      </c>
      <c r="AD30" s="20"/>
    </row>
    <row r="31" ht="14.25" customHeight="1">
      <c r="A31" s="25">
        <v>27.0</v>
      </c>
      <c r="B31" s="44"/>
      <c r="C31" s="44"/>
      <c r="D31" s="27" t="s">
        <v>111</v>
      </c>
      <c r="E31" s="27"/>
      <c r="F31" s="28">
        <v>500.0</v>
      </c>
      <c r="G31" s="41">
        <v>500.0</v>
      </c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18">
        <f t="shared" si="8"/>
        <v>0</v>
      </c>
      <c r="AC31" s="18">
        <f t="shared" si="5"/>
        <v>500</v>
      </c>
      <c r="AD31" s="20"/>
    </row>
    <row r="32" ht="14.25" customHeight="1">
      <c r="A32" s="25">
        <v>28.0</v>
      </c>
      <c r="B32" s="12"/>
      <c r="C32" s="12"/>
      <c r="D32" s="27" t="s">
        <v>111</v>
      </c>
      <c r="E32" s="27"/>
      <c r="F32" s="28">
        <v>500.0</v>
      </c>
      <c r="G32" s="24"/>
      <c r="H32" s="24"/>
      <c r="I32" s="24"/>
      <c r="J32" s="24"/>
      <c r="K32" s="24"/>
      <c r="L32" s="24"/>
      <c r="M32" s="30">
        <v>228.9</v>
      </c>
      <c r="N32" s="24"/>
      <c r="O32" s="24"/>
      <c r="P32" s="30">
        <v>500.0</v>
      </c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18">
        <f t="shared" si="8"/>
        <v>-228.9</v>
      </c>
      <c r="AC32" s="18">
        <f t="shared" si="5"/>
        <v>728.9</v>
      </c>
      <c r="AD32" s="20"/>
    </row>
    <row r="33" ht="14.25" customHeight="1">
      <c r="A33" s="25">
        <v>29.0</v>
      </c>
      <c r="B33" s="26" t="s">
        <v>114</v>
      </c>
      <c r="C33" s="27"/>
      <c r="D33" s="27"/>
      <c r="E33" s="27" t="s">
        <v>115</v>
      </c>
      <c r="F33" s="28">
        <v>800.0</v>
      </c>
      <c r="G33" s="41">
        <v>800.0</v>
      </c>
      <c r="H33" s="24"/>
      <c r="I33" s="24"/>
      <c r="J33" s="24"/>
      <c r="K33" s="24"/>
      <c r="L33" s="24"/>
      <c r="M33" s="24"/>
      <c r="N33" s="24"/>
      <c r="O33" s="24"/>
      <c r="P33" s="30">
        <v>500.0</v>
      </c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18">
        <f t="shared" si="8"/>
        <v>-500</v>
      </c>
      <c r="AC33" s="18">
        <f t="shared" si="5"/>
        <v>1300</v>
      </c>
      <c r="AD33" s="20"/>
    </row>
    <row r="34" ht="14.25" customHeight="1">
      <c r="A34" s="25">
        <v>30.0</v>
      </c>
      <c r="B34" s="12"/>
      <c r="C34" s="27"/>
      <c r="D34" s="27" t="s">
        <v>17</v>
      </c>
      <c r="E34" s="27"/>
      <c r="F34" s="28">
        <v>500.0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18">
        <f t="shared" si="8"/>
        <v>500</v>
      </c>
      <c r="AC34" s="18">
        <f t="shared" si="5"/>
        <v>0</v>
      </c>
      <c r="AD34" s="20"/>
    </row>
    <row r="35" ht="14.25" customHeight="1">
      <c r="A35" s="25">
        <v>31.0</v>
      </c>
      <c r="B35" s="82" t="s">
        <v>135</v>
      </c>
      <c r="C35" s="27" t="s">
        <v>136</v>
      </c>
      <c r="D35" s="27"/>
      <c r="E35" s="27" t="s">
        <v>137</v>
      </c>
      <c r="F35" s="28">
        <v>1500.0</v>
      </c>
      <c r="G35" s="24"/>
      <c r="H35" s="24"/>
      <c r="I35" s="24"/>
      <c r="J35" s="24"/>
      <c r="K35" s="24"/>
      <c r="L35" s="24"/>
      <c r="M35" s="29">
        <v>806.41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18">
        <f t="shared" si="8"/>
        <v>693.59</v>
      </c>
      <c r="AC35" s="18">
        <f t="shared" si="5"/>
        <v>806.41</v>
      </c>
      <c r="AD35" s="20"/>
    </row>
    <row r="36" ht="14.25" customHeight="1">
      <c r="A36" s="25">
        <v>32.0</v>
      </c>
      <c r="B36" s="82" t="s">
        <v>142</v>
      </c>
      <c r="C36" s="27" t="s">
        <v>143</v>
      </c>
      <c r="D36" s="27" t="s">
        <v>20</v>
      </c>
      <c r="E36" s="27" t="s">
        <v>144</v>
      </c>
      <c r="F36" s="28">
        <v>1500.0</v>
      </c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18">
        <f t="shared" si="8"/>
        <v>1500</v>
      </c>
      <c r="AC36" s="18">
        <f t="shared" si="5"/>
        <v>0</v>
      </c>
      <c r="AD36" s="20"/>
    </row>
    <row r="37" ht="14.25" customHeight="1">
      <c r="A37" s="25">
        <v>33.0</v>
      </c>
      <c r="B37" s="82" t="s">
        <v>145</v>
      </c>
      <c r="C37" s="27" t="s">
        <v>146</v>
      </c>
      <c r="D37" s="27" t="s">
        <v>43</v>
      </c>
      <c r="E37" s="27"/>
      <c r="F37" s="28">
        <v>700.0</v>
      </c>
      <c r="G37" s="41">
        <v>800.0</v>
      </c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18">
        <f t="shared" si="8"/>
        <v>-100</v>
      </c>
      <c r="AC37" s="18">
        <f t="shared" si="5"/>
        <v>800</v>
      </c>
      <c r="AD37" s="20"/>
    </row>
    <row r="38" ht="14.25" customHeight="1">
      <c r="A38" s="25">
        <v>34.0</v>
      </c>
      <c r="B38" s="27" t="s">
        <v>118</v>
      </c>
      <c r="C38" s="27"/>
      <c r="D38" s="27" t="s">
        <v>119</v>
      </c>
      <c r="E38" s="27" t="s">
        <v>120</v>
      </c>
      <c r="F38" s="28">
        <v>3000.0</v>
      </c>
      <c r="G38" s="24"/>
      <c r="H38" s="24">
        <v>1200.0</v>
      </c>
      <c r="I38" s="23" t="s">
        <v>160</v>
      </c>
      <c r="J38" s="24"/>
      <c r="K38" s="24"/>
      <c r="L38" s="24"/>
      <c r="M38" s="24"/>
      <c r="N38" s="24">
        <v>1000.0</v>
      </c>
      <c r="O38" s="23" t="s">
        <v>162</v>
      </c>
      <c r="P38" s="24"/>
      <c r="Q38" s="24">
        <v>800.0</v>
      </c>
      <c r="R38" s="83" t="s">
        <v>163</v>
      </c>
      <c r="S38" s="24"/>
      <c r="T38" s="24"/>
      <c r="U38" s="24"/>
      <c r="V38" s="24"/>
      <c r="W38" s="24"/>
      <c r="X38" s="24"/>
      <c r="Y38" s="24"/>
      <c r="Z38" s="24"/>
      <c r="AA38" s="24"/>
      <c r="AB38" s="18" t="str">
        <f t="shared" si="8"/>
        <v>#VALUE!</v>
      </c>
      <c r="AC38" s="18">
        <f t="shared" si="5"/>
        <v>3000</v>
      </c>
      <c r="AD38" s="20"/>
    </row>
    <row r="39" ht="14.25" customHeight="1">
      <c r="A39" s="25">
        <v>35.0</v>
      </c>
      <c r="B39" s="82" t="s">
        <v>155</v>
      </c>
      <c r="C39" s="27"/>
      <c r="D39" s="27" t="s">
        <v>20</v>
      </c>
      <c r="E39" s="27" t="s">
        <v>156</v>
      </c>
      <c r="F39" s="28">
        <v>1500.0</v>
      </c>
      <c r="G39" s="24"/>
      <c r="H39" s="24"/>
      <c r="I39" s="24"/>
      <c r="J39" s="30">
        <v>1500.0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18">
        <f t="shared" si="8"/>
        <v>0</v>
      </c>
      <c r="AC39" s="18">
        <f t="shared" si="5"/>
        <v>1500</v>
      </c>
      <c r="AD39" s="20"/>
    </row>
    <row r="40" ht="14.25" customHeight="1">
      <c r="A40" s="25"/>
      <c r="B40" s="27"/>
      <c r="C40" s="27"/>
      <c r="D40" s="27" t="s">
        <v>20</v>
      </c>
      <c r="E40" s="27" t="s">
        <v>159</v>
      </c>
      <c r="F40" s="28">
        <v>1500.0</v>
      </c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18" t="str">
        <f>F40-(G40+H40+J40+K40+M40+N40+P40+Q40+S40+T40+V40+W40+O40+R40+#REF!+I40+L40+X40)</f>
        <v>#REF!</v>
      </c>
      <c r="AC40" s="18">
        <f t="shared" si="5"/>
        <v>0</v>
      </c>
      <c r="AD40" s="20"/>
    </row>
    <row r="41" ht="14.25" customHeight="1">
      <c r="A41" s="25"/>
      <c r="B41" s="27"/>
      <c r="C41" s="27"/>
      <c r="D41" s="27" t="s">
        <v>20</v>
      </c>
      <c r="E41" s="27" t="s">
        <v>164</v>
      </c>
      <c r="F41" s="28">
        <v>1500.0</v>
      </c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18">
        <f>F41-(G41+H41+J41+K41+M41+N41+P41+Q41+S41+T41+V41+W41+O41+R41+U41+I41+L41+X41)</f>
        <v>1500</v>
      </c>
      <c r="AC41" s="18">
        <f t="shared" si="5"/>
        <v>0</v>
      </c>
      <c r="AD41" s="20"/>
    </row>
    <row r="42" ht="14.25" customHeight="1">
      <c r="A42" s="68" t="s">
        <v>122</v>
      </c>
      <c r="B42" s="2"/>
      <c r="C42" s="2"/>
      <c r="D42" s="2"/>
      <c r="E42" s="3"/>
      <c r="F42" s="69">
        <f t="shared" ref="F42:H42" si="9">SUM(F4:F41)</f>
        <v>55200</v>
      </c>
      <c r="G42" s="70">
        <f t="shared" si="9"/>
        <v>15446.24</v>
      </c>
      <c r="H42" s="70">
        <f t="shared" si="9"/>
        <v>7200</v>
      </c>
      <c r="I42" s="70"/>
      <c r="J42" s="70">
        <f t="shared" ref="J42:X42" si="10">SUM(J4:J41)</f>
        <v>5072.34</v>
      </c>
      <c r="K42" s="70">
        <f t="shared" si="10"/>
        <v>0</v>
      </c>
      <c r="L42" s="70">
        <f t="shared" si="10"/>
        <v>0</v>
      </c>
      <c r="M42" s="70">
        <f t="shared" si="10"/>
        <v>1035.31</v>
      </c>
      <c r="N42" s="70">
        <f t="shared" si="10"/>
        <v>2500</v>
      </c>
      <c r="O42" s="70">
        <f t="shared" si="10"/>
        <v>0</v>
      </c>
      <c r="P42" s="70">
        <f t="shared" si="10"/>
        <v>6746.94</v>
      </c>
      <c r="Q42" s="70">
        <f t="shared" si="10"/>
        <v>4100.02</v>
      </c>
      <c r="R42" s="70">
        <f t="shared" si="10"/>
        <v>0</v>
      </c>
      <c r="S42" s="70">
        <f t="shared" si="10"/>
        <v>1000</v>
      </c>
      <c r="T42" s="70">
        <f t="shared" si="10"/>
        <v>1300</v>
      </c>
      <c r="U42" s="70">
        <f t="shared" si="10"/>
        <v>0</v>
      </c>
      <c r="V42" s="70">
        <f t="shared" si="10"/>
        <v>0</v>
      </c>
      <c r="W42" s="70">
        <f t="shared" si="10"/>
        <v>0</v>
      </c>
      <c r="X42" s="70">
        <f t="shared" si="10"/>
        <v>0</v>
      </c>
      <c r="Y42" s="70"/>
      <c r="Z42" s="70"/>
      <c r="AA42" s="70"/>
      <c r="AB42" s="70" t="str">
        <f>SUM(AB4:AB41)</f>
        <v>#VALUE!</v>
      </c>
      <c r="AC42" s="70">
        <f>SUM(AC4:AC38)</f>
        <v>42900.85</v>
      </c>
    </row>
    <row r="43" ht="14.25" customHeight="1">
      <c r="A43" s="73"/>
      <c r="B43" s="73"/>
      <c r="C43" s="73"/>
      <c r="D43" s="73"/>
      <c r="E43" s="73"/>
      <c r="F43" s="72"/>
      <c r="AB43" s="20">
        <f>F42-AC42</f>
        <v>12299.15</v>
      </c>
      <c r="AC43" s="20">
        <f>G42+H42+J42+K42+M42+N42+O42+P42+Q42+R42+S42+T42+U42+V42+W42</f>
        <v>44400.85</v>
      </c>
    </row>
    <row r="44" ht="14.25" customHeight="1">
      <c r="A44" s="73"/>
      <c r="B44" s="73"/>
      <c r="C44" s="73"/>
      <c r="D44" s="73"/>
      <c r="E44" s="73"/>
      <c r="F44" s="72"/>
    </row>
    <row r="45" ht="14.25" customHeight="1">
      <c r="A45" s="77" t="s">
        <v>177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9"/>
    </row>
    <row r="46" ht="28.5" customHeight="1">
      <c r="A46" s="4" t="s">
        <v>2</v>
      </c>
      <c r="B46" s="5"/>
      <c r="C46" s="6" t="s">
        <v>3</v>
      </c>
      <c r="D46" s="6" t="s">
        <v>4</v>
      </c>
      <c r="E46" s="6" t="s">
        <v>5</v>
      </c>
      <c r="F46" s="7" t="s">
        <v>134</v>
      </c>
      <c r="G46" s="8">
        <v>46216.0</v>
      </c>
      <c r="H46" s="2"/>
      <c r="I46" s="3"/>
      <c r="J46" s="8">
        <v>46217.0</v>
      </c>
      <c r="K46" s="2"/>
      <c r="L46" s="3"/>
      <c r="M46" s="8">
        <v>46218.0</v>
      </c>
      <c r="N46" s="2"/>
      <c r="O46" s="3"/>
      <c r="P46" s="8">
        <v>46219.0</v>
      </c>
      <c r="Q46" s="2"/>
      <c r="R46" s="3"/>
      <c r="S46" s="8">
        <v>46220.0</v>
      </c>
      <c r="T46" s="2"/>
      <c r="U46" s="3"/>
      <c r="V46" s="8">
        <v>46221.0</v>
      </c>
      <c r="W46" s="2"/>
      <c r="X46" s="3"/>
      <c r="Y46" s="8">
        <v>46222.0</v>
      </c>
      <c r="Z46" s="2"/>
      <c r="AA46" s="3"/>
      <c r="AB46" s="9" t="s">
        <v>7</v>
      </c>
      <c r="AC46" s="7" t="s">
        <v>8</v>
      </c>
    </row>
    <row r="47" ht="14.25" customHeight="1">
      <c r="A47" s="10"/>
      <c r="B47" s="11"/>
      <c r="C47" s="12"/>
      <c r="D47" s="12"/>
      <c r="E47" s="12"/>
      <c r="F47" s="12"/>
      <c r="G47" s="13" t="s">
        <v>9</v>
      </c>
      <c r="H47" s="13" t="s">
        <v>10</v>
      </c>
      <c r="I47" s="13" t="s">
        <v>12</v>
      </c>
      <c r="J47" s="13" t="s">
        <v>9</v>
      </c>
      <c r="K47" s="13" t="s">
        <v>10</v>
      </c>
      <c r="L47" s="13" t="s">
        <v>12</v>
      </c>
      <c r="M47" s="13" t="s">
        <v>9</v>
      </c>
      <c r="N47" s="13" t="s">
        <v>10</v>
      </c>
      <c r="O47" s="13" t="s">
        <v>12</v>
      </c>
      <c r="P47" s="13" t="s">
        <v>9</v>
      </c>
      <c r="Q47" s="13" t="s">
        <v>10</v>
      </c>
      <c r="R47" s="13" t="s">
        <v>12</v>
      </c>
      <c r="S47" s="13" t="s">
        <v>9</v>
      </c>
      <c r="T47" s="13" t="s">
        <v>10</v>
      </c>
      <c r="U47" s="13" t="s">
        <v>12</v>
      </c>
      <c r="V47" s="13" t="s">
        <v>9</v>
      </c>
      <c r="W47" s="13" t="s">
        <v>10</v>
      </c>
      <c r="X47" s="13" t="s">
        <v>12</v>
      </c>
      <c r="Y47" s="13" t="s">
        <v>9</v>
      </c>
      <c r="Z47" s="13" t="s">
        <v>10</v>
      </c>
      <c r="AA47" s="13" t="s">
        <v>12</v>
      </c>
      <c r="AB47" s="12"/>
      <c r="AC47" s="12"/>
    </row>
    <row r="48" ht="14.25" customHeight="1">
      <c r="A48" s="25">
        <v>1.0</v>
      </c>
      <c r="B48" s="27" t="s">
        <v>138</v>
      </c>
      <c r="C48" s="27" t="s">
        <v>139</v>
      </c>
      <c r="D48" s="27" t="s">
        <v>140</v>
      </c>
      <c r="E48" s="27" t="s">
        <v>141</v>
      </c>
      <c r="F48" s="28">
        <v>2500.0</v>
      </c>
      <c r="G48" s="41">
        <v>1919.56</v>
      </c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>
        <f t="shared" ref="AB48:AB52" si="11">F48-(G48+H48+J48+K48+M48+N48+P48+Q48+R48+S48+T48+V48+W48)</f>
        <v>580.44</v>
      </c>
      <c r="AC48" s="24">
        <f t="shared" ref="AC48:AC52" si="12">(G48+H48+J48+K48+M48+N48+P48+Q48+R48+S48+T48+V48+W48)</f>
        <v>1919.56</v>
      </c>
    </row>
    <row r="49" ht="14.25" customHeight="1">
      <c r="A49" s="25">
        <v>2.0</v>
      </c>
      <c r="B49" s="27" t="s">
        <v>147</v>
      </c>
      <c r="C49" s="27" t="s">
        <v>139</v>
      </c>
      <c r="D49" s="27" t="s">
        <v>119</v>
      </c>
      <c r="E49" s="27" t="s">
        <v>148</v>
      </c>
      <c r="F49" s="28">
        <v>1500.0</v>
      </c>
      <c r="G49" s="24"/>
      <c r="H49" s="24"/>
      <c r="I49" s="24"/>
      <c r="J49" s="24"/>
      <c r="K49" s="24"/>
      <c r="L49" s="24"/>
      <c r="M49" s="30">
        <v>1500.0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47">
        <f t="shared" si="11"/>
        <v>0</v>
      </c>
      <c r="AC49" s="24">
        <f t="shared" si="12"/>
        <v>1500</v>
      </c>
      <c r="AF49" s="31" t="s">
        <v>22</v>
      </c>
      <c r="AG49" s="2"/>
      <c r="AH49" s="2"/>
      <c r="AI49" s="3"/>
    </row>
    <row r="50" ht="14.25" customHeight="1">
      <c r="A50" s="84">
        <v>3.0</v>
      </c>
      <c r="B50" s="26" t="s">
        <v>157</v>
      </c>
      <c r="C50" s="26" t="s">
        <v>139</v>
      </c>
      <c r="D50" s="27" t="s">
        <v>158</v>
      </c>
      <c r="E50" s="27" t="s">
        <v>16</v>
      </c>
      <c r="F50" s="28">
        <v>2000.0</v>
      </c>
      <c r="G50" s="24"/>
      <c r="H50" s="24"/>
      <c r="I50" s="24"/>
      <c r="J50" s="30">
        <v>1316.66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>
        <f t="shared" si="11"/>
        <v>683.34</v>
      </c>
      <c r="AC50" s="24">
        <f t="shared" si="12"/>
        <v>1316.66</v>
      </c>
      <c r="AF50" s="35" t="s">
        <v>25</v>
      </c>
      <c r="AG50" s="35" t="s">
        <v>26</v>
      </c>
      <c r="AH50" s="35" t="s">
        <v>27</v>
      </c>
      <c r="AI50" s="35" t="s">
        <v>28</v>
      </c>
    </row>
    <row r="51" ht="14.25" customHeight="1">
      <c r="A51" s="12"/>
      <c r="B51" s="12"/>
      <c r="C51" s="12"/>
      <c r="D51" s="27" t="s">
        <v>17</v>
      </c>
      <c r="E51" s="27"/>
      <c r="F51" s="28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47">
        <f t="shared" si="11"/>
        <v>0</v>
      </c>
      <c r="AC51" s="24">
        <f t="shared" si="12"/>
        <v>0</v>
      </c>
      <c r="AF51" s="37" t="s">
        <v>9</v>
      </c>
      <c r="AG51" s="85"/>
      <c r="AH51" s="85"/>
      <c r="AI51" s="24">
        <f>(G55+J55+M55+P55+S55+V55)</f>
        <v>11417.81</v>
      </c>
    </row>
    <row r="52" ht="14.25" customHeight="1">
      <c r="A52" s="25">
        <v>4.0</v>
      </c>
      <c r="B52" s="27" t="s">
        <v>165</v>
      </c>
      <c r="C52" s="27" t="s">
        <v>166</v>
      </c>
      <c r="D52" s="27" t="s">
        <v>119</v>
      </c>
      <c r="E52" s="27" t="s">
        <v>167</v>
      </c>
      <c r="F52" s="28">
        <v>1500.0</v>
      </c>
      <c r="G52" s="41">
        <v>1500.0</v>
      </c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>
        <f t="shared" si="11"/>
        <v>0</v>
      </c>
      <c r="AC52" s="24">
        <f t="shared" si="12"/>
        <v>1500</v>
      </c>
      <c r="AF52" s="37" t="s">
        <v>10</v>
      </c>
      <c r="AG52" s="85"/>
      <c r="AH52" s="85"/>
      <c r="AI52" s="24">
        <f>H55+K55+N55+Q55+T55+W55</f>
        <v>0</v>
      </c>
    </row>
    <row r="53" ht="14.25" customHeight="1">
      <c r="A53" s="25">
        <v>5.0</v>
      </c>
      <c r="B53" s="27" t="s">
        <v>168</v>
      </c>
      <c r="C53" s="27" t="s">
        <v>166</v>
      </c>
      <c r="D53" s="27" t="s">
        <v>119</v>
      </c>
      <c r="E53" s="27" t="s">
        <v>169</v>
      </c>
      <c r="F53" s="28">
        <v>1500.0</v>
      </c>
      <c r="G53" s="94">
        <v>1500.0</v>
      </c>
      <c r="H53" s="24"/>
      <c r="I53" s="24"/>
      <c r="J53" s="30">
        <v>300.0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 t="str">
        <f>F53-(M53+H53+J53+K53+#REF!+N53+P53+Q53+R53+S53+T53+V53+W53)</f>
        <v>#REF!</v>
      </c>
      <c r="AC53" s="24" t="str">
        <f>(M53+H53+J53+K53+#REF!+N53+P53+Q53+R53+S53+T53+V53+W53)</f>
        <v>#REF!</v>
      </c>
      <c r="AF53" s="37" t="s">
        <v>12</v>
      </c>
      <c r="AG53" s="85"/>
      <c r="AH53" s="85"/>
      <c r="AI53" s="85"/>
    </row>
    <row r="54" ht="14.25" customHeight="1">
      <c r="A54" s="25">
        <v>6.0</v>
      </c>
      <c r="B54" s="27" t="s">
        <v>170</v>
      </c>
      <c r="C54" s="27" t="s">
        <v>171</v>
      </c>
      <c r="D54" s="27" t="s">
        <v>158</v>
      </c>
      <c r="E54" s="27" t="s">
        <v>172</v>
      </c>
      <c r="F54" s="28">
        <v>2000.0</v>
      </c>
      <c r="G54" s="47">
        <v>1981.36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9">
        <v>1400.23</v>
      </c>
      <c r="W54" s="24"/>
      <c r="X54" s="24"/>
      <c r="Y54" s="24"/>
      <c r="Z54" s="24"/>
      <c r="AA54" s="24"/>
      <c r="AB54" s="24">
        <f>F54-(G54+H54+J54+K54+M54+N54+P54+Q54+R54+S54+T54+V54+W54)</f>
        <v>-1381.59</v>
      </c>
      <c r="AC54" s="24">
        <f>(G54+H54+J54+K54+M54+N54+P54+Q54+R54+S54+T54+V54+W54)</f>
        <v>3381.59</v>
      </c>
    </row>
    <row r="55" ht="14.25" customHeight="1">
      <c r="A55" s="68" t="s">
        <v>122</v>
      </c>
      <c r="B55" s="2"/>
      <c r="C55" s="2"/>
      <c r="D55" s="2"/>
      <c r="E55" s="3"/>
      <c r="F55" s="69">
        <f t="shared" ref="F55:H55" si="13">SUM(F48:F54)</f>
        <v>11000</v>
      </c>
      <c r="G55" s="86">
        <f t="shared" si="13"/>
        <v>6900.92</v>
      </c>
      <c r="H55" s="86">
        <f t="shared" si="13"/>
        <v>0</v>
      </c>
      <c r="I55" s="86"/>
      <c r="J55" s="86">
        <f t="shared" ref="J55:K55" si="14">SUM(J48:J54)</f>
        <v>1616.66</v>
      </c>
      <c r="K55" s="86">
        <f t="shared" si="14"/>
        <v>0</v>
      </c>
      <c r="L55" s="86"/>
      <c r="M55" s="86">
        <f t="shared" ref="M55:N55" si="15">SUM(M48:M54)</f>
        <v>1500</v>
      </c>
      <c r="N55" s="86">
        <f t="shared" si="15"/>
        <v>0</v>
      </c>
      <c r="O55" s="86"/>
      <c r="P55" s="86">
        <f t="shared" ref="P55:T55" si="16">SUM(P48:P54)</f>
        <v>0</v>
      </c>
      <c r="Q55" s="86">
        <f t="shared" si="16"/>
        <v>0</v>
      </c>
      <c r="R55" s="86">
        <f t="shared" si="16"/>
        <v>0</v>
      </c>
      <c r="S55" s="86">
        <f t="shared" si="16"/>
        <v>0</v>
      </c>
      <c r="T55" s="86">
        <f t="shared" si="16"/>
        <v>0</v>
      </c>
      <c r="U55" s="86"/>
      <c r="V55" s="86">
        <f t="shared" ref="V55:W55" si="17">SUM(V48:V54)</f>
        <v>1400.23</v>
      </c>
      <c r="W55" s="86">
        <f t="shared" si="17"/>
        <v>0</v>
      </c>
      <c r="X55" s="86"/>
      <c r="Y55" s="86"/>
      <c r="Z55" s="86"/>
      <c r="AA55" s="86"/>
      <c r="AB55" s="70" t="str">
        <f t="shared" ref="AB55:AC55" si="18">SUM(AB48:AB54)</f>
        <v>#REF!</v>
      </c>
      <c r="AC55" s="70" t="str">
        <f t="shared" si="18"/>
        <v>#REF!</v>
      </c>
    </row>
    <row r="56" ht="14.25" customHeight="1">
      <c r="A56" s="73"/>
      <c r="B56" s="73"/>
      <c r="C56" s="73"/>
      <c r="D56" s="73"/>
      <c r="E56" s="73"/>
      <c r="F56" s="72"/>
      <c r="G56" s="105">
        <f>G42+G55</f>
        <v>22347.16</v>
      </c>
      <c r="J56" s="106">
        <f>J55+J42</f>
        <v>6689</v>
      </c>
      <c r="M56" s="105">
        <f>M55+M42</f>
        <v>2535.31</v>
      </c>
      <c r="P56" s="105">
        <f>P55+P42</f>
        <v>6746.94</v>
      </c>
      <c r="S56" s="105">
        <f>S42+S55</f>
        <v>1000</v>
      </c>
      <c r="V56" s="105">
        <f>V42+V55</f>
        <v>1400.23</v>
      </c>
    </row>
    <row r="57" ht="14.25" customHeight="1">
      <c r="A57" s="73"/>
      <c r="B57" s="73"/>
      <c r="C57" s="73"/>
      <c r="D57" s="73"/>
      <c r="E57" s="73"/>
      <c r="F57" s="72"/>
    </row>
    <row r="58" ht="14.25" customHeight="1">
      <c r="A58" s="73"/>
      <c r="B58" s="73"/>
      <c r="C58" s="73"/>
      <c r="D58" s="73"/>
      <c r="E58" s="73"/>
      <c r="F58" s="72"/>
    </row>
    <row r="59" ht="14.25" customHeight="1">
      <c r="A59" s="1" t="s">
        <v>211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</row>
    <row r="60" ht="28.5" customHeight="1">
      <c r="A60" s="4" t="s">
        <v>2</v>
      </c>
      <c r="B60" s="5"/>
      <c r="C60" s="6" t="s">
        <v>3</v>
      </c>
      <c r="D60" s="6" t="s">
        <v>4</v>
      </c>
      <c r="E60" s="6" t="s">
        <v>5</v>
      </c>
      <c r="F60" s="7" t="s">
        <v>134</v>
      </c>
      <c r="G60" s="109">
        <v>46216.0</v>
      </c>
      <c r="H60" s="109">
        <v>46217.0</v>
      </c>
      <c r="I60" s="109">
        <v>46218.0</v>
      </c>
      <c r="J60" s="109">
        <v>46219.0</v>
      </c>
      <c r="K60" s="109">
        <v>46220.0</v>
      </c>
      <c r="L60" s="109">
        <v>46221.0</v>
      </c>
      <c r="M60" s="109">
        <v>46222.0</v>
      </c>
      <c r="N60" s="9" t="s">
        <v>7</v>
      </c>
      <c r="O60" s="7" t="s">
        <v>8</v>
      </c>
      <c r="R60" s="111"/>
      <c r="T60" s="111"/>
      <c r="U60" s="111"/>
      <c r="W60" s="111"/>
      <c r="X60" s="111"/>
      <c r="Y60" s="111"/>
      <c r="Z60" s="111"/>
      <c r="AA60" s="111"/>
    </row>
    <row r="61" ht="14.25" customHeight="1">
      <c r="A61" s="10"/>
      <c r="B61" s="11"/>
      <c r="C61" s="12"/>
      <c r="D61" s="12"/>
      <c r="E61" s="12"/>
      <c r="F61" s="12"/>
      <c r="G61" s="13" t="s">
        <v>9</v>
      </c>
      <c r="H61" s="13" t="s">
        <v>9</v>
      </c>
      <c r="I61" s="13" t="s">
        <v>9</v>
      </c>
      <c r="J61" s="13" t="s">
        <v>9</v>
      </c>
      <c r="K61" s="13" t="s">
        <v>9</v>
      </c>
      <c r="L61" s="13" t="s">
        <v>9</v>
      </c>
      <c r="M61" s="13" t="s">
        <v>9</v>
      </c>
      <c r="N61" s="12"/>
      <c r="O61" s="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</row>
    <row r="62" ht="14.25" customHeight="1">
      <c r="A62" s="25">
        <v>1.0</v>
      </c>
      <c r="B62" s="89" t="s">
        <v>178</v>
      </c>
      <c r="C62" s="84" t="s">
        <v>179</v>
      </c>
      <c r="D62" s="27"/>
      <c r="E62" s="90" t="s">
        <v>180</v>
      </c>
      <c r="F62" s="28"/>
      <c r="G62" s="85"/>
      <c r="H62" s="85"/>
      <c r="I62" s="85"/>
      <c r="J62" s="85"/>
      <c r="K62" s="85"/>
      <c r="L62" s="85"/>
      <c r="M62" s="85"/>
      <c r="N62" s="85"/>
      <c r="O62" s="24">
        <f t="shared" ref="O62:O68" si="19">SUM(G62:N62)</f>
        <v>0</v>
      </c>
      <c r="V62" s="113"/>
    </row>
    <row r="63" ht="14.25" customHeight="1">
      <c r="A63" s="25">
        <v>2.0</v>
      </c>
      <c r="B63" s="89" t="s">
        <v>183</v>
      </c>
      <c r="C63" s="44"/>
      <c r="D63" s="27"/>
      <c r="E63" s="90" t="s">
        <v>184</v>
      </c>
      <c r="F63" s="28"/>
      <c r="G63" s="85"/>
      <c r="H63" s="85"/>
      <c r="I63" s="85"/>
      <c r="J63" s="85"/>
      <c r="K63" s="85"/>
      <c r="L63" s="85"/>
      <c r="M63" s="85"/>
      <c r="N63" s="85"/>
      <c r="O63" s="24">
        <f t="shared" si="19"/>
        <v>0</v>
      </c>
      <c r="V63" s="113"/>
      <c r="W63" s="113"/>
      <c r="X63" s="113"/>
      <c r="Y63" s="113"/>
      <c r="Z63" s="113"/>
      <c r="AA63" s="113"/>
      <c r="AB63" s="113"/>
    </row>
    <row r="64" ht="14.25" customHeight="1">
      <c r="A64" s="25">
        <v>3.0</v>
      </c>
      <c r="B64" s="89" t="s">
        <v>185</v>
      </c>
      <c r="C64" s="44"/>
      <c r="D64" s="27"/>
      <c r="E64" s="90" t="s">
        <v>186</v>
      </c>
      <c r="F64" s="28"/>
      <c r="G64" s="85"/>
      <c r="H64" s="85"/>
      <c r="I64" s="85"/>
      <c r="J64" s="85"/>
      <c r="K64" s="85"/>
      <c r="L64" s="85"/>
      <c r="M64" s="85"/>
      <c r="N64" s="85"/>
      <c r="O64" s="24">
        <f t="shared" si="19"/>
        <v>0</v>
      </c>
      <c r="V64" s="73"/>
      <c r="W64" s="73"/>
      <c r="X64" s="73"/>
      <c r="Y64" s="73"/>
      <c r="Z64" s="73"/>
      <c r="AA64" s="73"/>
      <c r="AB64" s="72"/>
    </row>
    <row r="65" ht="14.25" customHeight="1">
      <c r="A65" s="25">
        <v>4.0</v>
      </c>
      <c r="B65" s="89" t="s">
        <v>185</v>
      </c>
      <c r="C65" s="44"/>
      <c r="D65" s="27"/>
      <c r="E65" s="90" t="s">
        <v>186</v>
      </c>
      <c r="F65" s="28"/>
      <c r="G65" s="85"/>
      <c r="H65" s="85"/>
      <c r="I65" s="85"/>
      <c r="J65" s="85"/>
      <c r="K65" s="85"/>
      <c r="L65" s="85"/>
      <c r="M65" s="85"/>
      <c r="N65" s="85"/>
      <c r="O65" s="24">
        <f t="shared" si="19"/>
        <v>0</v>
      </c>
      <c r="V65" s="73"/>
      <c r="W65" s="73"/>
      <c r="X65" s="73"/>
      <c r="Y65" s="73"/>
      <c r="Z65" s="73"/>
      <c r="AA65" s="73"/>
      <c r="AB65" s="73"/>
    </row>
    <row r="66" ht="14.25" customHeight="1">
      <c r="A66" s="25">
        <v>5.0</v>
      </c>
      <c r="B66" s="89" t="s">
        <v>187</v>
      </c>
      <c r="C66" s="44"/>
      <c r="D66" s="27"/>
      <c r="E66" s="90" t="s">
        <v>188</v>
      </c>
      <c r="F66" s="28"/>
      <c r="G66" s="85"/>
      <c r="H66" s="85"/>
      <c r="I66" s="85"/>
      <c r="J66" s="85"/>
      <c r="K66" s="85"/>
      <c r="L66" s="85"/>
      <c r="M66" s="85"/>
      <c r="N66" s="85"/>
      <c r="O66" s="24">
        <f t="shared" si="19"/>
        <v>0</v>
      </c>
      <c r="V66" s="73"/>
      <c r="W66" s="73"/>
      <c r="X66" s="73"/>
      <c r="Y66" s="73"/>
      <c r="Z66" s="73"/>
      <c r="AA66" s="73"/>
      <c r="AB66" s="73"/>
    </row>
    <row r="67" ht="14.25" customHeight="1">
      <c r="A67" s="25">
        <v>6.0</v>
      </c>
      <c r="B67" s="89" t="s">
        <v>189</v>
      </c>
      <c r="C67" s="44"/>
      <c r="D67" s="27"/>
      <c r="E67" s="90" t="s">
        <v>190</v>
      </c>
      <c r="F67" s="28"/>
      <c r="G67" s="85">
        <v>9450.11</v>
      </c>
      <c r="H67" s="24"/>
      <c r="I67" s="85"/>
      <c r="J67" s="85"/>
      <c r="K67" s="85"/>
      <c r="L67" s="85"/>
      <c r="M67" s="85"/>
      <c r="N67" s="85"/>
      <c r="O67" s="24">
        <f t="shared" si="19"/>
        <v>9450.11</v>
      </c>
    </row>
    <row r="68" ht="14.25" customHeight="1">
      <c r="A68" s="25">
        <v>7.0</v>
      </c>
      <c r="B68" s="89" t="s">
        <v>191</v>
      </c>
      <c r="C68" s="12"/>
      <c r="D68" s="27"/>
      <c r="E68" s="90" t="s">
        <v>192</v>
      </c>
      <c r="F68" s="28"/>
      <c r="G68" s="85">
        <v>8370.14</v>
      </c>
      <c r="H68" s="85"/>
      <c r="I68" s="85"/>
      <c r="J68" s="85"/>
      <c r="K68" s="85"/>
      <c r="L68" s="85"/>
      <c r="M68" s="85"/>
      <c r="N68" s="85"/>
      <c r="O68" s="24">
        <f t="shared" si="19"/>
        <v>8370.14</v>
      </c>
    </row>
    <row r="69" ht="14.25" customHeight="1">
      <c r="A69" s="68" t="s">
        <v>122</v>
      </c>
      <c r="B69" s="2"/>
      <c r="C69" s="2"/>
      <c r="D69" s="2"/>
      <c r="E69" s="3"/>
      <c r="F69" s="93"/>
      <c r="G69" s="85">
        <f t="shared" ref="G69:O69" si="20">SUM(G62:G68)</f>
        <v>17820.25</v>
      </c>
      <c r="H69" s="24">
        <f t="shared" si="20"/>
        <v>0</v>
      </c>
      <c r="I69" s="85">
        <f t="shared" si="20"/>
        <v>0</v>
      </c>
      <c r="J69" s="85">
        <f t="shared" si="20"/>
        <v>0</v>
      </c>
      <c r="K69" s="85">
        <f t="shared" si="20"/>
        <v>0</v>
      </c>
      <c r="L69" s="85">
        <f t="shared" si="20"/>
        <v>0</v>
      </c>
      <c r="M69" s="85">
        <f t="shared" si="20"/>
        <v>0</v>
      </c>
      <c r="N69" s="85">
        <f t="shared" si="20"/>
        <v>0</v>
      </c>
      <c r="O69" s="24">
        <f t="shared" si="20"/>
        <v>17820.25</v>
      </c>
    </row>
    <row r="70" ht="14.25" customHeight="1">
      <c r="A70" s="73"/>
      <c r="B70" s="73"/>
      <c r="C70" s="73"/>
      <c r="D70" s="73"/>
      <c r="E70" s="73"/>
      <c r="F70" s="72"/>
    </row>
    <row r="71" ht="14.25" customHeight="1">
      <c r="A71" s="73"/>
      <c r="B71" s="73"/>
      <c r="C71" s="73"/>
      <c r="D71" s="73"/>
      <c r="E71" s="73"/>
      <c r="F71" s="72"/>
    </row>
    <row r="72" ht="14.25" customHeight="1">
      <c r="A72" s="1" t="s">
        <v>218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"/>
      <c r="S72" s="20"/>
      <c r="U72" s="20"/>
    </row>
    <row r="73" ht="14.25" customHeight="1">
      <c r="A73" s="4" t="s">
        <v>220</v>
      </c>
      <c r="B73" s="5"/>
      <c r="C73" s="8">
        <v>46216.0</v>
      </c>
      <c r="D73" s="3"/>
      <c r="E73" s="8">
        <v>46217.0</v>
      </c>
      <c r="F73" s="3"/>
      <c r="G73" s="8">
        <v>46218.0</v>
      </c>
      <c r="H73" s="3"/>
      <c r="I73" s="8">
        <v>46219.0</v>
      </c>
      <c r="J73" s="3"/>
      <c r="K73" s="8">
        <v>46220.0</v>
      </c>
      <c r="L73" s="3"/>
      <c r="M73" s="8">
        <v>46221.0</v>
      </c>
      <c r="N73" s="3"/>
      <c r="O73" s="8">
        <v>46222.0</v>
      </c>
      <c r="P73" s="3"/>
      <c r="Q73" s="85"/>
      <c r="R73" s="85"/>
      <c r="S73" s="20"/>
      <c r="U73" s="20"/>
    </row>
    <row r="74" ht="14.25" customHeight="1">
      <c r="A74" s="10"/>
      <c r="B74" s="11"/>
      <c r="C74" s="13" t="s">
        <v>26</v>
      </c>
      <c r="D74" s="13" t="s">
        <v>197</v>
      </c>
      <c r="E74" s="13" t="s">
        <v>26</v>
      </c>
      <c r="F74" s="13" t="s">
        <v>197</v>
      </c>
      <c r="G74" s="13" t="s">
        <v>26</v>
      </c>
      <c r="H74" s="13" t="s">
        <v>197</v>
      </c>
      <c r="I74" s="13" t="s">
        <v>26</v>
      </c>
      <c r="J74" s="13" t="s">
        <v>197</v>
      </c>
      <c r="K74" s="13" t="s">
        <v>26</v>
      </c>
      <c r="L74" s="13" t="s">
        <v>197</v>
      </c>
      <c r="M74" s="13" t="s">
        <v>26</v>
      </c>
      <c r="N74" s="13" t="s">
        <v>197</v>
      </c>
      <c r="O74" s="13" t="s">
        <v>26</v>
      </c>
      <c r="P74" s="13" t="s">
        <v>197</v>
      </c>
      <c r="Q74" s="120" t="s">
        <v>224</v>
      </c>
      <c r="R74" s="104">
        <v>27.0</v>
      </c>
      <c r="S74" s="20"/>
      <c r="U74" s="20"/>
    </row>
    <row r="75" ht="14.25" customHeight="1">
      <c r="A75" s="25">
        <v>1.0</v>
      </c>
      <c r="B75" s="37" t="s">
        <v>225</v>
      </c>
      <c r="C75" s="73"/>
      <c r="D75" s="73"/>
      <c r="E75" s="39"/>
      <c r="F75" s="85"/>
      <c r="G75" s="122">
        <v>1099.78</v>
      </c>
      <c r="H75" s="28" t="s">
        <v>227</v>
      </c>
      <c r="I75" s="27"/>
      <c r="J75" s="85"/>
      <c r="K75" s="123">
        <v>1200.004</v>
      </c>
      <c r="L75" s="85" t="s">
        <v>228</v>
      </c>
      <c r="M75" s="27"/>
      <c r="N75" s="85"/>
      <c r="O75" s="85"/>
      <c r="P75" s="85"/>
      <c r="Q75" s="27" t="str">
        <f>O75+M75+K75+I75+#REF!+E75+G75</f>
        <v>#REF!</v>
      </c>
      <c r="R75" s="131"/>
      <c r="S75" s="20"/>
      <c r="U75" s="20"/>
    </row>
    <row r="76" ht="14.25" customHeight="1">
      <c r="A76" s="25">
        <v>2.0</v>
      </c>
      <c r="B76" s="37" t="s">
        <v>235</v>
      </c>
      <c r="C76" s="122">
        <v>659.42</v>
      </c>
      <c r="D76" s="27" t="s">
        <v>236</v>
      </c>
      <c r="E76" s="39"/>
      <c r="G76" s="39"/>
      <c r="H76" s="27"/>
      <c r="I76" s="27"/>
      <c r="J76" s="85"/>
      <c r="K76" s="123">
        <v>1000.0</v>
      </c>
      <c r="L76" s="85" t="s">
        <v>237</v>
      </c>
      <c r="M76" s="85"/>
      <c r="N76" s="85"/>
      <c r="O76" s="85"/>
      <c r="P76" s="85"/>
      <c r="Q76" s="27">
        <f t="shared" ref="Q76:Q83" si="21">O76+M76+K76+I76+G76+E76+C76</f>
        <v>1659.42</v>
      </c>
      <c r="R76" s="44"/>
      <c r="S76" s="20"/>
      <c r="U76" s="20"/>
    </row>
    <row r="77" ht="14.25" customHeight="1">
      <c r="A77" s="25">
        <v>3.0</v>
      </c>
      <c r="B77" s="37" t="s">
        <v>241</v>
      </c>
      <c r="C77" s="39"/>
      <c r="D77" s="27"/>
      <c r="E77" s="135">
        <v>600.004</v>
      </c>
      <c r="F77" s="27" t="s">
        <v>244</v>
      </c>
      <c r="G77" s="122">
        <v>300.002</v>
      </c>
      <c r="H77" s="27" t="s">
        <v>246</v>
      </c>
      <c r="I77" s="135">
        <v>500.02</v>
      </c>
      <c r="J77" s="85" t="s">
        <v>248</v>
      </c>
      <c r="K77" s="123">
        <v>200.002</v>
      </c>
      <c r="L77" s="85" t="s">
        <v>251</v>
      </c>
      <c r="M77" s="85"/>
      <c r="N77" s="85"/>
      <c r="O77" s="85"/>
      <c r="P77" s="85"/>
      <c r="Q77" s="27">
        <f t="shared" si="21"/>
        <v>1600.028</v>
      </c>
      <c r="R77" s="44"/>
      <c r="S77" s="20"/>
      <c r="U77" s="20"/>
    </row>
    <row r="78" ht="14.25" customHeight="1">
      <c r="A78" s="25">
        <v>4.0</v>
      </c>
      <c r="B78" s="37" t="s">
        <v>253</v>
      </c>
      <c r="C78" s="39"/>
      <c r="D78" s="27"/>
      <c r="E78" s="27"/>
      <c r="F78" s="27"/>
      <c r="G78" s="39"/>
      <c r="H78" s="27"/>
      <c r="I78" s="27"/>
      <c r="J78" s="85"/>
      <c r="K78" s="85"/>
      <c r="L78" s="85"/>
      <c r="M78" s="85"/>
      <c r="N78" s="85"/>
      <c r="O78" s="85"/>
      <c r="P78" s="85"/>
      <c r="Q78" s="27">
        <f t="shared" si="21"/>
        <v>0</v>
      </c>
      <c r="R78" s="44"/>
      <c r="S78" s="20"/>
      <c r="U78" s="20"/>
    </row>
    <row r="79" ht="14.25" customHeight="1">
      <c r="A79" s="25">
        <v>5.0</v>
      </c>
      <c r="B79" s="37" t="s">
        <v>257</v>
      </c>
      <c r="C79" s="39"/>
      <c r="D79" s="27"/>
      <c r="E79" s="27"/>
      <c r="F79" s="27"/>
      <c r="G79" s="122">
        <v>200.0</v>
      </c>
      <c r="H79" s="27" t="s">
        <v>258</v>
      </c>
      <c r="I79" s="122">
        <v>400.0</v>
      </c>
      <c r="J79" s="85" t="s">
        <v>259</v>
      </c>
      <c r="K79" s="85"/>
      <c r="L79" s="85"/>
      <c r="M79" s="85"/>
      <c r="N79" s="85"/>
      <c r="O79" s="85"/>
      <c r="P79" s="85"/>
      <c r="Q79" s="27">
        <f t="shared" si="21"/>
        <v>600</v>
      </c>
      <c r="R79" s="44"/>
      <c r="S79" s="20"/>
      <c r="U79" s="20"/>
    </row>
    <row r="80" ht="14.25" customHeight="1">
      <c r="A80" s="25">
        <v>6.0</v>
      </c>
      <c r="B80" s="37" t="s">
        <v>264</v>
      </c>
      <c r="C80" s="122">
        <v>535.002</v>
      </c>
      <c r="D80" s="27" t="s">
        <v>265</v>
      </c>
      <c r="E80" s="135">
        <v>440.0</v>
      </c>
      <c r="F80" s="27" t="s">
        <v>266</v>
      </c>
      <c r="G80" s="39"/>
      <c r="H80" s="27"/>
      <c r="I80" s="39"/>
      <c r="J80" s="85"/>
      <c r="K80" s="85"/>
      <c r="L80" s="85"/>
      <c r="M80" s="85"/>
      <c r="N80" s="85"/>
      <c r="O80" s="85"/>
      <c r="P80" s="85"/>
      <c r="Q80" s="27">
        <f t="shared" si="21"/>
        <v>975.002</v>
      </c>
      <c r="R80" s="44"/>
      <c r="S80" s="20">
        <f>C86+E86+G86+I86+K86+M86+O86</f>
        <v>13948.256</v>
      </c>
      <c r="U80" s="20"/>
    </row>
    <row r="81" ht="14.25" customHeight="1">
      <c r="A81" s="25">
        <v>7.0</v>
      </c>
      <c r="B81" s="139" t="s">
        <v>273</v>
      </c>
      <c r="C81" s="39"/>
      <c r="D81" s="27"/>
      <c r="E81" s="27"/>
      <c r="F81" s="73"/>
      <c r="G81" s="122">
        <v>1000.004</v>
      </c>
      <c r="H81" s="73" t="s">
        <v>275</v>
      </c>
      <c r="I81" s="27"/>
      <c r="J81" s="85"/>
      <c r="K81" s="85"/>
      <c r="L81" s="85"/>
      <c r="M81" s="85"/>
      <c r="N81" s="85"/>
      <c r="O81" s="85"/>
      <c r="P81" s="85"/>
      <c r="Q81" s="27">
        <f t="shared" si="21"/>
        <v>1000.004</v>
      </c>
      <c r="R81" s="44"/>
      <c r="S81" s="20">
        <f>S80*27</f>
        <v>376602.912</v>
      </c>
      <c r="U81" s="20"/>
    </row>
    <row r="82" ht="14.25" customHeight="1">
      <c r="A82" s="25">
        <v>8.0</v>
      </c>
      <c r="B82" s="139" t="s">
        <v>281</v>
      </c>
      <c r="C82" s="122">
        <v>535.0</v>
      </c>
      <c r="D82" s="27" t="s">
        <v>283</v>
      </c>
      <c r="E82" s="144">
        <v>440.0</v>
      </c>
      <c r="F82" s="144" t="s">
        <v>287</v>
      </c>
      <c r="G82" s="145"/>
      <c r="H82" s="73"/>
      <c r="I82" s="146">
        <v>850.005</v>
      </c>
      <c r="J82" s="85" t="s">
        <v>289</v>
      </c>
      <c r="K82" s="123">
        <v>400.0</v>
      </c>
      <c r="L82" s="85" t="s">
        <v>291</v>
      </c>
      <c r="M82" s="85"/>
      <c r="N82" s="85"/>
      <c r="O82" s="85"/>
      <c r="P82" s="85"/>
      <c r="Q82" s="27">
        <f t="shared" si="21"/>
        <v>2225.005</v>
      </c>
      <c r="R82" s="44"/>
      <c r="S82" s="20"/>
      <c r="U82" s="20"/>
    </row>
    <row r="83" ht="14.25" customHeight="1">
      <c r="A83" s="25">
        <v>9.0</v>
      </c>
      <c r="B83" s="139" t="s">
        <v>295</v>
      </c>
      <c r="C83" s="39"/>
      <c r="D83" s="27"/>
      <c r="E83" s="27"/>
      <c r="F83" s="27"/>
      <c r="G83" s="39"/>
      <c r="H83" s="27"/>
      <c r="I83" s="39"/>
      <c r="J83" s="85"/>
      <c r="K83" s="85"/>
      <c r="L83" s="85"/>
      <c r="M83" s="85"/>
      <c r="N83" s="85"/>
      <c r="O83" s="85"/>
      <c r="P83" s="85"/>
      <c r="Q83" s="27">
        <f t="shared" si="21"/>
        <v>0</v>
      </c>
      <c r="R83" s="44"/>
      <c r="S83" s="20"/>
      <c r="U83" s="20"/>
    </row>
    <row r="84" ht="14.25" customHeight="1">
      <c r="A84" s="25"/>
      <c r="B84" s="139" t="s">
        <v>299</v>
      </c>
      <c r="C84" s="39"/>
      <c r="D84" s="27"/>
      <c r="E84" s="135">
        <v>1000.0</v>
      </c>
      <c r="F84" s="27" t="s">
        <v>301</v>
      </c>
      <c r="G84" s="39"/>
      <c r="H84" s="27"/>
      <c r="I84" s="39"/>
      <c r="J84" s="85"/>
      <c r="K84" s="85"/>
      <c r="L84" s="85"/>
      <c r="M84" s="85"/>
      <c r="N84" s="85"/>
      <c r="O84" s="85"/>
      <c r="P84" s="85"/>
      <c r="Q84" s="27"/>
      <c r="R84" s="44"/>
      <c r="S84" s="20"/>
      <c r="U84" s="20"/>
    </row>
    <row r="85" ht="14.25" customHeight="1">
      <c r="A85" s="25">
        <v>10.0</v>
      </c>
      <c r="B85" s="139" t="s">
        <v>300</v>
      </c>
      <c r="C85" s="122">
        <v>838.999</v>
      </c>
      <c r="D85" s="27" t="s">
        <v>304</v>
      </c>
      <c r="E85" s="39"/>
      <c r="F85" s="85"/>
      <c r="G85" s="122">
        <v>400.005</v>
      </c>
      <c r="H85" s="27" t="s">
        <v>305</v>
      </c>
      <c r="I85" s="123">
        <v>600.004</v>
      </c>
      <c r="J85" s="85" t="s">
        <v>306</v>
      </c>
      <c r="K85" s="85"/>
      <c r="L85" s="85"/>
      <c r="M85" s="123">
        <v>750.005</v>
      </c>
      <c r="N85" s="85" t="s">
        <v>307</v>
      </c>
      <c r="O85" s="85"/>
      <c r="P85" s="85"/>
      <c r="Q85" s="27">
        <f>O85+M85+K85+I85+G85+E85+C85</f>
        <v>2589.013</v>
      </c>
      <c r="R85" s="12"/>
      <c r="S85" s="20"/>
      <c r="U85" s="20"/>
    </row>
    <row r="86" ht="14.25" customHeight="1">
      <c r="A86" s="150" t="s">
        <v>122</v>
      </c>
      <c r="B86" s="5"/>
      <c r="C86" s="151">
        <f>SUM(C75:C85)</f>
        <v>2568.421</v>
      </c>
      <c r="D86" s="151"/>
      <c r="E86" s="151">
        <f>SUM(E75:E85)</f>
        <v>2480.004</v>
      </c>
      <c r="F86" s="151"/>
      <c r="G86" s="151">
        <f>SUM(G75:G85)</f>
        <v>2999.791</v>
      </c>
      <c r="H86" s="151"/>
      <c r="I86" s="151">
        <f>SUM(I75:I85)</f>
        <v>2350.029</v>
      </c>
      <c r="J86" s="151"/>
      <c r="K86" s="151">
        <f>SUM(K75:K85)</f>
        <v>2800.006</v>
      </c>
      <c r="L86" s="151"/>
      <c r="M86" s="151">
        <f>SUM(M75:M85)</f>
        <v>750.005</v>
      </c>
      <c r="N86" s="151"/>
      <c r="O86" s="151">
        <f>SUM(O75:O85)</f>
        <v>0</v>
      </c>
      <c r="P86" s="151"/>
      <c r="Q86" s="135" t="str">
        <f>SUM(Q75:Q85)</f>
        <v>#REF!</v>
      </c>
      <c r="R86" s="158" t="str">
        <f>Q86*R74</f>
        <v>#REF!</v>
      </c>
      <c r="S86" s="20"/>
      <c r="U86" s="20"/>
    </row>
    <row r="87" ht="14.25" customHeight="1">
      <c r="A87" s="10"/>
      <c r="B87" s="11"/>
      <c r="C87" s="86">
        <f>C86*27</f>
        <v>69347.367</v>
      </c>
      <c r="D87" s="41">
        <v>69347.52</v>
      </c>
      <c r="E87" s="86">
        <f>E86*27</f>
        <v>66960.108</v>
      </c>
      <c r="F87" s="41">
        <v>66960.21</v>
      </c>
      <c r="G87" s="86">
        <f>G86*27</f>
        <v>80994.357</v>
      </c>
      <c r="H87" s="41">
        <v>80994.26</v>
      </c>
      <c r="I87" s="86">
        <f>I86*27</f>
        <v>63450.783</v>
      </c>
      <c r="J87" s="41">
        <v>63450.88</v>
      </c>
      <c r="K87" s="86">
        <f>K86*27</f>
        <v>75600.162</v>
      </c>
      <c r="L87" s="41">
        <v>75600.34</v>
      </c>
      <c r="M87" s="86">
        <f>M86*27</f>
        <v>20250.135</v>
      </c>
      <c r="N87" s="41">
        <v>20250.13</v>
      </c>
      <c r="O87" s="86">
        <f>O86*27</f>
        <v>0</v>
      </c>
      <c r="P87" s="136"/>
      <c r="Q87" s="24">
        <f>O87+M87+K87+I87+G87+E87+C87</f>
        <v>376602.912</v>
      </c>
      <c r="R87" s="85"/>
      <c r="S87" s="20"/>
      <c r="U87" s="20"/>
    </row>
    <row r="88" ht="14.25" customHeight="1"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158"/>
      <c r="P88" s="164" t="s">
        <v>314</v>
      </c>
      <c r="Q88" s="166">
        <f>P87+N87+L87+J87+H87+F87+D87</f>
        <v>376603.34</v>
      </c>
      <c r="R88" s="85"/>
      <c r="S88" s="20"/>
      <c r="U88" s="20"/>
    </row>
    <row r="89" ht="14.25" customHeight="1">
      <c r="A89" s="73"/>
      <c r="B89" s="73"/>
      <c r="C89" s="73"/>
      <c r="D89" s="73"/>
      <c r="E89" s="73"/>
      <c r="F89" s="72"/>
      <c r="S89" s="20"/>
      <c r="U89" s="20"/>
    </row>
    <row r="90" ht="14.25" customHeight="1">
      <c r="A90" s="73"/>
      <c r="B90" s="73"/>
      <c r="C90" s="73"/>
      <c r="D90" s="73"/>
      <c r="E90" s="73"/>
      <c r="F90" s="72"/>
      <c r="S90" s="20"/>
      <c r="U90" s="20"/>
    </row>
    <row r="91" ht="14.25" customHeight="1">
      <c r="A91" s="73"/>
      <c r="B91" s="73"/>
      <c r="C91" s="73"/>
      <c r="D91" s="73"/>
      <c r="E91" s="73"/>
      <c r="F91" s="72"/>
      <c r="S91" s="20"/>
      <c r="U91" s="20"/>
    </row>
    <row r="92" ht="14.25" customHeight="1">
      <c r="A92" s="73"/>
      <c r="B92" s="169" t="s">
        <v>319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S92" s="20"/>
      <c r="U92" s="20"/>
    </row>
    <row r="93" ht="14.25" customHeight="1">
      <c r="A93" s="73"/>
      <c r="B93" s="170">
        <v>46216.0</v>
      </c>
      <c r="C93" s="5"/>
      <c r="D93" s="170">
        <v>46217.0</v>
      </c>
      <c r="E93" s="5"/>
      <c r="F93" s="170">
        <v>46218.0</v>
      </c>
      <c r="G93" s="5"/>
      <c r="H93" s="170">
        <v>46219.0</v>
      </c>
      <c r="I93" s="5"/>
      <c r="J93" s="170">
        <v>46220.0</v>
      </c>
      <c r="K93" s="5"/>
      <c r="L93" s="170">
        <v>46221.0</v>
      </c>
      <c r="M93" s="5"/>
      <c r="N93" s="170">
        <v>46222.0</v>
      </c>
      <c r="O93" s="5"/>
      <c r="P93" s="84" t="s">
        <v>326</v>
      </c>
      <c r="S93" s="20"/>
      <c r="U93" s="20"/>
    </row>
    <row r="94" ht="14.25" customHeight="1">
      <c r="A94" s="73"/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44"/>
      <c r="S94" s="20"/>
      <c r="U94" s="20"/>
    </row>
    <row r="95" ht="14.25" customHeight="1">
      <c r="A95" s="73"/>
      <c r="B95" s="178" t="s">
        <v>322</v>
      </c>
      <c r="C95" s="178" t="s">
        <v>332</v>
      </c>
      <c r="D95" s="178" t="s">
        <v>322</v>
      </c>
      <c r="E95" s="178" t="s">
        <v>332</v>
      </c>
      <c r="F95" s="178" t="s">
        <v>322</v>
      </c>
      <c r="G95" s="178" t="s">
        <v>332</v>
      </c>
      <c r="H95" s="178" t="s">
        <v>322</v>
      </c>
      <c r="I95" s="178" t="s">
        <v>332</v>
      </c>
      <c r="J95" s="178" t="s">
        <v>322</v>
      </c>
      <c r="K95" s="178" t="s">
        <v>332</v>
      </c>
      <c r="L95" s="178" t="s">
        <v>322</v>
      </c>
      <c r="M95" s="178" t="s">
        <v>332</v>
      </c>
      <c r="N95" s="178" t="s">
        <v>322</v>
      </c>
      <c r="O95" s="178" t="s">
        <v>332</v>
      </c>
      <c r="P95" s="44"/>
    </row>
    <row r="96" ht="14.25" customHeight="1">
      <c r="A96" s="73"/>
      <c r="B96" s="24">
        <v>1500.0</v>
      </c>
      <c r="C96" s="57" t="s">
        <v>60</v>
      </c>
      <c r="D96" s="24"/>
      <c r="E96" s="26"/>
      <c r="F96" s="24"/>
      <c r="G96" s="24"/>
      <c r="H96" s="24"/>
      <c r="I96" s="56"/>
      <c r="J96" s="24"/>
      <c r="K96" s="24"/>
      <c r="L96" s="24"/>
      <c r="M96" s="24"/>
      <c r="N96" s="85"/>
      <c r="O96" s="85"/>
      <c r="P96" s="44"/>
    </row>
    <row r="97" ht="14.25" customHeight="1">
      <c r="A97" s="73"/>
      <c r="B97" s="24"/>
      <c r="C97" s="57"/>
      <c r="D97" s="24"/>
      <c r="E97" s="44"/>
      <c r="F97" s="24"/>
      <c r="G97" s="24"/>
      <c r="H97" s="85"/>
      <c r="I97" s="85"/>
      <c r="J97" s="24"/>
      <c r="K97" s="24"/>
      <c r="L97" s="24"/>
      <c r="M97" s="85"/>
      <c r="N97" s="85"/>
      <c r="O97" s="85"/>
      <c r="P97" s="44"/>
    </row>
    <row r="98" ht="14.25" customHeight="1">
      <c r="A98" s="73"/>
      <c r="B98" s="24"/>
      <c r="C98" s="24"/>
      <c r="D98" s="24"/>
      <c r="E98" s="12"/>
      <c r="F98" s="24"/>
      <c r="G98" s="24"/>
      <c r="H98" s="85"/>
      <c r="I98" s="85"/>
      <c r="J98" s="85"/>
      <c r="K98" s="85"/>
      <c r="L98" s="24"/>
      <c r="M98" s="24"/>
      <c r="N98" s="85"/>
      <c r="O98" s="85"/>
      <c r="P98" s="44"/>
    </row>
    <row r="99" ht="14.25" customHeight="1">
      <c r="A99" s="73"/>
      <c r="B99" s="85"/>
      <c r="C99" s="85"/>
      <c r="D99" s="85"/>
      <c r="E99" s="85"/>
      <c r="F99" s="24"/>
      <c r="G99" s="24"/>
      <c r="H99" s="85"/>
      <c r="I99" s="85"/>
      <c r="J99" s="85"/>
      <c r="K99" s="85"/>
      <c r="L99" s="24"/>
      <c r="M99" s="24"/>
      <c r="N99" s="85"/>
      <c r="O99" s="85"/>
      <c r="P99" s="12"/>
    </row>
    <row r="100" ht="14.25" customHeight="1">
      <c r="A100" s="73"/>
      <c r="B100" s="191">
        <f>SUM(B96:B99)</f>
        <v>1500</v>
      </c>
      <c r="C100" s="193"/>
      <c r="D100" s="191">
        <f>SUM(D96:D99)</f>
        <v>0</v>
      </c>
      <c r="E100" s="193"/>
      <c r="F100" s="191">
        <f>SUM(F96:F99)</f>
        <v>0</v>
      </c>
      <c r="G100" s="193"/>
      <c r="H100" s="191">
        <f>SUM(H96:H99)</f>
        <v>0</v>
      </c>
      <c r="I100" s="193"/>
      <c r="J100" s="191">
        <f>SUM(J96:J99)</f>
        <v>0</v>
      </c>
      <c r="K100" s="193"/>
      <c r="L100" s="191">
        <f>SUM(L96:L99)</f>
        <v>0</v>
      </c>
      <c r="M100" s="201"/>
      <c r="N100" s="201"/>
      <c r="O100" s="201"/>
      <c r="P100" s="158">
        <f>SUM(B100:O100)</f>
        <v>1500</v>
      </c>
    </row>
    <row r="101" ht="14.25" customHeight="1">
      <c r="A101" s="73"/>
      <c r="B101" s="73"/>
      <c r="C101" s="73"/>
      <c r="D101" s="73"/>
      <c r="E101" s="73"/>
      <c r="F101" s="72"/>
    </row>
    <row r="102" ht="14.25" customHeight="1">
      <c r="A102" s="73"/>
      <c r="B102" s="73"/>
      <c r="C102" s="73"/>
      <c r="D102" s="73"/>
      <c r="E102" s="73"/>
      <c r="F102" s="72"/>
    </row>
    <row r="103" ht="14.25" customHeight="1">
      <c r="A103" s="73"/>
      <c r="B103" s="73"/>
      <c r="C103" s="73"/>
      <c r="D103" s="73"/>
      <c r="E103" s="73"/>
      <c r="F103" s="72"/>
      <c r="S103" s="20"/>
    </row>
    <row r="104" ht="14.25" customHeight="1">
      <c r="A104" s="73"/>
      <c r="B104" s="73"/>
      <c r="C104" s="73"/>
      <c r="D104" s="73"/>
      <c r="E104" s="73"/>
      <c r="F104" s="72"/>
      <c r="S104" s="20"/>
    </row>
    <row r="105" ht="14.25" customHeight="1">
      <c r="A105" s="73"/>
      <c r="B105" s="165" t="s">
        <v>357</v>
      </c>
      <c r="C105" s="2"/>
      <c r="D105" s="2"/>
      <c r="E105" s="2"/>
      <c r="F105" s="3"/>
    </row>
    <row r="106" ht="14.25" customHeight="1">
      <c r="A106" s="73"/>
      <c r="B106" s="167" t="s">
        <v>317</v>
      </c>
      <c r="C106" s="165"/>
      <c r="D106" s="2"/>
      <c r="E106" s="2"/>
      <c r="F106" s="3"/>
    </row>
    <row r="107" ht="42.75" customHeight="1">
      <c r="A107" s="73"/>
      <c r="B107" s="168" t="s">
        <v>363</v>
      </c>
      <c r="C107" s="161">
        <f>G42+J42+M42+P42+S42+V42+G55+J55+M55+P55+S55+V55+Y55</f>
        <v>40718.64</v>
      </c>
      <c r="D107" s="132"/>
      <c r="E107" s="132"/>
      <c r="F107" s="28"/>
      <c r="G107" s="72"/>
      <c r="K107" s="73"/>
      <c r="L107" s="73"/>
    </row>
    <row r="108" ht="42.75" customHeight="1">
      <c r="A108" s="73"/>
      <c r="B108" s="12"/>
      <c r="C108" s="12"/>
      <c r="D108" s="132"/>
      <c r="E108" s="132"/>
      <c r="F108" s="28"/>
      <c r="G108" s="72"/>
      <c r="H108" s="171" t="s">
        <v>368</v>
      </c>
      <c r="I108" s="3"/>
      <c r="K108" s="185" t="s">
        <v>337</v>
      </c>
      <c r="L108" s="2"/>
      <c r="M108" s="3"/>
    </row>
    <row r="109" ht="14.25" customHeight="1">
      <c r="A109" s="73"/>
      <c r="B109" s="173" t="s">
        <v>327</v>
      </c>
      <c r="C109" s="176">
        <f>G69+H69+I69+J69+K69+L69+M69</f>
        <v>17820.25</v>
      </c>
      <c r="D109" s="177"/>
      <c r="E109" s="180">
        <f>C109</f>
        <v>17820.25</v>
      </c>
      <c r="F109" s="28"/>
      <c r="H109" s="194" t="s">
        <v>9</v>
      </c>
      <c r="I109" s="197">
        <f>F111</f>
        <v>40718.64</v>
      </c>
      <c r="K109" s="132" t="s">
        <v>345</v>
      </c>
      <c r="L109" s="57">
        <f>C108+E110+C116</f>
        <v>15100.02</v>
      </c>
      <c r="M109" s="57"/>
    </row>
    <row r="110" ht="14.25" customHeight="1">
      <c r="A110" s="73"/>
      <c r="B110" s="174" t="s">
        <v>339</v>
      </c>
      <c r="C110" s="175"/>
      <c r="D110" s="140"/>
      <c r="E110" s="187"/>
      <c r="F110" s="188"/>
      <c r="H110" s="194" t="s">
        <v>344</v>
      </c>
      <c r="I110" s="197">
        <f>C118</f>
        <v>391703.36</v>
      </c>
      <c r="K110" s="132" t="s">
        <v>350</v>
      </c>
      <c r="L110" s="202" t="str">
        <f>#REF!</f>
        <v>#REF!</v>
      </c>
      <c r="M110" s="132"/>
      <c r="W110" s="73"/>
    </row>
    <row r="111" ht="15.0" customHeight="1">
      <c r="A111" s="73"/>
      <c r="B111" s="192" t="s">
        <v>326</v>
      </c>
      <c r="C111" s="148"/>
      <c r="D111" s="148"/>
      <c r="E111" s="5"/>
      <c r="F111" s="196">
        <f>C110+C107</f>
        <v>40718.64</v>
      </c>
      <c r="H111" s="208" t="s">
        <v>210</v>
      </c>
      <c r="I111" s="200">
        <f>SUM(I109:I110)</f>
        <v>432422</v>
      </c>
      <c r="K111" s="53" t="s">
        <v>354</v>
      </c>
      <c r="L111" s="24" t="str">
        <f>L109+L110</f>
        <v>#REF!</v>
      </c>
      <c r="M111" s="85"/>
      <c r="W111" s="73"/>
    </row>
    <row r="112" ht="15.0" customHeight="1">
      <c r="A112" s="73"/>
      <c r="B112" s="10"/>
      <c r="C112" s="156"/>
      <c r="D112" s="156"/>
      <c r="E112" s="11"/>
      <c r="F112" s="12"/>
      <c r="H112" s="12"/>
      <c r="I112" s="12"/>
      <c r="K112" s="73"/>
      <c r="L112" s="73"/>
      <c r="W112" s="73"/>
    </row>
    <row r="113" ht="14.25" customHeight="1">
      <c r="A113" s="73"/>
      <c r="B113" s="73"/>
      <c r="C113" s="73"/>
      <c r="D113" s="73"/>
      <c r="E113" s="73"/>
      <c r="F113" s="72"/>
      <c r="I113" s="20"/>
      <c r="K113" s="73"/>
      <c r="L113" s="73"/>
      <c r="W113" s="73"/>
    </row>
    <row r="114" ht="14.25" customHeight="1">
      <c r="A114" s="73"/>
      <c r="B114" s="195" t="s">
        <v>386</v>
      </c>
      <c r="C114" s="2"/>
      <c r="D114" s="2"/>
      <c r="E114" s="2"/>
      <c r="F114" s="3"/>
      <c r="I114" s="20"/>
      <c r="K114" s="73"/>
      <c r="L114" s="73"/>
      <c r="W114" s="73"/>
    </row>
    <row r="115" ht="14.25" customHeight="1">
      <c r="A115" s="73"/>
      <c r="B115" s="199" t="s">
        <v>347</v>
      </c>
      <c r="C115" s="199" t="s">
        <v>322</v>
      </c>
      <c r="D115" s="195" t="s">
        <v>362</v>
      </c>
      <c r="E115" s="2"/>
      <c r="F115" s="3"/>
      <c r="I115" s="20"/>
      <c r="W115" s="73"/>
    </row>
    <row r="116" ht="14.25" customHeight="1">
      <c r="A116" s="73"/>
      <c r="B116" s="175" t="s">
        <v>389</v>
      </c>
      <c r="C116" s="175">
        <f>H42+K42+N42+Q42+T42+W42+H55+K55+N55+Q55+T55+W55+Z55</f>
        <v>15100.02</v>
      </c>
      <c r="D116" s="212" t="s">
        <v>390</v>
      </c>
      <c r="E116" s="3"/>
      <c r="F116" s="27">
        <v>11.0</v>
      </c>
    </row>
    <row r="117" ht="71.25" customHeight="1">
      <c r="A117" s="73"/>
      <c r="B117" s="175" t="s">
        <v>391</v>
      </c>
      <c r="C117" s="72">
        <f>Q88</f>
        <v>376603.34</v>
      </c>
      <c r="D117" s="204" t="s">
        <v>392</v>
      </c>
      <c r="E117" s="2"/>
      <c r="F117" s="140">
        <v>22.0</v>
      </c>
      <c r="K117" s="217"/>
      <c r="W117" s="215"/>
    </row>
    <row r="118" ht="14.25" customHeight="1">
      <c r="A118" s="73"/>
      <c r="B118" s="232" t="s">
        <v>326</v>
      </c>
      <c r="C118" s="242">
        <f>C116+C117</f>
        <v>391703.36</v>
      </c>
      <c r="D118" s="2"/>
      <c r="E118" s="2"/>
      <c r="F118" s="3"/>
    </row>
    <row r="119" ht="14.25" customHeight="1">
      <c r="A119" s="73"/>
      <c r="B119" s="73"/>
      <c r="C119" s="73"/>
      <c r="D119" s="73"/>
      <c r="E119" s="73"/>
      <c r="F119" s="72"/>
    </row>
    <row r="120" ht="14.25" customHeight="1">
      <c r="A120" s="73"/>
      <c r="B120" s="73"/>
      <c r="C120" s="73"/>
      <c r="D120" s="73"/>
      <c r="E120" s="73"/>
      <c r="F120" s="72"/>
    </row>
    <row r="121" ht="14.25" customHeight="1">
      <c r="A121" s="73"/>
      <c r="B121" s="73"/>
      <c r="C121" s="73"/>
      <c r="D121" s="73"/>
      <c r="E121" s="73"/>
      <c r="F121" s="72"/>
    </row>
    <row r="122" ht="14.25" customHeight="1">
      <c r="A122" s="73"/>
      <c r="B122" s="249" t="s">
        <v>395</v>
      </c>
      <c r="C122" s="78"/>
      <c r="D122" s="78"/>
      <c r="E122" s="78"/>
      <c r="F122" s="78"/>
      <c r="G122" s="78"/>
      <c r="H122" s="79"/>
    </row>
    <row r="123" ht="14.25" customHeight="1">
      <c r="A123" s="73"/>
      <c r="B123" s="251" t="s">
        <v>402</v>
      </c>
      <c r="C123" s="251" t="s">
        <v>3</v>
      </c>
      <c r="D123" s="251" t="s">
        <v>403</v>
      </c>
      <c r="E123" s="252" t="s">
        <v>404</v>
      </c>
      <c r="F123" s="251" t="s">
        <v>405</v>
      </c>
      <c r="G123" s="251" t="s">
        <v>8</v>
      </c>
      <c r="H123" s="251" t="s">
        <v>406</v>
      </c>
    </row>
    <row r="124" ht="14.25" customHeight="1">
      <c r="A124" s="73"/>
      <c r="B124" s="253"/>
      <c r="C124" s="140"/>
      <c r="D124" s="140"/>
      <c r="E124" s="140"/>
      <c r="F124" s="54"/>
      <c r="G124" s="256"/>
      <c r="H124" s="257"/>
    </row>
    <row r="125" ht="14.25" customHeight="1">
      <c r="A125" s="73"/>
      <c r="B125" s="258"/>
      <c r="C125" s="140"/>
      <c r="D125" s="140"/>
      <c r="E125" s="140"/>
      <c r="F125" s="54"/>
      <c r="G125" s="256"/>
      <c r="H125" s="257"/>
    </row>
    <row r="126" ht="14.25" customHeight="1">
      <c r="A126" s="73"/>
      <c r="B126" s="258"/>
      <c r="C126" s="140"/>
      <c r="D126" s="140"/>
      <c r="E126" s="140"/>
      <c r="F126" s="54"/>
      <c r="G126" s="256"/>
      <c r="H126" s="257"/>
    </row>
    <row r="127" ht="15.0" customHeight="1">
      <c r="A127" s="73"/>
      <c r="B127" s="262"/>
      <c r="C127" s="27"/>
      <c r="D127" s="27"/>
      <c r="E127" s="27"/>
      <c r="F127" s="28"/>
      <c r="G127" s="256"/>
      <c r="H127" s="264"/>
    </row>
    <row r="128" ht="14.25" customHeight="1">
      <c r="A128" s="73"/>
      <c r="B128" s="258"/>
      <c r="C128" s="140"/>
      <c r="D128" s="140"/>
      <c r="E128" s="140"/>
      <c r="F128" s="54"/>
      <c r="G128" s="256"/>
      <c r="H128" s="257"/>
    </row>
    <row r="129" ht="14.25" customHeight="1">
      <c r="A129" s="73"/>
      <c r="B129" s="258"/>
      <c r="C129" s="140"/>
      <c r="D129" s="140"/>
      <c r="E129" s="140"/>
      <c r="F129" s="54"/>
      <c r="G129" s="256"/>
      <c r="H129" s="257"/>
    </row>
    <row r="130" ht="14.25" customHeight="1">
      <c r="A130" s="73"/>
      <c r="B130" s="253"/>
      <c r="C130" s="140"/>
      <c r="D130" s="140"/>
      <c r="E130" s="140"/>
      <c r="F130" s="54"/>
      <c r="G130" s="256"/>
      <c r="H130" s="257"/>
    </row>
    <row r="131" ht="14.25" customHeight="1">
      <c r="A131" s="73"/>
      <c r="B131" s="253"/>
      <c r="C131" s="140"/>
      <c r="D131" s="140"/>
      <c r="E131" s="140"/>
      <c r="F131" s="54"/>
      <c r="G131" s="256"/>
      <c r="H131" s="257"/>
    </row>
    <row r="132" ht="14.25" customHeight="1">
      <c r="A132" s="73"/>
      <c r="B132" s="253"/>
      <c r="C132" s="140"/>
      <c r="D132" s="140"/>
      <c r="E132" s="140"/>
      <c r="F132" s="54"/>
      <c r="G132" s="256"/>
      <c r="H132" s="257"/>
    </row>
    <row r="133" ht="14.25" customHeight="1">
      <c r="A133" s="73"/>
      <c r="B133" s="253"/>
      <c r="C133" s="140"/>
      <c r="D133" s="140"/>
      <c r="E133" s="140"/>
      <c r="F133" s="54"/>
      <c r="G133" s="256"/>
      <c r="H133" s="257"/>
    </row>
    <row r="134" ht="14.25" customHeight="1">
      <c r="A134" s="73"/>
      <c r="B134" s="253"/>
      <c r="C134" s="140"/>
      <c r="D134" s="140"/>
      <c r="E134" s="140"/>
      <c r="F134" s="54"/>
      <c r="G134" s="256"/>
      <c r="H134" s="257"/>
    </row>
    <row r="135" ht="14.25" customHeight="1">
      <c r="A135" s="73"/>
      <c r="B135" s="258"/>
      <c r="C135" s="268"/>
      <c r="D135" s="140"/>
      <c r="E135" s="140"/>
      <c r="F135" s="54"/>
      <c r="G135" s="256"/>
      <c r="H135" s="257"/>
    </row>
    <row r="136" ht="14.25" customHeight="1">
      <c r="A136" s="73"/>
      <c r="B136" s="258"/>
      <c r="C136" s="268"/>
      <c r="D136" s="140"/>
      <c r="E136" s="140"/>
      <c r="F136" s="54"/>
      <c r="G136" s="256"/>
      <c r="H136" s="257"/>
    </row>
    <row r="137" ht="14.25" customHeight="1">
      <c r="A137" s="73"/>
      <c r="B137" s="253"/>
      <c r="C137" s="140"/>
      <c r="D137" s="140"/>
      <c r="E137" s="140"/>
      <c r="F137" s="54"/>
      <c r="G137" s="256"/>
      <c r="H137" s="257"/>
    </row>
    <row r="138" ht="14.25" customHeight="1">
      <c r="A138" s="73"/>
      <c r="B138" s="253"/>
      <c r="C138" s="140"/>
      <c r="D138" s="140"/>
      <c r="E138" s="140"/>
      <c r="F138" s="54"/>
      <c r="G138" s="256"/>
      <c r="H138" s="257"/>
    </row>
    <row r="139" ht="14.25" customHeight="1">
      <c r="A139" s="73"/>
      <c r="B139" s="253"/>
      <c r="C139" s="140"/>
      <c r="D139" s="140"/>
      <c r="E139" s="140"/>
      <c r="F139" s="54"/>
      <c r="G139" s="256"/>
      <c r="H139" s="257"/>
    </row>
    <row r="140" ht="14.25" customHeight="1">
      <c r="A140" s="73"/>
      <c r="B140" s="253"/>
      <c r="C140" s="140"/>
      <c r="D140" s="140"/>
      <c r="E140" s="140"/>
      <c r="F140" s="54"/>
      <c r="G140" s="256"/>
      <c r="H140" s="257"/>
    </row>
    <row r="141" ht="14.25" customHeight="1">
      <c r="A141" s="73"/>
      <c r="B141" s="272" t="s">
        <v>210</v>
      </c>
      <c r="C141" s="2"/>
      <c r="D141" s="2"/>
      <c r="E141" s="2"/>
      <c r="F141" s="2"/>
      <c r="G141" s="3"/>
      <c r="H141" s="274">
        <f>SUM(H124:H140)</f>
        <v>0</v>
      </c>
    </row>
    <row r="142" ht="14.25" customHeight="1">
      <c r="A142" s="73"/>
      <c r="B142" s="275"/>
      <c r="C142" s="73"/>
      <c r="D142" s="73"/>
      <c r="E142" s="73"/>
      <c r="F142" s="72"/>
    </row>
    <row r="143" ht="14.25" customHeight="1">
      <c r="A143" s="73"/>
      <c r="B143" s="275"/>
      <c r="C143" s="73"/>
      <c r="D143" s="73"/>
      <c r="E143" s="73"/>
      <c r="F143" s="72"/>
    </row>
    <row r="144" ht="14.25" customHeight="1">
      <c r="A144" s="73"/>
      <c r="B144" s="275"/>
      <c r="C144" s="73"/>
      <c r="D144" s="73"/>
      <c r="E144" s="73"/>
      <c r="F144" s="72"/>
    </row>
    <row r="145" ht="14.25" customHeight="1">
      <c r="A145" s="73"/>
      <c r="B145" s="278" t="s">
        <v>410</v>
      </c>
      <c r="C145" s="2"/>
      <c r="D145" s="2"/>
      <c r="E145" s="2"/>
      <c r="F145" s="2"/>
      <c r="G145" s="2"/>
      <c r="H145" s="3"/>
      <c r="J145" s="280" t="s">
        <v>411</v>
      </c>
      <c r="K145" s="281"/>
      <c r="L145" s="281"/>
      <c r="M145" s="281"/>
      <c r="N145" s="281"/>
      <c r="O145" s="281"/>
      <c r="P145" s="283"/>
    </row>
    <row r="146" ht="14.25" customHeight="1">
      <c r="A146" s="73"/>
      <c r="B146" s="25" t="s">
        <v>402</v>
      </c>
      <c r="C146" s="25" t="s">
        <v>220</v>
      </c>
      <c r="D146" s="25" t="s">
        <v>413</v>
      </c>
      <c r="E146" s="284" t="s">
        <v>414</v>
      </c>
      <c r="F146" s="101" t="s">
        <v>415</v>
      </c>
      <c r="G146" s="52" t="s">
        <v>416</v>
      </c>
      <c r="H146" s="139" t="s">
        <v>417</v>
      </c>
      <c r="J146" s="285" t="s">
        <v>402</v>
      </c>
      <c r="K146" s="285" t="s">
        <v>220</v>
      </c>
      <c r="L146" s="285" t="s">
        <v>413</v>
      </c>
      <c r="M146" s="285" t="s">
        <v>414</v>
      </c>
      <c r="N146" s="285" t="s">
        <v>415</v>
      </c>
      <c r="O146" s="285" t="s">
        <v>418</v>
      </c>
      <c r="P146" s="285" t="s">
        <v>417</v>
      </c>
    </row>
    <row r="147" ht="14.25" customHeight="1">
      <c r="A147" s="73"/>
      <c r="B147" s="26" t="s">
        <v>419</v>
      </c>
      <c r="C147" s="27" t="s">
        <v>420</v>
      </c>
      <c r="D147" s="26">
        <v>400.0</v>
      </c>
      <c r="E147" s="26">
        <f>D147*7</f>
        <v>2800</v>
      </c>
      <c r="F147" s="27"/>
      <c r="G147" s="26">
        <f>F147+F148+F149</f>
        <v>0</v>
      </c>
      <c r="H147" s="26">
        <f>E147-G147</f>
        <v>2800</v>
      </c>
      <c r="J147" s="291" t="s">
        <v>419</v>
      </c>
      <c r="K147" s="292" t="s">
        <v>421</v>
      </c>
      <c r="L147" s="294">
        <v>400.0</v>
      </c>
      <c r="M147" s="294">
        <v>2800.0</v>
      </c>
      <c r="N147" s="295">
        <v>1500.0</v>
      </c>
      <c r="O147" s="294">
        <v>5960.0</v>
      </c>
      <c r="P147" s="296">
        <v>-3160.0</v>
      </c>
    </row>
    <row r="148" ht="14.25" customHeight="1">
      <c r="A148" s="73"/>
      <c r="B148" s="44"/>
      <c r="C148" s="27" t="s">
        <v>422</v>
      </c>
      <c r="D148" s="44"/>
      <c r="E148" s="44"/>
      <c r="F148" s="27"/>
      <c r="G148" s="44"/>
      <c r="H148" s="44"/>
      <c r="J148" s="297"/>
      <c r="K148" s="292" t="s">
        <v>299</v>
      </c>
      <c r="L148" s="297"/>
      <c r="M148" s="297"/>
      <c r="N148" s="295">
        <v>1668.0</v>
      </c>
      <c r="O148" s="297"/>
      <c r="P148" s="297"/>
    </row>
    <row r="149" ht="14.25" customHeight="1">
      <c r="A149" s="73"/>
      <c r="B149" s="12"/>
      <c r="C149" s="27" t="s">
        <v>424</v>
      </c>
      <c r="D149" s="12"/>
      <c r="E149" s="12"/>
      <c r="F149" s="27"/>
      <c r="G149" s="12"/>
      <c r="H149" s="12"/>
      <c r="J149" s="298"/>
      <c r="K149" s="292" t="s">
        <v>425</v>
      </c>
      <c r="L149" s="298"/>
      <c r="M149" s="298"/>
      <c r="N149" s="295">
        <v>2792.0</v>
      </c>
      <c r="O149" s="298"/>
      <c r="P149" s="298"/>
    </row>
    <row r="150" ht="14.25" customHeight="1">
      <c r="A150" s="73"/>
      <c r="B150" s="26" t="s">
        <v>230</v>
      </c>
      <c r="C150" s="27" t="s">
        <v>426</v>
      </c>
      <c r="D150" s="26">
        <v>550.0</v>
      </c>
      <c r="E150" s="26">
        <f>D150*7</f>
        <v>3850</v>
      </c>
      <c r="F150" s="27"/>
      <c r="G150" s="26">
        <f>F150+F151</f>
        <v>0</v>
      </c>
      <c r="H150" s="26">
        <f>E150-G150</f>
        <v>3850</v>
      </c>
      <c r="J150" s="301" t="s">
        <v>427</v>
      </c>
      <c r="K150" s="302" t="s">
        <v>428</v>
      </c>
      <c r="L150" s="303"/>
      <c r="M150" s="303"/>
      <c r="N150" s="303"/>
      <c r="O150" s="303"/>
      <c r="P150" s="304"/>
    </row>
    <row r="151" ht="14.25" customHeight="1">
      <c r="A151" s="73"/>
      <c r="B151" s="12"/>
      <c r="C151" s="27" t="s">
        <v>424</v>
      </c>
      <c r="D151" s="12"/>
      <c r="E151" s="12"/>
      <c r="F151" s="27"/>
      <c r="G151" s="12"/>
      <c r="H151" s="12"/>
      <c r="J151" s="291" t="s">
        <v>50</v>
      </c>
      <c r="K151" s="292" t="s">
        <v>429</v>
      </c>
      <c r="L151" s="294">
        <v>900.0</v>
      </c>
      <c r="M151" s="294">
        <v>6300.0</v>
      </c>
      <c r="N151" s="295">
        <v>45.0</v>
      </c>
      <c r="O151" s="294">
        <v>2635.0</v>
      </c>
      <c r="P151" s="305">
        <v>3665.0</v>
      </c>
    </row>
    <row r="152" ht="14.25" customHeight="1">
      <c r="A152" s="73"/>
      <c r="B152" s="26" t="s">
        <v>50</v>
      </c>
      <c r="C152" s="27" t="s">
        <v>253</v>
      </c>
      <c r="D152" s="26">
        <v>500.0</v>
      </c>
      <c r="E152" s="26">
        <f>500*7</f>
        <v>3500</v>
      </c>
      <c r="F152" s="27"/>
      <c r="G152" s="26">
        <f>F152+F153+F154</f>
        <v>0</v>
      </c>
      <c r="H152" s="308">
        <f>E152-G152</f>
        <v>3500</v>
      </c>
      <c r="J152" s="297"/>
      <c r="K152" s="292" t="s">
        <v>281</v>
      </c>
      <c r="L152" s="297"/>
      <c r="M152" s="297"/>
      <c r="N152" s="295">
        <v>2440.0</v>
      </c>
      <c r="O152" s="297"/>
      <c r="P152" s="297"/>
    </row>
    <row r="153" ht="54.0" customHeight="1">
      <c r="A153" s="73"/>
      <c r="B153" s="44"/>
      <c r="C153" s="27" t="s">
        <v>432</v>
      </c>
      <c r="D153" s="44"/>
      <c r="E153" s="44"/>
      <c r="F153" s="27"/>
      <c r="G153" s="44"/>
      <c r="H153" s="44"/>
      <c r="J153" s="298"/>
      <c r="K153" s="292" t="s">
        <v>433</v>
      </c>
      <c r="L153" s="298"/>
      <c r="M153" s="298"/>
      <c r="N153" s="295">
        <v>150.0</v>
      </c>
      <c r="O153" s="298"/>
      <c r="P153" s="298"/>
    </row>
    <row r="154" ht="14.25" customHeight="1">
      <c r="A154" s="73"/>
      <c r="B154" s="12"/>
      <c r="C154" s="27" t="s">
        <v>435</v>
      </c>
      <c r="D154" s="12"/>
      <c r="E154" s="12"/>
      <c r="F154" s="27"/>
      <c r="G154" s="12"/>
      <c r="H154" s="12"/>
      <c r="J154" s="301" t="s">
        <v>436</v>
      </c>
      <c r="K154" s="302" t="s">
        <v>421</v>
      </c>
      <c r="L154" s="303"/>
      <c r="M154" s="303"/>
      <c r="N154" s="303">
        <v>1000.0</v>
      </c>
      <c r="O154" s="303">
        <v>1000.0</v>
      </c>
      <c r="P154" s="309">
        <v>-1000.0</v>
      </c>
    </row>
    <row r="155" ht="14.25" customHeight="1">
      <c r="A155" s="73"/>
      <c r="B155" s="27" t="s">
        <v>205</v>
      </c>
      <c r="C155" s="27" t="s">
        <v>438</v>
      </c>
      <c r="D155" s="27">
        <v>400.0</v>
      </c>
      <c r="E155" s="27">
        <f t="shared" ref="E155:E156" si="22">400*7</f>
        <v>2800</v>
      </c>
      <c r="F155" s="27"/>
      <c r="G155" s="27" t="str">
        <f t="shared" ref="G155:G157" si="23">F155</f>
        <v/>
      </c>
      <c r="H155" s="27">
        <f t="shared" ref="H155:H156" si="24">E155-G155</f>
        <v>2800</v>
      </c>
      <c r="J155" s="291" t="s">
        <v>230</v>
      </c>
      <c r="K155" s="292" t="s">
        <v>421</v>
      </c>
      <c r="L155" s="294">
        <v>550.0</v>
      </c>
      <c r="M155" s="294">
        <v>3850.0</v>
      </c>
      <c r="N155" s="295">
        <v>810.0</v>
      </c>
      <c r="O155" s="294">
        <v>4140.0</v>
      </c>
      <c r="P155" s="296">
        <v>-290.0</v>
      </c>
    </row>
    <row r="156" ht="14.25" customHeight="1">
      <c r="A156" s="73"/>
      <c r="B156" s="27" t="s">
        <v>441</v>
      </c>
      <c r="C156" s="27" t="s">
        <v>442</v>
      </c>
      <c r="D156" s="27">
        <v>400.0</v>
      </c>
      <c r="E156" s="27">
        <f t="shared" si="22"/>
        <v>2800</v>
      </c>
      <c r="F156" s="27"/>
      <c r="G156" s="27" t="str">
        <f t="shared" si="23"/>
        <v/>
      </c>
      <c r="H156" s="27">
        <f t="shared" si="24"/>
        <v>2800</v>
      </c>
      <c r="J156" s="298"/>
      <c r="K156" s="292" t="s">
        <v>444</v>
      </c>
      <c r="L156" s="298"/>
      <c r="M156" s="298"/>
      <c r="N156" s="295">
        <v>3330.0</v>
      </c>
      <c r="O156" s="298"/>
      <c r="P156" s="298"/>
    </row>
    <row r="157" ht="14.25" customHeight="1">
      <c r="A157" s="73"/>
      <c r="B157" s="27" t="s">
        <v>449</v>
      </c>
      <c r="C157" s="27" t="s">
        <v>257</v>
      </c>
      <c r="D157" s="27"/>
      <c r="E157" s="28"/>
      <c r="F157" s="27"/>
      <c r="G157" s="27" t="str">
        <f t="shared" si="23"/>
        <v/>
      </c>
      <c r="H157" s="27"/>
      <c r="J157" s="301" t="s">
        <v>441</v>
      </c>
      <c r="K157" s="302" t="s">
        <v>450</v>
      </c>
      <c r="L157" s="303">
        <v>400.0</v>
      </c>
      <c r="M157" s="303">
        <v>2800.0</v>
      </c>
      <c r="N157" s="303">
        <v>1020.0</v>
      </c>
      <c r="O157" s="303">
        <v>1020.0</v>
      </c>
      <c r="P157" s="304">
        <v>1780.0</v>
      </c>
    </row>
    <row r="158" ht="14.25" customHeight="1">
      <c r="A158" s="73"/>
      <c r="B158" s="27"/>
      <c r="C158" s="27" t="s">
        <v>451</v>
      </c>
      <c r="D158" s="27"/>
      <c r="E158" s="28"/>
      <c r="F158" s="27"/>
      <c r="G158" s="27">
        <v>30.0</v>
      </c>
      <c r="H158" s="27"/>
      <c r="J158" s="301" t="s">
        <v>205</v>
      </c>
      <c r="K158" s="292" t="s">
        <v>452</v>
      </c>
      <c r="L158" s="295">
        <v>400.0</v>
      </c>
      <c r="M158" s="295">
        <v>2800.0</v>
      </c>
      <c r="N158" s="295">
        <v>1900.0</v>
      </c>
      <c r="O158" s="295">
        <v>1900.0</v>
      </c>
      <c r="P158" s="304">
        <v>900.0</v>
      </c>
    </row>
    <row r="159" ht="14.25" customHeight="1">
      <c r="A159" s="73"/>
      <c r="B159" s="27"/>
      <c r="C159" s="27" t="s">
        <v>431</v>
      </c>
      <c r="D159" s="27"/>
      <c r="E159" s="28"/>
      <c r="F159" s="27"/>
      <c r="G159" s="27"/>
      <c r="H159" s="27"/>
      <c r="J159" s="301" t="s">
        <v>449</v>
      </c>
      <c r="K159" s="292" t="s">
        <v>454</v>
      </c>
      <c r="L159" s="295"/>
      <c r="M159" s="295"/>
      <c r="N159" s="295">
        <v>74.0</v>
      </c>
      <c r="O159" s="295">
        <v>74.0</v>
      </c>
      <c r="P159" s="309">
        <v>-74.0</v>
      </c>
    </row>
    <row r="160" ht="14.25" customHeight="1">
      <c r="A160" s="73"/>
      <c r="B160" s="27"/>
      <c r="C160" s="27"/>
      <c r="D160" s="27"/>
      <c r="E160" s="28"/>
      <c r="F160" s="85"/>
      <c r="G160" s="85"/>
      <c r="H160" s="85"/>
      <c r="J160" s="314" t="s">
        <v>456</v>
      </c>
      <c r="K160" s="283"/>
      <c r="L160" s="315"/>
      <c r="M160" s="316">
        <v>18550.0</v>
      </c>
      <c r="N160" s="316">
        <v>16729.0</v>
      </c>
      <c r="O160" s="316">
        <v>16729.0</v>
      </c>
      <c r="P160" s="316">
        <v>1821.0</v>
      </c>
    </row>
    <row r="161" ht="14.25" customHeight="1">
      <c r="A161" s="73"/>
      <c r="B161" s="317" t="s">
        <v>456</v>
      </c>
      <c r="C161" s="3"/>
      <c r="D161" s="27"/>
      <c r="E161" s="318">
        <f t="shared" ref="E161:F161" si="25">SUM(E147:E160)</f>
        <v>15750</v>
      </c>
      <c r="F161" s="319">
        <f t="shared" si="25"/>
        <v>0</v>
      </c>
      <c r="G161" s="102">
        <f>SUM(G147:G159)</f>
        <v>30</v>
      </c>
      <c r="H161" s="85"/>
    </row>
    <row r="162" ht="14.25" customHeight="1">
      <c r="A162" s="73"/>
      <c r="B162" s="73"/>
      <c r="C162" s="73"/>
      <c r="D162" s="73"/>
      <c r="E162" s="73"/>
      <c r="F162" s="72"/>
    </row>
    <row r="163" ht="14.25" customHeight="1">
      <c r="A163" s="73"/>
      <c r="B163" s="73"/>
      <c r="C163" s="73"/>
      <c r="D163" s="73"/>
      <c r="E163" s="73"/>
      <c r="F163" s="72"/>
    </row>
    <row r="164" ht="14.25" customHeight="1">
      <c r="A164" s="73"/>
      <c r="B164" s="73"/>
      <c r="C164" s="73"/>
      <c r="D164" s="73"/>
      <c r="E164" s="73"/>
      <c r="F164" s="72"/>
    </row>
    <row r="165" ht="14.25" customHeight="1">
      <c r="A165" s="73"/>
      <c r="B165" s="73"/>
      <c r="C165" s="73"/>
      <c r="D165" s="73"/>
      <c r="E165" s="73"/>
      <c r="F165" s="72"/>
    </row>
    <row r="166" ht="14.25" customHeight="1">
      <c r="A166" s="73"/>
      <c r="B166" s="73"/>
      <c r="C166" s="73"/>
      <c r="D166" s="73"/>
      <c r="E166" s="73"/>
      <c r="F166" s="72"/>
    </row>
    <row r="167" ht="14.25" customHeight="1">
      <c r="A167" s="73"/>
      <c r="B167" s="73"/>
      <c r="C167" s="73"/>
      <c r="D167" s="73"/>
      <c r="E167" s="73"/>
      <c r="F167" s="72"/>
    </row>
    <row r="168" ht="14.25" customHeight="1">
      <c r="A168" s="73"/>
      <c r="B168" s="73"/>
      <c r="C168" s="73"/>
      <c r="D168" s="73"/>
      <c r="E168" s="73"/>
      <c r="F168" s="72"/>
      <c r="K168" s="34">
        <f>SUM(K162:K167)</f>
        <v>0</v>
      </c>
    </row>
    <row r="169" ht="14.25" customHeight="1">
      <c r="A169" s="73"/>
      <c r="B169" s="73"/>
      <c r="C169" s="73"/>
      <c r="D169" s="73"/>
      <c r="E169" s="73"/>
      <c r="F169" s="72"/>
    </row>
    <row r="170" ht="14.25" customHeight="1">
      <c r="A170" s="73"/>
      <c r="B170" s="73"/>
      <c r="C170" s="73"/>
      <c r="D170" s="73"/>
      <c r="E170" s="73"/>
      <c r="F170" s="72"/>
    </row>
    <row r="171" ht="14.25" customHeight="1">
      <c r="A171" s="73"/>
      <c r="B171" s="73"/>
      <c r="C171" s="73"/>
      <c r="D171" s="73"/>
      <c r="E171" s="73"/>
      <c r="F171" s="72"/>
    </row>
    <row r="172" ht="14.25" customHeight="1">
      <c r="A172" s="73"/>
      <c r="B172" s="73"/>
      <c r="C172" s="73"/>
      <c r="D172" s="73"/>
      <c r="E172" s="73"/>
      <c r="F172" s="72"/>
    </row>
    <row r="173" ht="14.25" customHeight="1">
      <c r="A173" s="73"/>
      <c r="B173" s="73"/>
      <c r="C173" s="73"/>
      <c r="D173" s="73"/>
      <c r="E173" s="73"/>
      <c r="F173" s="72"/>
    </row>
    <row r="174" ht="14.25" customHeight="1">
      <c r="A174" s="73"/>
      <c r="B174" s="73"/>
      <c r="C174" s="73"/>
      <c r="D174" s="73"/>
      <c r="E174" s="73"/>
      <c r="F174" s="72"/>
    </row>
    <row r="175" ht="14.25" customHeight="1">
      <c r="A175" s="73"/>
      <c r="B175" s="73"/>
      <c r="C175" s="73"/>
      <c r="D175" s="73"/>
      <c r="E175" s="73"/>
      <c r="F175" s="72"/>
    </row>
    <row r="176" ht="14.25" customHeight="1">
      <c r="A176" s="73"/>
      <c r="B176" s="73"/>
      <c r="C176" s="73"/>
      <c r="D176" s="73"/>
      <c r="E176" s="73"/>
      <c r="F176" s="72"/>
    </row>
    <row r="177" ht="14.25" customHeight="1">
      <c r="A177" s="73"/>
      <c r="B177" s="73"/>
      <c r="C177" s="73"/>
      <c r="D177" s="73"/>
      <c r="E177" s="73"/>
      <c r="F177" s="72"/>
    </row>
    <row r="178" ht="14.25" customHeight="1">
      <c r="A178" s="73"/>
      <c r="B178" s="73"/>
      <c r="C178" s="73"/>
      <c r="D178" s="73"/>
      <c r="E178" s="73"/>
      <c r="F178" s="72"/>
    </row>
    <row r="179" ht="14.25" customHeight="1">
      <c r="A179" s="73"/>
      <c r="B179" s="73"/>
      <c r="C179" s="73"/>
      <c r="D179" s="73"/>
      <c r="E179" s="73"/>
      <c r="F179" s="72"/>
    </row>
    <row r="180" ht="14.25" customHeight="1">
      <c r="A180" s="73"/>
      <c r="B180" s="73"/>
      <c r="C180" s="73"/>
      <c r="D180" s="73"/>
      <c r="E180" s="73"/>
      <c r="F180" s="72"/>
    </row>
    <row r="181" ht="14.25" customHeight="1">
      <c r="A181" s="73"/>
      <c r="B181" s="73"/>
      <c r="C181" s="73"/>
      <c r="D181" s="73"/>
      <c r="E181" s="73"/>
      <c r="F181" s="72"/>
    </row>
    <row r="182" ht="14.25" customHeight="1">
      <c r="A182" s="73"/>
      <c r="B182" s="73"/>
      <c r="C182" s="73"/>
      <c r="D182" s="73"/>
      <c r="E182" s="73"/>
      <c r="F182" s="72"/>
    </row>
    <row r="183" ht="14.25" customHeight="1">
      <c r="A183" s="73"/>
      <c r="B183" s="73"/>
      <c r="C183" s="73"/>
      <c r="D183" s="73"/>
      <c r="E183" s="73"/>
      <c r="F183" s="72"/>
    </row>
    <row r="184" ht="14.25" customHeight="1">
      <c r="A184" s="73"/>
      <c r="B184" s="73"/>
      <c r="C184" s="73"/>
      <c r="D184" s="73"/>
      <c r="E184" s="73"/>
      <c r="F184" s="72"/>
    </row>
    <row r="185" ht="14.25" customHeight="1">
      <c r="A185" s="73"/>
      <c r="B185" s="321" t="s">
        <v>477</v>
      </c>
      <c r="C185" s="322"/>
      <c r="D185" s="322"/>
      <c r="E185" s="322"/>
      <c r="F185" s="322"/>
      <c r="G185" s="323"/>
    </row>
    <row r="186" ht="14.25" customHeight="1">
      <c r="A186" s="73"/>
      <c r="B186" s="324"/>
      <c r="C186" s="325"/>
      <c r="D186" s="325"/>
      <c r="E186" s="325"/>
      <c r="F186" s="325"/>
      <c r="G186" s="326"/>
    </row>
    <row r="187" ht="14.25" customHeight="1">
      <c r="A187" s="73"/>
      <c r="B187" s="327" t="s">
        <v>479</v>
      </c>
      <c r="C187" s="78"/>
      <c r="D187" s="78"/>
      <c r="E187" s="78"/>
      <c r="F187" s="78"/>
      <c r="G187" s="79"/>
    </row>
    <row r="188" ht="14.25" customHeight="1">
      <c r="A188" s="73"/>
      <c r="B188" s="4" t="s">
        <v>2</v>
      </c>
      <c r="C188" s="5"/>
      <c r="D188" s="6" t="s">
        <v>3</v>
      </c>
      <c r="E188" s="6" t="s">
        <v>4</v>
      </c>
      <c r="F188" s="6" t="s">
        <v>5</v>
      </c>
      <c r="G188" s="328" t="s">
        <v>6</v>
      </c>
    </row>
    <row r="189" ht="14.25" customHeight="1">
      <c r="A189" s="73"/>
      <c r="B189" s="10"/>
      <c r="C189" s="11"/>
      <c r="D189" s="12"/>
      <c r="E189" s="12"/>
      <c r="F189" s="12"/>
      <c r="G189" s="88"/>
    </row>
    <row r="190" ht="14.25" customHeight="1">
      <c r="A190" s="73"/>
      <c r="B190" s="329">
        <v>1.0</v>
      </c>
      <c r="C190" s="15" t="s">
        <v>13</v>
      </c>
      <c r="D190" s="15" t="s">
        <v>14</v>
      </c>
      <c r="E190" s="16" t="s">
        <v>15</v>
      </c>
      <c r="F190" s="16" t="s">
        <v>16</v>
      </c>
      <c r="G190" s="330">
        <v>1200.0</v>
      </c>
    </row>
    <row r="191" ht="14.25" customHeight="1">
      <c r="A191" s="73"/>
      <c r="B191" s="329">
        <v>2.0</v>
      </c>
      <c r="C191" s="12"/>
      <c r="D191" s="12"/>
      <c r="E191" s="16" t="s">
        <v>17</v>
      </c>
      <c r="F191" s="16"/>
      <c r="G191" s="330">
        <v>500.0</v>
      </c>
    </row>
    <row r="192" ht="14.25" customHeight="1">
      <c r="A192" s="73"/>
      <c r="B192" s="52">
        <v>3.0</v>
      </c>
      <c r="C192" s="307" t="s">
        <v>18</v>
      </c>
      <c r="D192" s="307" t="s">
        <v>19</v>
      </c>
      <c r="E192" s="140" t="s">
        <v>20</v>
      </c>
      <c r="F192" s="140" t="s">
        <v>21</v>
      </c>
      <c r="G192" s="331">
        <v>2500.0</v>
      </c>
    </row>
    <row r="193" ht="14.25" customHeight="1">
      <c r="A193" s="73"/>
      <c r="B193" s="52">
        <v>4.0</v>
      </c>
      <c r="C193" s="12"/>
      <c r="D193" s="12"/>
      <c r="E193" s="140" t="s">
        <v>17</v>
      </c>
      <c r="F193" s="140"/>
      <c r="G193" s="331">
        <v>500.0</v>
      </c>
    </row>
    <row r="194" ht="14.25" customHeight="1">
      <c r="A194" s="73"/>
      <c r="B194" s="52">
        <v>5.0</v>
      </c>
      <c r="C194" s="140" t="s">
        <v>30</v>
      </c>
      <c r="D194" s="140" t="s">
        <v>19</v>
      </c>
      <c r="E194" s="140" t="s">
        <v>31</v>
      </c>
      <c r="F194" s="140" t="s">
        <v>32</v>
      </c>
      <c r="G194" s="331">
        <v>1500.0</v>
      </c>
      <c r="T194" s="20"/>
    </row>
    <row r="195" ht="14.25" customHeight="1">
      <c r="A195" s="73"/>
      <c r="B195" s="329">
        <v>6.0</v>
      </c>
      <c r="C195" s="140" t="s">
        <v>35</v>
      </c>
      <c r="D195" s="140" t="s">
        <v>19</v>
      </c>
      <c r="E195" s="140" t="s">
        <v>31</v>
      </c>
      <c r="F195" s="140" t="s">
        <v>36</v>
      </c>
      <c r="G195" s="331">
        <v>1500.0</v>
      </c>
    </row>
    <row r="196" ht="14.25" customHeight="1">
      <c r="A196" s="73"/>
      <c r="B196" s="329">
        <v>7.0</v>
      </c>
      <c r="C196" s="140" t="s">
        <v>39</v>
      </c>
      <c r="D196" s="140" t="s">
        <v>19</v>
      </c>
      <c r="E196" s="140"/>
      <c r="F196" s="140"/>
      <c r="G196" s="331">
        <v>1500.0</v>
      </c>
    </row>
    <row r="197" ht="14.25" customHeight="1">
      <c r="A197" s="73"/>
      <c r="B197" s="52">
        <v>8.0</v>
      </c>
      <c r="C197" s="16" t="s">
        <v>41</v>
      </c>
      <c r="D197" s="16" t="s">
        <v>42</v>
      </c>
      <c r="E197" s="16" t="s">
        <v>43</v>
      </c>
      <c r="F197" s="16" t="s">
        <v>44</v>
      </c>
      <c r="G197" s="330">
        <v>700.0</v>
      </c>
    </row>
    <row r="198" ht="14.25" customHeight="1">
      <c r="A198" s="73"/>
      <c r="B198" s="52">
        <v>9.0</v>
      </c>
      <c r="C198" s="16" t="s">
        <v>45</v>
      </c>
      <c r="D198" s="16" t="s">
        <v>46</v>
      </c>
      <c r="E198" s="16" t="s">
        <v>47</v>
      </c>
      <c r="F198" s="16" t="s">
        <v>48</v>
      </c>
      <c r="G198" s="330">
        <v>1500.0</v>
      </c>
    </row>
    <row r="199" ht="14.25" customHeight="1">
      <c r="A199" s="73"/>
      <c r="B199" s="52">
        <v>10.0</v>
      </c>
      <c r="C199" s="307" t="s">
        <v>50</v>
      </c>
      <c r="D199" s="140" t="s">
        <v>51</v>
      </c>
      <c r="E199" s="140" t="s">
        <v>52</v>
      </c>
      <c r="F199" s="140" t="s">
        <v>53</v>
      </c>
      <c r="G199" s="331">
        <v>1500.0</v>
      </c>
    </row>
    <row r="200" ht="14.25" customHeight="1">
      <c r="A200" s="73"/>
      <c r="B200" s="329">
        <v>11.0</v>
      </c>
      <c r="C200" s="12"/>
      <c r="D200" s="140" t="s">
        <v>54</v>
      </c>
      <c r="E200" s="140" t="s">
        <v>17</v>
      </c>
      <c r="F200" s="140"/>
      <c r="G200" s="54">
        <v>500.0</v>
      </c>
    </row>
    <row r="201" ht="14.25" customHeight="1">
      <c r="A201" s="73"/>
      <c r="B201" s="329">
        <v>12.0</v>
      </c>
      <c r="C201" s="140" t="s">
        <v>57</v>
      </c>
      <c r="D201" s="140" t="s">
        <v>51</v>
      </c>
      <c r="E201" s="140" t="s">
        <v>58</v>
      </c>
      <c r="F201" s="140" t="s">
        <v>59</v>
      </c>
      <c r="G201" s="54">
        <v>1500.0</v>
      </c>
    </row>
    <row r="202" ht="14.25" customHeight="1">
      <c r="A202" s="73"/>
      <c r="B202" s="52">
        <v>13.0</v>
      </c>
      <c r="C202" s="15" t="s">
        <v>61</v>
      </c>
      <c r="D202" s="16" t="s">
        <v>63</v>
      </c>
      <c r="E202" s="16" t="s">
        <v>65</v>
      </c>
      <c r="F202" s="16" t="s">
        <v>66</v>
      </c>
      <c r="G202" s="17">
        <v>2500.0</v>
      </c>
    </row>
    <row r="203" ht="14.25" customHeight="1">
      <c r="A203" s="73"/>
      <c r="B203" s="52">
        <v>14.0</v>
      </c>
      <c r="C203" s="44"/>
      <c r="D203" s="16" t="s">
        <v>63</v>
      </c>
      <c r="E203" s="16" t="s">
        <v>17</v>
      </c>
      <c r="F203" s="16"/>
      <c r="G203" s="17">
        <v>300.0</v>
      </c>
    </row>
    <row r="204" ht="14.25" customHeight="1">
      <c r="A204" s="73"/>
      <c r="B204" s="52">
        <v>15.0</v>
      </c>
      <c r="C204" s="12"/>
      <c r="D204" s="16" t="s">
        <v>63</v>
      </c>
      <c r="E204" s="16" t="s">
        <v>480</v>
      </c>
      <c r="F204" s="16" t="s">
        <v>481</v>
      </c>
      <c r="G204" s="17">
        <v>1500.0</v>
      </c>
    </row>
    <row r="205" ht="14.25" customHeight="1">
      <c r="A205" s="73"/>
      <c r="B205" s="329">
        <v>16.0</v>
      </c>
      <c r="C205" s="16" t="s">
        <v>68</v>
      </c>
      <c r="D205" s="332" t="s">
        <v>63</v>
      </c>
      <c r="E205" s="332" t="s">
        <v>69</v>
      </c>
      <c r="F205" s="332" t="s">
        <v>70</v>
      </c>
      <c r="G205" s="333" t="s">
        <v>482</v>
      </c>
    </row>
    <row r="206" ht="14.25" customHeight="1">
      <c r="A206" s="73"/>
      <c r="B206" s="329">
        <v>17.0</v>
      </c>
      <c r="C206" s="16" t="s">
        <v>71</v>
      </c>
      <c r="D206" s="16" t="s">
        <v>63</v>
      </c>
      <c r="E206" s="16" t="s">
        <v>58</v>
      </c>
      <c r="F206" s="16" t="s">
        <v>72</v>
      </c>
      <c r="G206" s="17">
        <v>4000.0</v>
      </c>
    </row>
    <row r="207" ht="14.25" customHeight="1">
      <c r="A207" s="73"/>
      <c r="B207" s="52">
        <v>18.0</v>
      </c>
      <c r="C207" s="307" t="s">
        <v>74</v>
      </c>
      <c r="D207" s="307" t="s">
        <v>75</v>
      </c>
      <c r="E207" s="140" t="s">
        <v>65</v>
      </c>
      <c r="F207" s="140" t="s">
        <v>76</v>
      </c>
      <c r="G207" s="54">
        <v>2500.0</v>
      </c>
    </row>
    <row r="208" ht="14.25" customHeight="1">
      <c r="A208" s="73"/>
      <c r="B208" s="52">
        <v>19.0</v>
      </c>
      <c r="C208" s="44"/>
      <c r="D208" s="44"/>
      <c r="E208" s="140" t="s">
        <v>77</v>
      </c>
      <c r="F208" s="140"/>
      <c r="G208" s="184">
        <v>1000.0</v>
      </c>
    </row>
    <row r="209" ht="14.25" customHeight="1">
      <c r="A209" s="73"/>
      <c r="B209" s="52">
        <v>20.0</v>
      </c>
      <c r="C209" s="44"/>
      <c r="D209" s="44"/>
      <c r="E209" s="140" t="s">
        <v>78</v>
      </c>
      <c r="F209" s="140"/>
      <c r="G209" s="184"/>
    </row>
    <row r="210" ht="14.25" customHeight="1">
      <c r="A210" s="73"/>
      <c r="B210" s="329">
        <v>21.0</v>
      </c>
      <c r="C210" s="12"/>
      <c r="D210" s="12"/>
      <c r="E210" s="140" t="s">
        <v>81</v>
      </c>
      <c r="F210" s="140"/>
      <c r="G210" s="184"/>
    </row>
    <row r="211" ht="14.25" customHeight="1">
      <c r="A211" s="73"/>
      <c r="B211" s="329">
        <v>22.0</v>
      </c>
      <c r="C211" s="140" t="s">
        <v>82</v>
      </c>
      <c r="D211" s="140" t="s">
        <v>75</v>
      </c>
      <c r="E211" s="140" t="s">
        <v>65</v>
      </c>
      <c r="F211" s="140" t="s">
        <v>83</v>
      </c>
      <c r="G211" s="54">
        <v>1500.0</v>
      </c>
    </row>
    <row r="212" ht="14.25" customHeight="1">
      <c r="A212" s="73"/>
      <c r="B212" s="52">
        <v>23.0</v>
      </c>
      <c r="C212" s="140" t="s">
        <v>89</v>
      </c>
      <c r="D212" s="140" t="s">
        <v>75</v>
      </c>
      <c r="E212" s="140" t="s">
        <v>58</v>
      </c>
      <c r="F212" s="140" t="s">
        <v>90</v>
      </c>
      <c r="G212" s="54">
        <v>3000.0</v>
      </c>
    </row>
    <row r="213" ht="14.25" customHeight="1">
      <c r="A213" s="73"/>
      <c r="B213" s="52">
        <v>24.0</v>
      </c>
      <c r="C213" s="140" t="s">
        <v>93</v>
      </c>
      <c r="D213" s="140" t="s">
        <v>75</v>
      </c>
      <c r="E213" s="140" t="s">
        <v>69</v>
      </c>
      <c r="F213" s="140" t="s">
        <v>94</v>
      </c>
      <c r="G213" s="54">
        <v>2500.0</v>
      </c>
    </row>
    <row r="214" ht="14.25" customHeight="1">
      <c r="A214" s="73"/>
      <c r="B214" s="52">
        <v>25.0</v>
      </c>
      <c r="C214" s="16" t="s">
        <v>96</v>
      </c>
      <c r="D214" s="15" t="s">
        <v>98</v>
      </c>
      <c r="E214" s="16" t="s">
        <v>99</v>
      </c>
      <c r="F214" s="16" t="s">
        <v>100</v>
      </c>
      <c r="G214" s="17">
        <v>2500.0</v>
      </c>
    </row>
    <row r="215" ht="14.25" customHeight="1">
      <c r="A215" s="73"/>
      <c r="B215" s="329">
        <v>26.0</v>
      </c>
      <c r="C215" s="16" t="s">
        <v>102</v>
      </c>
      <c r="D215" s="12"/>
      <c r="E215" s="16" t="s">
        <v>17</v>
      </c>
      <c r="F215" s="16"/>
      <c r="G215" s="17">
        <v>1000.0</v>
      </c>
    </row>
    <row r="216" ht="14.25" customHeight="1">
      <c r="A216" s="73"/>
      <c r="B216" s="329">
        <v>27.0</v>
      </c>
      <c r="C216" s="140" t="s">
        <v>104</v>
      </c>
      <c r="D216" s="140" t="s">
        <v>105</v>
      </c>
      <c r="E216" s="140" t="s">
        <v>20</v>
      </c>
      <c r="F216" s="140" t="s">
        <v>106</v>
      </c>
      <c r="G216" s="54">
        <v>2500.0</v>
      </c>
    </row>
    <row r="217" ht="14.25" customHeight="1">
      <c r="A217" s="73"/>
      <c r="B217" s="52">
        <v>28.0</v>
      </c>
      <c r="C217" s="307" t="s">
        <v>107</v>
      </c>
      <c r="D217" s="307" t="s">
        <v>105</v>
      </c>
      <c r="E217" s="140" t="s">
        <v>109</v>
      </c>
      <c r="F217" s="140" t="s">
        <v>110</v>
      </c>
      <c r="G217" s="54">
        <v>1000.0</v>
      </c>
    </row>
    <row r="218" ht="14.25" customHeight="1">
      <c r="A218" s="73"/>
      <c r="B218" s="52">
        <v>29.0</v>
      </c>
      <c r="C218" s="44"/>
      <c r="D218" s="44"/>
      <c r="E218" s="140" t="s">
        <v>111</v>
      </c>
      <c r="F218" s="140"/>
      <c r="G218" s="54">
        <v>500.0</v>
      </c>
    </row>
    <row r="219" ht="14.25" customHeight="1">
      <c r="A219" s="73"/>
      <c r="B219" s="52">
        <v>30.0</v>
      </c>
      <c r="C219" s="12"/>
      <c r="D219" s="12"/>
      <c r="E219" s="140" t="s">
        <v>111</v>
      </c>
      <c r="F219" s="140"/>
      <c r="G219" s="54">
        <v>500.0</v>
      </c>
    </row>
    <row r="220" ht="14.25" customHeight="1">
      <c r="A220" s="73"/>
      <c r="B220" s="329">
        <v>31.0</v>
      </c>
      <c r="C220" s="307" t="s">
        <v>114</v>
      </c>
      <c r="D220" s="140"/>
      <c r="E220" s="140"/>
      <c r="F220" s="140" t="s">
        <v>115</v>
      </c>
      <c r="G220" s="54">
        <v>800.0</v>
      </c>
    </row>
    <row r="221" ht="14.25" customHeight="1">
      <c r="A221" s="73"/>
      <c r="B221" s="329">
        <v>32.0</v>
      </c>
      <c r="C221" s="12"/>
      <c r="D221" s="140"/>
      <c r="E221" s="140" t="s">
        <v>17</v>
      </c>
      <c r="F221" s="140"/>
      <c r="G221" s="54">
        <v>500.0</v>
      </c>
    </row>
    <row r="222" ht="14.25" customHeight="1">
      <c r="A222" s="73"/>
      <c r="B222" s="52">
        <v>33.0</v>
      </c>
      <c r="C222" s="140" t="s">
        <v>135</v>
      </c>
      <c r="D222" s="140" t="s">
        <v>136</v>
      </c>
      <c r="E222" s="140"/>
      <c r="F222" s="140" t="s">
        <v>137</v>
      </c>
      <c r="G222" s="54">
        <v>1500.0</v>
      </c>
    </row>
    <row r="223" ht="14.25" customHeight="1">
      <c r="A223" s="73"/>
      <c r="B223" s="52">
        <v>34.0</v>
      </c>
      <c r="C223" s="140" t="s">
        <v>142</v>
      </c>
      <c r="D223" s="140" t="s">
        <v>143</v>
      </c>
      <c r="E223" s="140" t="s">
        <v>20</v>
      </c>
      <c r="F223" s="140" t="s">
        <v>144</v>
      </c>
      <c r="G223" s="54">
        <v>1500.0</v>
      </c>
    </row>
    <row r="224" ht="14.25" customHeight="1">
      <c r="A224" s="73"/>
      <c r="B224" s="52">
        <v>35.0</v>
      </c>
      <c r="C224" s="140" t="s">
        <v>145</v>
      </c>
      <c r="D224" s="140" t="s">
        <v>146</v>
      </c>
      <c r="E224" s="140" t="s">
        <v>43</v>
      </c>
      <c r="F224" s="140" t="s">
        <v>486</v>
      </c>
      <c r="G224" s="54">
        <v>700.0</v>
      </c>
    </row>
    <row r="225" ht="14.25" customHeight="1">
      <c r="A225" s="73"/>
      <c r="B225" s="329">
        <v>36.0</v>
      </c>
      <c r="C225" s="140" t="s">
        <v>118</v>
      </c>
      <c r="D225" s="140"/>
      <c r="E225" s="140" t="s">
        <v>119</v>
      </c>
      <c r="F225" s="140" t="s">
        <v>120</v>
      </c>
      <c r="G225" s="54">
        <v>3000.0</v>
      </c>
    </row>
    <row r="226" ht="14.25" customHeight="1">
      <c r="A226" s="73"/>
      <c r="B226" s="329">
        <v>37.0</v>
      </c>
      <c r="C226" s="140" t="s">
        <v>155</v>
      </c>
      <c r="D226" s="140"/>
      <c r="E226" s="140" t="s">
        <v>20</v>
      </c>
      <c r="F226" s="140" t="s">
        <v>156</v>
      </c>
      <c r="G226" s="54">
        <v>1500.0</v>
      </c>
    </row>
    <row r="227" ht="14.25" customHeight="1">
      <c r="A227" s="73"/>
      <c r="B227" s="329">
        <v>38.0</v>
      </c>
      <c r="C227" s="337" t="s">
        <v>487</v>
      </c>
      <c r="D227" s="337" t="s">
        <v>488</v>
      </c>
      <c r="E227" s="337" t="s">
        <v>15</v>
      </c>
      <c r="F227" s="337" t="s">
        <v>33</v>
      </c>
      <c r="G227" s="338">
        <v>800.0</v>
      </c>
    </row>
    <row r="228" ht="14.25" customHeight="1">
      <c r="A228" s="73"/>
      <c r="B228" s="339" t="s">
        <v>122</v>
      </c>
      <c r="C228" s="2"/>
      <c r="D228" s="2"/>
      <c r="E228" s="2"/>
      <c r="F228" s="3"/>
      <c r="G228" s="340">
        <f>SUM(G190:G227)</f>
        <v>52000</v>
      </c>
    </row>
    <row r="229" ht="14.25" customHeight="1">
      <c r="A229" s="73"/>
      <c r="B229" s="341" t="s">
        <v>490</v>
      </c>
      <c r="C229" s="2"/>
      <c r="D229" s="2"/>
      <c r="E229" s="2"/>
      <c r="F229" s="2"/>
      <c r="G229" s="3"/>
    </row>
    <row r="230" ht="14.25" customHeight="1">
      <c r="A230" s="73"/>
      <c r="B230" s="4" t="s">
        <v>2</v>
      </c>
      <c r="C230" s="5"/>
      <c r="D230" s="6" t="s">
        <v>3</v>
      </c>
      <c r="E230" s="6" t="s">
        <v>4</v>
      </c>
      <c r="F230" s="6" t="s">
        <v>5</v>
      </c>
      <c r="G230" s="7" t="s">
        <v>134</v>
      </c>
    </row>
    <row r="231" ht="14.25" customHeight="1">
      <c r="A231" s="73"/>
      <c r="B231" s="10"/>
      <c r="C231" s="11"/>
      <c r="D231" s="12"/>
      <c r="E231" s="12"/>
      <c r="F231" s="12"/>
      <c r="G231" s="12"/>
    </row>
    <row r="232" ht="14.25" customHeight="1">
      <c r="A232" s="73"/>
      <c r="B232" s="52">
        <v>1.0</v>
      </c>
      <c r="C232" s="140" t="s">
        <v>138</v>
      </c>
      <c r="D232" s="140" t="s">
        <v>139</v>
      </c>
      <c r="E232" s="140" t="s">
        <v>140</v>
      </c>
      <c r="F232" s="140" t="s">
        <v>141</v>
      </c>
      <c r="G232" s="54">
        <v>2500.0</v>
      </c>
    </row>
    <row r="233" ht="14.25" customHeight="1">
      <c r="A233" s="73"/>
      <c r="B233" s="52">
        <v>2.0</v>
      </c>
      <c r="C233" s="140" t="s">
        <v>147</v>
      </c>
      <c r="D233" s="140" t="s">
        <v>139</v>
      </c>
      <c r="E233" s="140" t="s">
        <v>119</v>
      </c>
      <c r="F233" s="140" t="s">
        <v>148</v>
      </c>
      <c r="G233" s="54">
        <v>1500.0</v>
      </c>
    </row>
    <row r="234" ht="14.25" customHeight="1">
      <c r="A234" s="73"/>
      <c r="B234" s="343">
        <v>3.0</v>
      </c>
      <c r="C234" s="307" t="s">
        <v>157</v>
      </c>
      <c r="D234" s="307" t="s">
        <v>139</v>
      </c>
      <c r="E234" s="140" t="s">
        <v>158</v>
      </c>
      <c r="F234" s="140" t="s">
        <v>16</v>
      </c>
      <c r="G234" s="54">
        <v>2000.0</v>
      </c>
    </row>
    <row r="235" ht="14.25" customHeight="1">
      <c r="A235" s="73"/>
      <c r="B235" s="12"/>
      <c r="C235" s="12"/>
      <c r="D235" s="12"/>
      <c r="E235" s="140" t="s">
        <v>17</v>
      </c>
      <c r="F235" s="140"/>
      <c r="G235" s="54"/>
    </row>
    <row r="236" ht="14.25" customHeight="1">
      <c r="A236" s="73"/>
      <c r="B236" s="52">
        <v>4.0</v>
      </c>
      <c r="C236" s="140" t="s">
        <v>165</v>
      </c>
      <c r="D236" s="140" t="s">
        <v>166</v>
      </c>
      <c r="E236" s="140" t="s">
        <v>119</v>
      </c>
      <c r="F236" s="140" t="s">
        <v>167</v>
      </c>
      <c r="G236" s="54">
        <v>1500.0</v>
      </c>
    </row>
    <row r="237" ht="14.25" customHeight="1">
      <c r="A237" s="73"/>
      <c r="B237" s="52">
        <v>5.0</v>
      </c>
      <c r="C237" s="140" t="s">
        <v>168</v>
      </c>
      <c r="D237" s="140" t="s">
        <v>166</v>
      </c>
      <c r="E237" s="140" t="s">
        <v>119</v>
      </c>
      <c r="F237" s="140" t="s">
        <v>169</v>
      </c>
      <c r="G237" s="54">
        <v>1500.0</v>
      </c>
    </row>
    <row r="238" ht="14.25" customHeight="1">
      <c r="A238" s="73"/>
      <c r="B238" s="52">
        <v>6.0</v>
      </c>
      <c r="C238" s="140" t="s">
        <v>170</v>
      </c>
      <c r="D238" s="140" t="s">
        <v>171</v>
      </c>
      <c r="E238" s="140" t="s">
        <v>158</v>
      </c>
      <c r="F238" s="140" t="s">
        <v>172</v>
      </c>
      <c r="G238" s="54">
        <v>2000.0</v>
      </c>
    </row>
    <row r="239" ht="14.25" customHeight="1">
      <c r="A239" s="73"/>
      <c r="B239" s="339" t="s">
        <v>122</v>
      </c>
      <c r="C239" s="2"/>
      <c r="D239" s="2"/>
      <c r="E239" s="2"/>
      <c r="F239" s="3"/>
      <c r="G239" s="236">
        <f>SUM(G232:G238)</f>
        <v>11000</v>
      </c>
    </row>
    <row r="240" ht="14.25" customHeight="1">
      <c r="A240" s="73"/>
      <c r="B240" s="73"/>
      <c r="C240" s="73"/>
      <c r="D240" s="73"/>
      <c r="E240" s="73"/>
      <c r="F240" s="72"/>
    </row>
    <row r="241" ht="14.25" customHeight="1">
      <c r="A241" s="73"/>
      <c r="B241" s="73"/>
      <c r="C241" s="73"/>
      <c r="D241" s="73"/>
      <c r="E241" s="73"/>
      <c r="F241" s="72"/>
    </row>
    <row r="242" ht="14.25" customHeight="1">
      <c r="A242" s="73"/>
      <c r="B242" s="73"/>
      <c r="C242" s="73"/>
      <c r="D242" s="73"/>
      <c r="E242" s="73"/>
      <c r="F242" s="72"/>
    </row>
    <row r="243" ht="14.25" customHeight="1">
      <c r="A243" s="73"/>
      <c r="B243" s="73"/>
      <c r="C243" s="73"/>
      <c r="D243" s="73"/>
      <c r="E243" s="73"/>
      <c r="F243" s="72"/>
    </row>
    <row r="244" ht="14.25" customHeight="1">
      <c r="A244" s="73"/>
      <c r="B244" s="73"/>
      <c r="C244" s="73"/>
      <c r="D244" s="73"/>
      <c r="E244" s="73"/>
      <c r="F244" s="72"/>
    </row>
    <row r="245" ht="14.25" customHeight="1">
      <c r="A245" s="73"/>
      <c r="B245" s="73"/>
      <c r="C245" s="73"/>
      <c r="D245" s="73"/>
      <c r="E245" s="73"/>
      <c r="F245" s="72"/>
    </row>
    <row r="246" ht="14.25" customHeight="1">
      <c r="A246" s="73"/>
      <c r="B246" s="73"/>
      <c r="C246" s="73"/>
      <c r="D246" s="73"/>
      <c r="E246" s="73"/>
      <c r="F246" s="72"/>
    </row>
    <row r="247" ht="14.25" customHeight="1">
      <c r="A247" s="73"/>
      <c r="B247" s="73"/>
      <c r="C247" s="73"/>
      <c r="D247" s="73"/>
      <c r="E247" s="73"/>
      <c r="F247" s="72"/>
    </row>
    <row r="248" ht="14.25" customHeight="1">
      <c r="A248" s="73"/>
      <c r="B248" s="73"/>
      <c r="C248" s="73"/>
      <c r="D248" s="73"/>
      <c r="E248" s="73"/>
      <c r="F248" s="72"/>
    </row>
    <row r="249" ht="14.25" customHeight="1">
      <c r="A249" s="73"/>
      <c r="B249" s="73"/>
      <c r="C249" s="73"/>
      <c r="D249" s="73"/>
      <c r="E249" s="73"/>
      <c r="F249" s="72"/>
    </row>
    <row r="250" ht="14.25" customHeight="1">
      <c r="A250" s="73"/>
      <c r="B250" s="73"/>
      <c r="C250" s="73"/>
      <c r="D250" s="73"/>
      <c r="E250" s="73"/>
      <c r="F250" s="72"/>
    </row>
    <row r="251" ht="14.25" customHeight="1">
      <c r="A251" s="73"/>
      <c r="B251" s="73"/>
      <c r="C251" s="73"/>
      <c r="D251" s="73"/>
      <c r="E251" s="73"/>
      <c r="F251" s="72"/>
    </row>
    <row r="252" ht="14.25" customHeight="1">
      <c r="A252" s="73"/>
      <c r="B252" s="73"/>
      <c r="C252" s="73"/>
      <c r="D252" s="73"/>
      <c r="E252" s="73"/>
      <c r="F252" s="72"/>
    </row>
    <row r="253" ht="14.25" customHeight="1">
      <c r="A253" s="73"/>
      <c r="B253" s="73"/>
      <c r="C253" s="73"/>
      <c r="D253" s="73"/>
      <c r="E253" s="73"/>
      <c r="F253" s="72"/>
    </row>
    <row r="254" ht="14.25" customHeight="1">
      <c r="A254" s="73"/>
      <c r="B254" s="73"/>
      <c r="C254" s="73"/>
      <c r="D254" s="73"/>
      <c r="E254" s="73"/>
      <c r="F254" s="72"/>
    </row>
    <row r="255" ht="14.25" customHeight="1">
      <c r="A255" s="73"/>
      <c r="B255" s="73"/>
      <c r="C255" s="73"/>
      <c r="D255" s="73"/>
      <c r="E255" s="73"/>
      <c r="F255" s="72"/>
    </row>
    <row r="256" ht="14.25" customHeight="1">
      <c r="A256" s="73"/>
      <c r="B256" s="73"/>
      <c r="C256" s="73"/>
      <c r="D256" s="73"/>
      <c r="E256" s="73"/>
      <c r="F256" s="72"/>
    </row>
    <row r="257" ht="14.25" customHeight="1">
      <c r="A257" s="73"/>
      <c r="B257" s="73"/>
      <c r="C257" s="73"/>
      <c r="D257" s="73"/>
      <c r="E257" s="73"/>
      <c r="F257" s="72"/>
    </row>
    <row r="258" ht="14.25" customHeight="1">
      <c r="A258" s="73"/>
      <c r="B258" s="73"/>
      <c r="C258" s="73"/>
      <c r="D258" s="73"/>
      <c r="E258" s="73"/>
      <c r="F258" s="72"/>
    </row>
    <row r="259" ht="14.25" customHeight="1">
      <c r="A259" s="73"/>
      <c r="B259" s="73"/>
      <c r="C259" s="73"/>
      <c r="D259" s="73"/>
      <c r="E259" s="73"/>
      <c r="F259" s="72"/>
    </row>
    <row r="260" ht="14.25" customHeight="1">
      <c r="A260" s="73"/>
      <c r="B260" s="73"/>
      <c r="C260" s="73"/>
      <c r="D260" s="73"/>
      <c r="E260" s="73"/>
      <c r="F260" s="72"/>
    </row>
    <row r="261" ht="14.25" customHeight="1">
      <c r="A261" s="73"/>
      <c r="B261" s="73"/>
      <c r="C261" s="73"/>
      <c r="D261" s="73"/>
      <c r="E261" s="73"/>
      <c r="F261" s="72"/>
    </row>
    <row r="262" ht="14.25" customHeight="1">
      <c r="A262" s="73"/>
      <c r="B262" s="73"/>
      <c r="C262" s="73"/>
      <c r="D262" s="73"/>
      <c r="E262" s="73"/>
      <c r="F262" s="72"/>
    </row>
    <row r="263" ht="14.25" customHeight="1">
      <c r="A263" s="73"/>
      <c r="B263" s="73"/>
      <c r="C263" s="73"/>
      <c r="D263" s="73"/>
      <c r="E263" s="73"/>
      <c r="F263" s="72"/>
    </row>
    <row r="264" ht="14.25" customHeight="1">
      <c r="A264" s="73"/>
      <c r="B264" s="73"/>
      <c r="C264" s="73"/>
      <c r="D264" s="73"/>
      <c r="E264" s="73"/>
      <c r="F264" s="72"/>
    </row>
    <row r="265" ht="14.25" customHeight="1">
      <c r="A265" s="73"/>
      <c r="B265" s="73"/>
      <c r="C265" s="73"/>
      <c r="D265" s="73"/>
      <c r="E265" s="73"/>
      <c r="F265" s="72"/>
    </row>
    <row r="266" ht="14.25" customHeight="1">
      <c r="A266" s="73"/>
      <c r="B266" s="73"/>
      <c r="C266" s="73"/>
      <c r="D266" s="73"/>
      <c r="E266" s="73"/>
      <c r="F266" s="72"/>
    </row>
    <row r="267" ht="14.25" customHeight="1">
      <c r="A267" s="73"/>
      <c r="B267" s="73"/>
      <c r="C267" s="73"/>
      <c r="D267" s="73"/>
      <c r="E267" s="73"/>
      <c r="F267" s="72"/>
    </row>
    <row r="268" ht="14.25" customHeight="1">
      <c r="A268" s="73"/>
      <c r="B268" s="73"/>
      <c r="C268" s="73"/>
      <c r="D268" s="73"/>
      <c r="E268" s="73"/>
      <c r="F268" s="72"/>
    </row>
    <row r="269" ht="14.25" customHeight="1">
      <c r="A269" s="73"/>
      <c r="B269" s="73"/>
      <c r="C269" s="73"/>
      <c r="D269" s="73"/>
      <c r="E269" s="73"/>
      <c r="F269" s="72"/>
    </row>
    <row r="270" ht="14.25" customHeight="1">
      <c r="A270" s="73"/>
      <c r="B270" s="73"/>
      <c r="C270" s="73"/>
      <c r="D270" s="73"/>
      <c r="E270" s="73"/>
      <c r="F270" s="72"/>
    </row>
    <row r="271" ht="14.25" customHeight="1">
      <c r="A271" s="73"/>
      <c r="B271" s="73"/>
      <c r="C271" s="73"/>
      <c r="D271" s="73"/>
      <c r="E271" s="73"/>
      <c r="F271" s="72"/>
    </row>
    <row r="272" ht="14.25" customHeight="1">
      <c r="A272" s="73"/>
      <c r="B272" s="73"/>
      <c r="C272" s="73"/>
      <c r="D272" s="73"/>
      <c r="E272" s="73"/>
      <c r="F272" s="72"/>
    </row>
    <row r="273" ht="14.25" customHeight="1">
      <c r="A273" s="73"/>
      <c r="B273" s="73"/>
      <c r="C273" s="73"/>
      <c r="D273" s="73"/>
      <c r="E273" s="73"/>
      <c r="F273" s="72"/>
    </row>
    <row r="274" ht="14.25" customHeight="1">
      <c r="A274" s="73"/>
      <c r="B274" s="73"/>
      <c r="C274" s="73"/>
      <c r="D274" s="73"/>
      <c r="E274" s="73"/>
      <c r="F274" s="72"/>
    </row>
    <row r="275" ht="14.25" customHeight="1">
      <c r="A275" s="73"/>
      <c r="B275" s="73"/>
      <c r="C275" s="73"/>
      <c r="D275" s="73"/>
      <c r="E275" s="73"/>
      <c r="F275" s="72"/>
    </row>
    <row r="276" ht="14.25" customHeight="1">
      <c r="A276" s="73"/>
      <c r="B276" s="73"/>
      <c r="C276" s="73"/>
      <c r="D276" s="73"/>
      <c r="E276" s="73"/>
      <c r="F276" s="72"/>
    </row>
    <row r="277" ht="14.25" customHeight="1">
      <c r="A277" s="73"/>
      <c r="B277" s="73"/>
      <c r="C277" s="73"/>
      <c r="D277" s="73"/>
      <c r="E277" s="73"/>
      <c r="F277" s="72"/>
    </row>
    <row r="278" ht="14.25" customHeight="1">
      <c r="A278" s="73"/>
      <c r="B278" s="73"/>
      <c r="C278" s="73"/>
      <c r="D278" s="73"/>
      <c r="E278" s="73"/>
      <c r="F278" s="72"/>
    </row>
    <row r="279" ht="14.25" customHeight="1">
      <c r="A279" s="73"/>
      <c r="B279" s="73"/>
      <c r="C279" s="73"/>
      <c r="D279" s="73"/>
      <c r="E279" s="73"/>
      <c r="F279" s="72"/>
    </row>
    <row r="280" ht="14.25" customHeight="1">
      <c r="A280" s="73"/>
      <c r="B280" s="73"/>
      <c r="C280" s="73"/>
      <c r="D280" s="73"/>
      <c r="E280" s="73"/>
      <c r="F280" s="72"/>
    </row>
    <row r="281" ht="14.25" customHeight="1">
      <c r="A281" s="73"/>
      <c r="B281" s="73"/>
      <c r="C281" s="73"/>
      <c r="D281" s="73"/>
      <c r="E281" s="73"/>
      <c r="F281" s="72"/>
    </row>
    <row r="282" ht="14.25" customHeight="1">
      <c r="A282" s="73"/>
      <c r="B282" s="73"/>
      <c r="C282" s="73"/>
      <c r="D282" s="73"/>
      <c r="E282" s="73"/>
      <c r="F282" s="72"/>
    </row>
    <row r="283" ht="14.25" customHeight="1">
      <c r="A283" s="73"/>
      <c r="B283" s="73"/>
      <c r="C283" s="73"/>
      <c r="D283" s="73"/>
      <c r="E283" s="73"/>
      <c r="F283" s="72"/>
    </row>
    <row r="284" ht="14.25" customHeight="1">
      <c r="A284" s="73"/>
      <c r="B284" s="73"/>
      <c r="C284" s="73"/>
      <c r="D284" s="73"/>
      <c r="E284" s="73"/>
      <c r="F284" s="72"/>
    </row>
    <row r="285" ht="14.25" customHeight="1">
      <c r="A285" s="73"/>
      <c r="B285" s="73"/>
      <c r="C285" s="73"/>
      <c r="D285" s="73"/>
      <c r="E285" s="73"/>
      <c r="F285" s="72"/>
    </row>
    <row r="286" ht="14.25" customHeight="1">
      <c r="A286" s="73"/>
      <c r="B286" s="73"/>
      <c r="C286" s="73"/>
      <c r="D286" s="73"/>
      <c r="E286" s="73"/>
      <c r="F286" s="72"/>
    </row>
    <row r="287" ht="14.25" customHeight="1">
      <c r="A287" s="73"/>
      <c r="B287" s="73"/>
      <c r="C287" s="73"/>
      <c r="D287" s="73"/>
      <c r="E287" s="73"/>
      <c r="F287" s="72"/>
    </row>
    <row r="288" ht="14.25" customHeight="1">
      <c r="A288" s="73"/>
      <c r="B288" s="73"/>
      <c r="C288" s="73"/>
      <c r="D288" s="73"/>
      <c r="E288" s="73"/>
      <c r="F288" s="72"/>
    </row>
    <row r="289" ht="14.25" customHeight="1">
      <c r="A289" s="73"/>
      <c r="B289" s="73"/>
      <c r="C289" s="73"/>
      <c r="D289" s="73"/>
      <c r="E289" s="73"/>
      <c r="F289" s="72"/>
    </row>
    <row r="290" ht="14.25" customHeight="1">
      <c r="A290" s="73"/>
      <c r="B290" s="73"/>
      <c r="C290" s="73"/>
      <c r="D290" s="73"/>
      <c r="E290" s="73"/>
      <c r="F290" s="72"/>
    </row>
    <row r="291" ht="14.25" customHeight="1">
      <c r="A291" s="73"/>
      <c r="B291" s="73"/>
      <c r="C291" s="73"/>
      <c r="D291" s="73"/>
      <c r="E291" s="73"/>
      <c r="F291" s="72"/>
    </row>
    <row r="292" ht="14.25" customHeight="1">
      <c r="A292" s="73"/>
      <c r="B292" s="73"/>
      <c r="C292" s="73"/>
      <c r="D292" s="73"/>
      <c r="E292" s="73"/>
      <c r="F292" s="72"/>
    </row>
    <row r="293" ht="14.25" customHeight="1">
      <c r="A293" s="73"/>
      <c r="B293" s="73"/>
      <c r="C293" s="73"/>
      <c r="D293" s="73"/>
      <c r="E293" s="73"/>
      <c r="F293" s="72"/>
    </row>
    <row r="294" ht="14.25" customHeight="1">
      <c r="A294" s="73"/>
      <c r="B294" s="73"/>
      <c r="C294" s="73"/>
      <c r="D294" s="73"/>
      <c r="E294" s="73"/>
      <c r="F294" s="72"/>
    </row>
    <row r="295" ht="14.25" customHeight="1">
      <c r="A295" s="73"/>
      <c r="B295" s="73"/>
      <c r="C295" s="73"/>
      <c r="D295" s="73"/>
      <c r="E295" s="73"/>
      <c r="F295" s="72"/>
    </row>
    <row r="296" ht="14.25" customHeight="1">
      <c r="A296" s="73"/>
      <c r="B296" s="73"/>
      <c r="C296" s="73"/>
      <c r="D296" s="73"/>
      <c r="E296" s="73"/>
      <c r="F296" s="72"/>
    </row>
    <row r="297" ht="14.25" customHeight="1">
      <c r="A297" s="73"/>
      <c r="B297" s="73"/>
      <c r="C297" s="73"/>
      <c r="D297" s="73"/>
      <c r="E297" s="73"/>
      <c r="F297" s="72"/>
    </row>
    <row r="298" ht="14.25" customHeight="1">
      <c r="A298" s="73"/>
      <c r="B298" s="73"/>
      <c r="C298" s="73"/>
      <c r="D298" s="73"/>
      <c r="E298" s="73"/>
      <c r="F298" s="72"/>
    </row>
    <row r="299" ht="14.25" customHeight="1">
      <c r="A299" s="73"/>
      <c r="B299" s="73"/>
      <c r="C299" s="73"/>
      <c r="D299" s="73"/>
      <c r="E299" s="73"/>
      <c r="F299" s="72"/>
    </row>
    <row r="300" ht="14.25" customHeight="1">
      <c r="A300" s="73"/>
      <c r="B300" s="73"/>
      <c r="C300" s="73"/>
      <c r="D300" s="73"/>
      <c r="E300" s="73"/>
      <c r="F300" s="72"/>
    </row>
    <row r="301" ht="14.25" customHeight="1">
      <c r="A301" s="73"/>
      <c r="B301" s="73"/>
      <c r="C301" s="73"/>
      <c r="D301" s="73"/>
      <c r="E301" s="73"/>
      <c r="F301" s="72"/>
    </row>
    <row r="302" ht="14.25" customHeight="1">
      <c r="A302" s="73"/>
      <c r="B302" s="73"/>
      <c r="C302" s="73"/>
      <c r="D302" s="73"/>
      <c r="E302" s="73"/>
      <c r="F302" s="72"/>
    </row>
    <row r="303" ht="14.25" customHeight="1">
      <c r="A303" s="73"/>
      <c r="B303" s="73"/>
      <c r="C303" s="73"/>
      <c r="D303" s="73"/>
      <c r="E303" s="73"/>
      <c r="F303" s="72"/>
    </row>
    <row r="304" ht="14.25" customHeight="1">
      <c r="A304" s="73"/>
      <c r="B304" s="73"/>
      <c r="C304" s="73"/>
      <c r="D304" s="73"/>
      <c r="E304" s="73"/>
      <c r="F304" s="72"/>
    </row>
    <row r="305" ht="14.25" customHeight="1">
      <c r="A305" s="73"/>
      <c r="B305" s="73"/>
      <c r="C305" s="73"/>
      <c r="D305" s="73"/>
      <c r="E305" s="73"/>
      <c r="F305" s="72"/>
    </row>
    <row r="306" ht="14.25" customHeight="1">
      <c r="A306" s="73"/>
      <c r="B306" s="73"/>
      <c r="C306" s="73"/>
      <c r="D306" s="73"/>
      <c r="E306" s="73"/>
      <c r="F306" s="72"/>
    </row>
    <row r="307" ht="14.25" customHeight="1">
      <c r="A307" s="73"/>
      <c r="B307" s="73"/>
      <c r="C307" s="73"/>
      <c r="D307" s="73"/>
      <c r="E307" s="73"/>
      <c r="F307" s="72"/>
    </row>
    <row r="308" ht="14.25" customHeight="1">
      <c r="A308" s="73"/>
      <c r="B308" s="73"/>
      <c r="C308" s="73"/>
      <c r="D308" s="73"/>
      <c r="E308" s="73"/>
      <c r="F308" s="72"/>
    </row>
    <row r="309" ht="14.25" customHeight="1">
      <c r="A309" s="73"/>
      <c r="B309" s="73"/>
      <c r="C309" s="73"/>
      <c r="D309" s="73"/>
      <c r="E309" s="73"/>
      <c r="F309" s="72"/>
    </row>
    <row r="310" ht="14.25" customHeight="1">
      <c r="A310" s="73"/>
      <c r="B310" s="73"/>
      <c r="C310" s="73"/>
      <c r="D310" s="73"/>
      <c r="E310" s="73"/>
      <c r="F310" s="72"/>
    </row>
    <row r="311" ht="14.25" customHeight="1">
      <c r="A311" s="73"/>
      <c r="B311" s="73"/>
      <c r="C311" s="73"/>
      <c r="D311" s="73"/>
      <c r="E311" s="73"/>
      <c r="F311" s="72"/>
    </row>
    <row r="312" ht="14.25" customHeight="1">
      <c r="A312" s="73"/>
      <c r="B312" s="73"/>
      <c r="C312" s="73"/>
      <c r="D312" s="73"/>
      <c r="E312" s="73"/>
      <c r="F312" s="72"/>
    </row>
    <row r="313" ht="14.25" customHeight="1">
      <c r="A313" s="73"/>
      <c r="B313" s="73"/>
      <c r="C313" s="73"/>
      <c r="D313" s="73"/>
      <c r="E313" s="73"/>
      <c r="F313" s="72"/>
    </row>
    <row r="314" ht="14.25" customHeight="1">
      <c r="A314" s="73"/>
      <c r="B314" s="73"/>
      <c r="C314" s="73"/>
      <c r="D314" s="73"/>
      <c r="E314" s="73"/>
      <c r="F314" s="72"/>
    </row>
    <row r="315" ht="14.25" customHeight="1">
      <c r="A315" s="73"/>
      <c r="B315" s="73"/>
      <c r="C315" s="73"/>
      <c r="D315" s="73"/>
      <c r="E315" s="73"/>
      <c r="F315" s="72"/>
    </row>
    <row r="316" ht="14.25" customHeight="1">
      <c r="A316" s="73"/>
      <c r="B316" s="73"/>
      <c r="C316" s="73"/>
      <c r="D316" s="73"/>
      <c r="E316" s="73"/>
      <c r="F316" s="72"/>
    </row>
    <row r="317" ht="14.25" customHeight="1">
      <c r="A317" s="73"/>
      <c r="B317" s="73"/>
      <c r="C317" s="73"/>
      <c r="D317" s="73"/>
      <c r="E317" s="73"/>
      <c r="F317" s="72"/>
    </row>
    <row r="318" ht="14.25" customHeight="1">
      <c r="A318" s="73"/>
      <c r="B318" s="73"/>
      <c r="C318" s="73"/>
      <c r="D318" s="73"/>
      <c r="E318" s="73"/>
      <c r="F318" s="72"/>
    </row>
    <row r="319" ht="14.25" customHeight="1">
      <c r="A319" s="73"/>
      <c r="B319" s="73"/>
      <c r="C319" s="73"/>
      <c r="D319" s="73"/>
      <c r="E319" s="73"/>
      <c r="F319" s="72"/>
    </row>
    <row r="320" ht="14.25" customHeight="1">
      <c r="A320" s="73"/>
      <c r="B320" s="73"/>
      <c r="C320" s="73"/>
      <c r="D320" s="73"/>
      <c r="E320" s="73"/>
      <c r="F320" s="72"/>
    </row>
    <row r="321" ht="14.25" customHeight="1">
      <c r="A321" s="73"/>
      <c r="B321" s="73"/>
      <c r="C321" s="73"/>
      <c r="D321" s="73"/>
      <c r="E321" s="73"/>
      <c r="F321" s="72"/>
    </row>
    <row r="322" ht="14.25" customHeight="1">
      <c r="A322" s="73"/>
      <c r="B322" s="73"/>
      <c r="C322" s="73"/>
      <c r="D322" s="73"/>
      <c r="E322" s="73"/>
      <c r="F322" s="72"/>
    </row>
    <row r="323" ht="14.25" customHeight="1">
      <c r="A323" s="73"/>
      <c r="B323" s="73"/>
      <c r="C323" s="73"/>
      <c r="D323" s="73"/>
      <c r="E323" s="73"/>
      <c r="F323" s="72"/>
    </row>
    <row r="324" ht="14.25" customHeight="1">
      <c r="A324" s="73"/>
      <c r="B324" s="73"/>
      <c r="C324" s="73"/>
      <c r="D324" s="73"/>
      <c r="E324" s="73"/>
      <c r="F324" s="72"/>
    </row>
    <row r="325" ht="14.25" customHeight="1">
      <c r="A325" s="73"/>
      <c r="B325" s="73"/>
      <c r="C325" s="73"/>
      <c r="D325" s="73"/>
      <c r="E325" s="73"/>
      <c r="F325" s="72"/>
    </row>
    <row r="326" ht="14.25" customHeight="1">
      <c r="A326" s="73"/>
      <c r="B326" s="73"/>
      <c r="C326" s="73"/>
      <c r="D326" s="73"/>
      <c r="E326" s="73"/>
      <c r="F326" s="72"/>
    </row>
    <row r="327" ht="14.25" customHeight="1">
      <c r="A327" s="73"/>
      <c r="B327" s="73"/>
      <c r="C327" s="73"/>
      <c r="D327" s="73"/>
      <c r="E327" s="73"/>
      <c r="F327" s="72"/>
    </row>
    <row r="328" ht="14.25" customHeight="1">
      <c r="A328" s="73"/>
      <c r="B328" s="73"/>
      <c r="C328" s="73"/>
      <c r="D328" s="73"/>
      <c r="E328" s="73"/>
      <c r="F328" s="72"/>
    </row>
    <row r="329" ht="14.25" customHeight="1">
      <c r="A329" s="73"/>
      <c r="B329" s="73"/>
      <c r="C329" s="73"/>
      <c r="D329" s="73"/>
      <c r="E329" s="73"/>
      <c r="F329" s="72"/>
    </row>
    <row r="330" ht="14.25" customHeight="1">
      <c r="A330" s="73"/>
      <c r="B330" s="73"/>
      <c r="C330" s="73"/>
      <c r="D330" s="73"/>
      <c r="E330" s="73"/>
      <c r="F330" s="72"/>
    </row>
    <row r="331" ht="14.25" customHeight="1">
      <c r="A331" s="73"/>
      <c r="B331" s="73"/>
      <c r="C331" s="73"/>
      <c r="D331" s="73"/>
      <c r="E331" s="73"/>
      <c r="F331" s="72"/>
    </row>
    <row r="332" ht="14.25" customHeight="1">
      <c r="A332" s="73"/>
      <c r="B332" s="73"/>
      <c r="C332" s="73"/>
      <c r="D332" s="73"/>
      <c r="E332" s="73"/>
      <c r="F332" s="72"/>
    </row>
    <row r="333" ht="14.25" customHeight="1">
      <c r="A333" s="73"/>
      <c r="B333" s="73"/>
      <c r="C333" s="73"/>
      <c r="D333" s="73"/>
      <c r="E333" s="73"/>
      <c r="F333" s="72"/>
    </row>
    <row r="334" ht="14.25" customHeight="1">
      <c r="A334" s="73"/>
      <c r="B334" s="73"/>
      <c r="C334" s="73"/>
      <c r="D334" s="73"/>
      <c r="E334" s="73"/>
      <c r="F334" s="72"/>
    </row>
    <row r="335" ht="14.25" customHeight="1">
      <c r="A335" s="73"/>
      <c r="B335" s="73"/>
      <c r="C335" s="73"/>
      <c r="D335" s="73"/>
      <c r="E335" s="73"/>
      <c r="F335" s="72"/>
    </row>
    <row r="336" ht="14.25" customHeight="1">
      <c r="A336" s="73"/>
      <c r="B336" s="73"/>
      <c r="C336" s="73"/>
      <c r="D336" s="73"/>
      <c r="E336" s="73"/>
      <c r="F336" s="72"/>
    </row>
    <row r="337" ht="14.25" customHeight="1">
      <c r="A337" s="73"/>
      <c r="B337" s="73"/>
      <c r="C337" s="73"/>
      <c r="D337" s="73"/>
      <c r="E337" s="73"/>
      <c r="F337" s="72"/>
    </row>
    <row r="338" ht="14.25" customHeight="1">
      <c r="A338" s="73"/>
      <c r="B338" s="73"/>
      <c r="C338" s="73"/>
      <c r="D338" s="73"/>
      <c r="E338" s="73"/>
      <c r="F338" s="72"/>
    </row>
    <row r="339" ht="14.25" customHeight="1">
      <c r="A339" s="73"/>
      <c r="B339" s="73"/>
      <c r="C339" s="73"/>
      <c r="D339" s="73"/>
      <c r="E339" s="73"/>
      <c r="F339" s="72"/>
    </row>
    <row r="340" ht="14.25" customHeight="1">
      <c r="A340" s="73"/>
      <c r="B340" s="73"/>
      <c r="C340" s="73"/>
      <c r="D340" s="73"/>
      <c r="E340" s="73"/>
      <c r="F340" s="72"/>
    </row>
    <row r="341" ht="14.25" customHeight="1">
      <c r="A341" s="73"/>
      <c r="B341" s="73"/>
      <c r="C341" s="73"/>
      <c r="D341" s="73"/>
      <c r="E341" s="73"/>
      <c r="F341" s="72"/>
    </row>
    <row r="342" ht="14.25" customHeight="1">
      <c r="A342" s="73"/>
      <c r="B342" s="73"/>
      <c r="C342" s="73"/>
      <c r="D342" s="73"/>
      <c r="E342" s="73"/>
      <c r="F342" s="72"/>
    </row>
    <row r="343" ht="14.25" customHeight="1">
      <c r="A343" s="73"/>
      <c r="B343" s="73"/>
      <c r="C343" s="73"/>
      <c r="D343" s="73"/>
      <c r="E343" s="73"/>
      <c r="F343" s="72"/>
    </row>
    <row r="344" ht="14.25" customHeight="1">
      <c r="A344" s="73"/>
      <c r="B344" s="73"/>
      <c r="C344" s="73"/>
      <c r="D344" s="73"/>
      <c r="E344" s="73"/>
      <c r="F344" s="72"/>
    </row>
    <row r="345" ht="14.25" customHeight="1">
      <c r="A345" s="73"/>
      <c r="B345" s="73"/>
      <c r="C345" s="73"/>
      <c r="D345" s="73"/>
      <c r="E345" s="73"/>
      <c r="F345" s="72"/>
    </row>
    <row r="346" ht="14.25" customHeight="1">
      <c r="A346" s="73"/>
      <c r="B346" s="73"/>
      <c r="C346" s="73"/>
      <c r="D346" s="73"/>
      <c r="E346" s="73"/>
      <c r="F346" s="72"/>
    </row>
    <row r="347" ht="14.25" customHeight="1">
      <c r="A347" s="73"/>
      <c r="B347" s="73"/>
      <c r="C347" s="73"/>
      <c r="D347" s="73"/>
      <c r="E347" s="73"/>
      <c r="F347" s="72"/>
    </row>
    <row r="348" ht="14.25" customHeight="1">
      <c r="A348" s="73"/>
      <c r="B348" s="73"/>
      <c r="C348" s="73"/>
      <c r="D348" s="73"/>
      <c r="E348" s="73"/>
      <c r="F348" s="72"/>
    </row>
    <row r="349" ht="14.25" customHeight="1">
      <c r="A349" s="73"/>
      <c r="B349" s="73"/>
      <c r="C349" s="73"/>
      <c r="D349" s="73"/>
      <c r="E349" s="73"/>
      <c r="F349" s="72"/>
    </row>
    <row r="350" ht="14.25" customHeight="1">
      <c r="A350" s="73"/>
      <c r="B350" s="73"/>
      <c r="C350" s="73"/>
      <c r="D350" s="73"/>
      <c r="E350" s="73"/>
      <c r="F350" s="72"/>
    </row>
    <row r="351" ht="14.25" customHeight="1">
      <c r="A351" s="73"/>
      <c r="B351" s="73"/>
      <c r="C351" s="73"/>
      <c r="D351" s="73"/>
      <c r="E351" s="73"/>
      <c r="F351" s="72"/>
    </row>
    <row r="352" ht="14.25" customHeight="1">
      <c r="A352" s="73"/>
      <c r="B352" s="73"/>
      <c r="C352" s="73"/>
      <c r="D352" s="73"/>
      <c r="E352" s="73"/>
      <c r="F352" s="72"/>
    </row>
    <row r="353" ht="14.25" customHeight="1">
      <c r="A353" s="73"/>
      <c r="B353" s="73"/>
      <c r="C353" s="73"/>
      <c r="D353" s="73"/>
      <c r="E353" s="73"/>
      <c r="F353" s="72"/>
    </row>
    <row r="354" ht="14.25" customHeight="1">
      <c r="A354" s="73"/>
      <c r="B354" s="73"/>
      <c r="C354" s="73"/>
      <c r="D354" s="73"/>
      <c r="E354" s="73"/>
      <c r="F354" s="72"/>
    </row>
    <row r="355" ht="14.25" customHeight="1">
      <c r="A355" s="73"/>
      <c r="B355" s="73"/>
      <c r="C355" s="73"/>
      <c r="D355" s="73"/>
      <c r="E355" s="73"/>
      <c r="F355" s="72"/>
    </row>
    <row r="356" ht="14.25" customHeight="1">
      <c r="A356" s="73"/>
      <c r="B356" s="73"/>
      <c r="C356" s="73"/>
      <c r="D356" s="73"/>
      <c r="E356" s="73"/>
      <c r="F356" s="72"/>
    </row>
    <row r="357" ht="14.25" customHeight="1">
      <c r="A357" s="73"/>
      <c r="B357" s="73"/>
      <c r="C357" s="73"/>
      <c r="D357" s="73"/>
      <c r="E357" s="73"/>
      <c r="F357" s="72"/>
    </row>
    <row r="358" ht="14.25" customHeight="1">
      <c r="A358" s="73"/>
      <c r="B358" s="73"/>
      <c r="C358" s="73"/>
      <c r="D358" s="73"/>
      <c r="E358" s="73"/>
      <c r="F358" s="72"/>
    </row>
    <row r="359" ht="14.25" customHeight="1">
      <c r="A359" s="73"/>
      <c r="B359" s="73"/>
      <c r="C359" s="73"/>
      <c r="D359" s="73"/>
      <c r="E359" s="73"/>
      <c r="F359" s="72"/>
    </row>
    <row r="360" ht="14.25" customHeight="1">
      <c r="A360" s="73"/>
      <c r="B360" s="73"/>
      <c r="C360" s="73"/>
      <c r="D360" s="73"/>
      <c r="E360" s="73"/>
      <c r="F360" s="72"/>
    </row>
    <row r="361" ht="14.25" customHeight="1">
      <c r="A361" s="73"/>
      <c r="B361" s="73"/>
      <c r="C361" s="73"/>
      <c r="D361" s="73"/>
      <c r="E361" s="73"/>
      <c r="F361" s="72"/>
    </row>
    <row r="362" ht="14.25" customHeight="1">
      <c r="A362" s="73"/>
      <c r="B362" s="73"/>
      <c r="C362" s="73"/>
      <c r="D362" s="73"/>
      <c r="E362" s="73"/>
      <c r="F362" s="72"/>
    </row>
    <row r="363" ht="14.25" customHeight="1">
      <c r="A363" s="73"/>
      <c r="B363" s="73"/>
      <c r="C363" s="73"/>
      <c r="D363" s="73"/>
      <c r="E363" s="73"/>
      <c r="F363" s="72"/>
    </row>
    <row r="364" ht="14.25" customHeight="1">
      <c r="A364" s="73"/>
      <c r="B364" s="73"/>
      <c r="C364" s="73"/>
      <c r="D364" s="73"/>
      <c r="E364" s="73"/>
      <c r="F364" s="72"/>
    </row>
    <row r="365" ht="14.25" customHeight="1">
      <c r="A365" s="73"/>
      <c r="B365" s="73"/>
      <c r="C365" s="73"/>
      <c r="D365" s="73"/>
      <c r="E365" s="73"/>
      <c r="F365" s="72"/>
    </row>
    <row r="366" ht="14.25" customHeight="1">
      <c r="A366" s="73"/>
      <c r="B366" s="73"/>
      <c r="C366" s="73"/>
      <c r="D366" s="73"/>
      <c r="E366" s="73"/>
      <c r="F366" s="72"/>
    </row>
    <row r="367" ht="14.25" customHeight="1">
      <c r="A367" s="73"/>
      <c r="B367" s="73"/>
      <c r="C367" s="73"/>
      <c r="D367" s="73"/>
      <c r="E367" s="73"/>
      <c r="F367" s="72"/>
    </row>
    <row r="368" ht="14.25" customHeight="1">
      <c r="A368" s="73"/>
      <c r="B368" s="73"/>
      <c r="C368" s="73"/>
      <c r="D368" s="73"/>
      <c r="E368" s="73"/>
      <c r="F368" s="72"/>
    </row>
    <row r="369" ht="14.25" customHeight="1">
      <c r="A369" s="73"/>
      <c r="B369" s="73"/>
      <c r="C369" s="73"/>
      <c r="D369" s="73"/>
      <c r="E369" s="73"/>
      <c r="F369" s="72"/>
    </row>
    <row r="370" ht="14.25" customHeight="1">
      <c r="A370" s="73"/>
      <c r="B370" s="73"/>
      <c r="C370" s="73"/>
      <c r="D370" s="73"/>
      <c r="E370" s="73"/>
      <c r="F370" s="72"/>
    </row>
    <row r="371" ht="14.25" customHeight="1">
      <c r="A371" s="73"/>
      <c r="B371" s="73"/>
      <c r="C371" s="73"/>
      <c r="D371" s="73"/>
      <c r="E371" s="73"/>
      <c r="F371" s="72"/>
    </row>
    <row r="372" ht="14.25" customHeight="1">
      <c r="A372" s="73"/>
      <c r="B372" s="73"/>
      <c r="C372" s="73"/>
      <c r="D372" s="73"/>
      <c r="E372" s="73"/>
      <c r="F372" s="72"/>
    </row>
    <row r="373" ht="14.25" customHeight="1">
      <c r="A373" s="73"/>
      <c r="B373" s="73"/>
      <c r="C373" s="73"/>
      <c r="D373" s="73"/>
      <c r="E373" s="73"/>
      <c r="F373" s="72"/>
    </row>
    <row r="374" ht="14.25" customHeight="1">
      <c r="A374" s="73"/>
      <c r="B374" s="73"/>
      <c r="C374" s="73"/>
      <c r="D374" s="73"/>
      <c r="E374" s="73"/>
      <c r="F374" s="72"/>
    </row>
    <row r="375" ht="14.25" customHeight="1">
      <c r="A375" s="73"/>
      <c r="B375" s="73"/>
      <c r="C375" s="73"/>
      <c r="D375" s="73"/>
      <c r="E375" s="73"/>
      <c r="F375" s="72"/>
    </row>
    <row r="376" ht="14.25" customHeight="1">
      <c r="A376" s="73"/>
      <c r="B376" s="73"/>
      <c r="C376" s="73"/>
      <c r="D376" s="73"/>
      <c r="E376" s="73"/>
      <c r="F376" s="72"/>
    </row>
    <row r="377" ht="14.25" customHeight="1">
      <c r="A377" s="73"/>
      <c r="B377" s="73"/>
      <c r="C377" s="73"/>
      <c r="D377" s="73"/>
      <c r="E377" s="73"/>
      <c r="F377" s="72"/>
    </row>
    <row r="378" ht="14.25" customHeight="1">
      <c r="A378" s="73"/>
      <c r="B378" s="73"/>
      <c r="C378" s="73"/>
      <c r="D378" s="73"/>
      <c r="E378" s="73"/>
      <c r="F378" s="72"/>
    </row>
    <row r="379" ht="14.25" customHeight="1">
      <c r="A379" s="73"/>
      <c r="B379" s="73"/>
      <c r="C379" s="73"/>
      <c r="D379" s="73"/>
      <c r="E379" s="73"/>
      <c r="F379" s="72"/>
    </row>
    <row r="380" ht="14.25" customHeight="1">
      <c r="A380" s="73"/>
      <c r="B380" s="73"/>
      <c r="C380" s="73"/>
      <c r="D380" s="73"/>
      <c r="E380" s="73"/>
      <c r="F380" s="72"/>
    </row>
    <row r="381" ht="14.25" customHeight="1">
      <c r="A381" s="73"/>
      <c r="B381" s="73"/>
      <c r="C381" s="73"/>
      <c r="D381" s="73"/>
      <c r="E381" s="73"/>
      <c r="F381" s="72"/>
    </row>
    <row r="382" ht="14.25" customHeight="1">
      <c r="A382" s="73"/>
      <c r="B382" s="73"/>
      <c r="C382" s="73"/>
      <c r="D382" s="73"/>
      <c r="E382" s="73"/>
      <c r="F382" s="72"/>
    </row>
    <row r="383" ht="14.25" customHeight="1">
      <c r="A383" s="73"/>
      <c r="B383" s="73"/>
      <c r="C383" s="73"/>
      <c r="D383" s="73"/>
      <c r="E383" s="73"/>
      <c r="F383" s="72"/>
    </row>
    <row r="384" ht="14.25" customHeight="1">
      <c r="A384" s="73"/>
      <c r="B384" s="73"/>
      <c r="C384" s="73"/>
      <c r="D384" s="73"/>
      <c r="E384" s="73"/>
      <c r="F384" s="72"/>
    </row>
    <row r="385" ht="14.25" customHeight="1">
      <c r="A385" s="73"/>
      <c r="B385" s="73"/>
      <c r="C385" s="73"/>
      <c r="D385" s="73"/>
      <c r="E385" s="73"/>
      <c r="F385" s="72"/>
    </row>
    <row r="386" ht="14.25" customHeight="1">
      <c r="A386" s="73"/>
      <c r="B386" s="73"/>
      <c r="C386" s="73"/>
      <c r="D386" s="73"/>
      <c r="E386" s="73"/>
      <c r="F386" s="72"/>
    </row>
    <row r="387" ht="14.25" customHeight="1">
      <c r="A387" s="73"/>
      <c r="B387" s="73"/>
      <c r="C387" s="73"/>
      <c r="D387" s="73"/>
      <c r="E387" s="73"/>
      <c r="F387" s="72"/>
    </row>
    <row r="388" ht="14.25" customHeight="1">
      <c r="A388" s="73"/>
      <c r="B388" s="73"/>
      <c r="C388" s="73"/>
      <c r="D388" s="73"/>
      <c r="E388" s="73"/>
      <c r="F388" s="72"/>
    </row>
    <row r="389" ht="14.25" customHeight="1">
      <c r="A389" s="73"/>
      <c r="B389" s="73"/>
      <c r="C389" s="73"/>
      <c r="D389" s="73"/>
      <c r="E389" s="73"/>
      <c r="F389" s="72"/>
    </row>
    <row r="390" ht="14.25" customHeight="1">
      <c r="A390" s="73"/>
      <c r="B390" s="73"/>
      <c r="C390" s="73"/>
      <c r="D390" s="73"/>
      <c r="E390" s="73"/>
      <c r="F390" s="72"/>
    </row>
    <row r="391" ht="14.25" customHeight="1">
      <c r="A391" s="73"/>
      <c r="B391" s="73"/>
      <c r="C391" s="73"/>
      <c r="D391" s="73"/>
      <c r="E391" s="73"/>
      <c r="F391" s="72"/>
    </row>
    <row r="392" ht="14.25" customHeight="1">
      <c r="A392" s="73"/>
      <c r="B392" s="73"/>
      <c r="C392" s="73"/>
      <c r="D392" s="73"/>
      <c r="E392" s="73"/>
      <c r="F392" s="72"/>
    </row>
    <row r="393" ht="14.25" customHeight="1">
      <c r="A393" s="73"/>
      <c r="B393" s="73"/>
      <c r="C393" s="73"/>
      <c r="D393" s="73"/>
      <c r="E393" s="73"/>
      <c r="F393" s="72"/>
    </row>
    <row r="394" ht="14.25" customHeight="1">
      <c r="A394" s="73"/>
      <c r="B394" s="73"/>
      <c r="C394" s="73"/>
      <c r="D394" s="73"/>
      <c r="E394" s="73"/>
      <c r="F394" s="72"/>
    </row>
    <row r="395" ht="14.25" customHeight="1">
      <c r="A395" s="73"/>
      <c r="B395" s="73"/>
      <c r="C395" s="73"/>
      <c r="D395" s="73"/>
      <c r="E395" s="73"/>
      <c r="F395" s="72"/>
    </row>
    <row r="396" ht="14.25" customHeight="1">
      <c r="A396" s="73"/>
      <c r="B396" s="73"/>
      <c r="C396" s="73"/>
      <c r="D396" s="73"/>
      <c r="E396" s="73"/>
      <c r="F396" s="72"/>
    </row>
    <row r="397" ht="14.25" customHeight="1">
      <c r="A397" s="73"/>
      <c r="B397" s="73"/>
      <c r="C397" s="73"/>
      <c r="D397" s="73"/>
      <c r="E397" s="73"/>
      <c r="F397" s="72"/>
    </row>
    <row r="398" ht="14.25" customHeight="1">
      <c r="A398" s="73"/>
      <c r="B398" s="73"/>
      <c r="C398" s="73"/>
      <c r="D398" s="73"/>
      <c r="E398" s="73"/>
      <c r="F398" s="72"/>
    </row>
    <row r="399" ht="14.25" customHeight="1">
      <c r="A399" s="73"/>
      <c r="B399" s="73"/>
      <c r="C399" s="73"/>
      <c r="D399" s="73"/>
      <c r="E399" s="73"/>
      <c r="F399" s="72"/>
    </row>
    <row r="400" ht="14.25" customHeight="1">
      <c r="A400" s="73"/>
      <c r="B400" s="73"/>
      <c r="C400" s="73"/>
      <c r="D400" s="73"/>
      <c r="E400" s="73"/>
      <c r="F400" s="72"/>
    </row>
    <row r="401" ht="14.25" customHeight="1">
      <c r="A401" s="73"/>
      <c r="B401" s="73"/>
      <c r="C401" s="73"/>
      <c r="D401" s="73"/>
      <c r="E401" s="73"/>
      <c r="F401" s="72"/>
    </row>
    <row r="402" ht="14.25" customHeight="1">
      <c r="A402" s="73"/>
      <c r="B402" s="73"/>
      <c r="C402" s="73"/>
      <c r="D402" s="73"/>
      <c r="E402" s="73"/>
      <c r="F402" s="72"/>
    </row>
    <row r="403" ht="14.25" customHeight="1">
      <c r="A403" s="73"/>
      <c r="B403" s="73"/>
      <c r="C403" s="73"/>
      <c r="D403" s="73"/>
      <c r="E403" s="73"/>
      <c r="F403" s="72"/>
    </row>
    <row r="404" ht="14.25" customHeight="1">
      <c r="A404" s="73"/>
      <c r="B404" s="73"/>
      <c r="C404" s="73"/>
      <c r="D404" s="73"/>
      <c r="E404" s="73"/>
      <c r="F404" s="72"/>
    </row>
    <row r="405" ht="14.25" customHeight="1">
      <c r="A405" s="73"/>
      <c r="B405" s="73"/>
      <c r="C405" s="73"/>
      <c r="D405" s="73"/>
      <c r="E405" s="73"/>
      <c r="F405" s="72"/>
    </row>
    <row r="406" ht="14.25" customHeight="1">
      <c r="A406" s="73"/>
      <c r="B406" s="73"/>
      <c r="C406" s="73"/>
      <c r="D406" s="73"/>
      <c r="E406" s="73"/>
      <c r="F406" s="72"/>
    </row>
    <row r="407" ht="14.25" customHeight="1">
      <c r="A407" s="73"/>
      <c r="B407" s="73"/>
      <c r="C407" s="73"/>
      <c r="D407" s="73"/>
      <c r="E407" s="73"/>
      <c r="F407" s="72"/>
    </row>
    <row r="408" ht="14.25" customHeight="1">
      <c r="A408" s="73"/>
      <c r="B408" s="73"/>
      <c r="C408" s="73"/>
      <c r="D408" s="73"/>
      <c r="E408" s="73"/>
      <c r="F408" s="72"/>
    </row>
    <row r="409" ht="14.25" customHeight="1">
      <c r="A409" s="73"/>
      <c r="B409" s="73"/>
      <c r="C409" s="73"/>
      <c r="D409" s="73"/>
      <c r="E409" s="73"/>
      <c r="F409" s="72"/>
    </row>
    <row r="410" ht="14.25" customHeight="1">
      <c r="A410" s="73"/>
      <c r="B410" s="73"/>
      <c r="C410" s="73"/>
      <c r="D410" s="73"/>
      <c r="E410" s="73"/>
      <c r="F410" s="72"/>
    </row>
    <row r="411" ht="14.25" customHeight="1">
      <c r="A411" s="73"/>
      <c r="B411" s="73"/>
      <c r="C411" s="73"/>
      <c r="D411" s="73"/>
      <c r="E411" s="73"/>
      <c r="F411" s="72"/>
    </row>
    <row r="412" ht="14.25" customHeight="1">
      <c r="A412" s="73"/>
      <c r="B412" s="73"/>
      <c r="C412" s="73"/>
      <c r="D412" s="73"/>
      <c r="E412" s="73"/>
      <c r="F412" s="72"/>
    </row>
    <row r="413" ht="14.25" customHeight="1">
      <c r="A413" s="73"/>
      <c r="B413" s="73"/>
      <c r="C413" s="73"/>
      <c r="D413" s="73"/>
      <c r="E413" s="73"/>
      <c r="F413" s="72"/>
    </row>
    <row r="414" ht="14.25" customHeight="1">
      <c r="A414" s="73"/>
      <c r="B414" s="73"/>
      <c r="C414" s="73"/>
      <c r="D414" s="73"/>
      <c r="E414" s="73"/>
      <c r="F414" s="72"/>
    </row>
    <row r="415" ht="14.25" customHeight="1">
      <c r="A415" s="73"/>
      <c r="B415" s="73"/>
      <c r="C415" s="73"/>
      <c r="D415" s="73"/>
      <c r="E415" s="73"/>
      <c r="F415" s="72"/>
    </row>
    <row r="416" ht="14.25" customHeight="1">
      <c r="A416" s="73"/>
      <c r="B416" s="73"/>
      <c r="C416" s="73"/>
      <c r="D416" s="73"/>
      <c r="E416" s="73"/>
      <c r="F416" s="72"/>
    </row>
    <row r="417" ht="14.25" customHeight="1">
      <c r="A417" s="73"/>
      <c r="B417" s="73"/>
      <c r="C417" s="73"/>
      <c r="D417" s="73"/>
      <c r="E417" s="73"/>
      <c r="F417" s="72"/>
    </row>
    <row r="418" ht="14.25" customHeight="1">
      <c r="A418" s="73"/>
      <c r="B418" s="73"/>
      <c r="C418" s="73"/>
      <c r="D418" s="73"/>
      <c r="E418" s="73"/>
      <c r="F418" s="72"/>
    </row>
    <row r="419" ht="14.25" customHeight="1">
      <c r="A419" s="73"/>
      <c r="B419" s="73"/>
      <c r="C419" s="73"/>
      <c r="D419" s="73"/>
      <c r="E419" s="73"/>
      <c r="F419" s="72"/>
    </row>
    <row r="420" ht="14.25" customHeight="1">
      <c r="A420" s="73"/>
      <c r="B420" s="73"/>
      <c r="C420" s="73"/>
      <c r="D420" s="73"/>
      <c r="E420" s="73"/>
      <c r="F420" s="72"/>
    </row>
    <row r="421" ht="14.25" customHeight="1">
      <c r="A421" s="73"/>
      <c r="B421" s="73"/>
      <c r="C421" s="73"/>
      <c r="D421" s="73"/>
      <c r="E421" s="73"/>
      <c r="F421" s="72"/>
    </row>
    <row r="422" ht="14.25" customHeight="1">
      <c r="A422" s="73"/>
      <c r="B422" s="73"/>
      <c r="C422" s="73"/>
      <c r="D422" s="73"/>
      <c r="E422" s="73"/>
      <c r="F422" s="72"/>
    </row>
    <row r="423" ht="14.25" customHeight="1">
      <c r="A423" s="73"/>
      <c r="B423" s="73"/>
      <c r="C423" s="73"/>
      <c r="D423" s="73"/>
      <c r="E423" s="73"/>
      <c r="F423" s="72"/>
    </row>
    <row r="424" ht="14.25" customHeight="1">
      <c r="A424" s="73"/>
      <c r="B424" s="73"/>
      <c r="C424" s="73"/>
      <c r="D424" s="73"/>
      <c r="E424" s="73"/>
      <c r="F424" s="72"/>
    </row>
    <row r="425" ht="14.25" customHeight="1">
      <c r="A425" s="73"/>
      <c r="B425" s="73"/>
      <c r="C425" s="73"/>
      <c r="D425" s="73"/>
      <c r="E425" s="73"/>
      <c r="F425" s="72"/>
    </row>
    <row r="426" ht="14.25" customHeight="1">
      <c r="A426" s="73"/>
      <c r="B426" s="73"/>
      <c r="C426" s="73"/>
      <c r="D426" s="73"/>
      <c r="E426" s="73"/>
      <c r="F426" s="72"/>
    </row>
    <row r="427" ht="14.25" customHeight="1">
      <c r="A427" s="73"/>
      <c r="B427" s="73"/>
      <c r="C427" s="73"/>
      <c r="D427" s="73"/>
      <c r="E427" s="73"/>
      <c r="F427" s="72"/>
    </row>
    <row r="428" ht="14.25" customHeight="1">
      <c r="A428" s="73"/>
      <c r="B428" s="73"/>
      <c r="C428" s="73"/>
      <c r="D428" s="73"/>
      <c r="E428" s="73"/>
      <c r="F428" s="72"/>
    </row>
    <row r="429" ht="14.25" customHeight="1">
      <c r="A429" s="73"/>
      <c r="B429" s="73"/>
      <c r="C429" s="73"/>
      <c r="D429" s="73"/>
      <c r="E429" s="73"/>
      <c r="F429" s="72"/>
    </row>
    <row r="430" ht="14.25" customHeight="1">
      <c r="A430" s="73"/>
      <c r="B430" s="73"/>
      <c r="C430" s="73"/>
      <c r="D430" s="73"/>
      <c r="E430" s="73"/>
      <c r="F430" s="72"/>
    </row>
    <row r="431" ht="14.25" customHeight="1">
      <c r="A431" s="73"/>
      <c r="B431" s="73"/>
      <c r="C431" s="73"/>
      <c r="D431" s="73"/>
      <c r="E431" s="73"/>
      <c r="F431" s="72"/>
    </row>
    <row r="432" ht="14.25" customHeight="1">
      <c r="A432" s="73"/>
      <c r="B432" s="73"/>
      <c r="C432" s="73"/>
      <c r="D432" s="73"/>
      <c r="E432" s="73"/>
      <c r="F432" s="72"/>
    </row>
    <row r="433" ht="14.25" customHeight="1">
      <c r="A433" s="73"/>
      <c r="B433" s="73"/>
      <c r="C433" s="73"/>
      <c r="D433" s="73"/>
      <c r="E433" s="73"/>
      <c r="F433" s="72"/>
    </row>
    <row r="434" ht="14.25" customHeight="1">
      <c r="A434" s="73"/>
      <c r="B434" s="73"/>
      <c r="C434" s="73"/>
      <c r="D434" s="73"/>
      <c r="E434" s="73"/>
      <c r="F434" s="72"/>
    </row>
    <row r="435" ht="14.25" customHeight="1">
      <c r="A435" s="73"/>
      <c r="B435" s="73"/>
      <c r="C435" s="73"/>
      <c r="D435" s="73"/>
      <c r="E435" s="73"/>
      <c r="F435" s="72"/>
    </row>
    <row r="436" ht="14.25" customHeight="1">
      <c r="A436" s="73"/>
      <c r="B436" s="73"/>
      <c r="C436" s="73"/>
      <c r="D436" s="73"/>
      <c r="E436" s="73"/>
      <c r="F436" s="72"/>
    </row>
    <row r="437" ht="14.25" customHeight="1">
      <c r="A437" s="73"/>
      <c r="B437" s="73"/>
      <c r="C437" s="73"/>
      <c r="D437" s="73"/>
      <c r="E437" s="73"/>
      <c r="F437" s="72"/>
    </row>
    <row r="438" ht="14.25" customHeight="1">
      <c r="A438" s="73"/>
      <c r="B438" s="73"/>
      <c r="C438" s="73"/>
      <c r="D438" s="73"/>
      <c r="E438" s="73"/>
      <c r="F438" s="72"/>
    </row>
    <row r="439" ht="14.25" customHeight="1">
      <c r="A439" s="73"/>
      <c r="B439" s="73"/>
      <c r="C439" s="73"/>
      <c r="D439" s="73"/>
      <c r="E439" s="73"/>
      <c r="F439" s="72"/>
    </row>
    <row r="440" ht="14.25" customHeight="1">
      <c r="A440" s="73"/>
      <c r="B440" s="73"/>
      <c r="C440" s="73"/>
      <c r="D440" s="73"/>
      <c r="E440" s="73"/>
      <c r="F440" s="72"/>
    </row>
    <row r="441" ht="14.25" customHeight="1">
      <c r="A441" s="73"/>
      <c r="B441" s="73"/>
      <c r="C441" s="73"/>
      <c r="D441" s="73"/>
      <c r="E441" s="73"/>
      <c r="F441" s="72"/>
    </row>
    <row r="442" ht="14.25" customHeight="1">
      <c r="A442" s="73"/>
      <c r="B442" s="73"/>
      <c r="C442" s="73"/>
      <c r="D442" s="73"/>
      <c r="E442" s="73"/>
      <c r="F442" s="72"/>
    </row>
    <row r="443" ht="14.25" customHeight="1">
      <c r="A443" s="73"/>
      <c r="B443" s="73"/>
      <c r="C443" s="73"/>
      <c r="D443" s="73"/>
      <c r="E443" s="73"/>
      <c r="F443" s="72"/>
    </row>
    <row r="444" ht="14.25" customHeight="1">
      <c r="A444" s="73"/>
      <c r="B444" s="73"/>
      <c r="C444" s="73"/>
      <c r="D444" s="73"/>
      <c r="E444" s="73"/>
      <c r="F444" s="72"/>
    </row>
    <row r="445" ht="14.25" customHeight="1">
      <c r="A445" s="73"/>
      <c r="B445" s="73"/>
      <c r="C445" s="73"/>
      <c r="D445" s="73"/>
      <c r="E445" s="73"/>
      <c r="F445" s="72"/>
    </row>
    <row r="446" ht="14.25" customHeight="1">
      <c r="A446" s="73"/>
      <c r="B446" s="73"/>
      <c r="C446" s="73"/>
      <c r="D446" s="73"/>
      <c r="E446" s="73"/>
      <c r="F446" s="72"/>
    </row>
    <row r="447" ht="14.25" customHeight="1">
      <c r="A447" s="73"/>
      <c r="B447" s="73"/>
      <c r="C447" s="73"/>
      <c r="D447" s="73"/>
      <c r="E447" s="73"/>
      <c r="F447" s="72"/>
    </row>
    <row r="448" ht="14.25" customHeight="1">
      <c r="A448" s="73"/>
      <c r="B448" s="73"/>
      <c r="C448" s="73"/>
      <c r="D448" s="73"/>
      <c r="E448" s="73"/>
      <c r="F448" s="72"/>
    </row>
    <row r="449" ht="14.25" customHeight="1">
      <c r="A449" s="73"/>
      <c r="B449" s="73"/>
      <c r="C449" s="73"/>
      <c r="D449" s="73"/>
      <c r="E449" s="73"/>
      <c r="F449" s="72"/>
    </row>
    <row r="450" ht="14.25" customHeight="1">
      <c r="A450" s="73"/>
      <c r="B450" s="73"/>
      <c r="C450" s="73"/>
      <c r="D450" s="73"/>
      <c r="E450" s="73"/>
      <c r="F450" s="72"/>
    </row>
    <row r="451" ht="14.25" customHeight="1">
      <c r="A451" s="73"/>
      <c r="B451" s="73"/>
      <c r="C451" s="73"/>
      <c r="D451" s="73"/>
      <c r="E451" s="73"/>
      <c r="F451" s="72"/>
    </row>
    <row r="452" ht="14.25" customHeight="1">
      <c r="A452" s="73"/>
      <c r="B452" s="73"/>
      <c r="C452" s="73"/>
      <c r="D452" s="73"/>
      <c r="E452" s="73"/>
      <c r="F452" s="72"/>
    </row>
    <row r="453" ht="14.25" customHeight="1">
      <c r="A453" s="73"/>
      <c r="B453" s="73"/>
      <c r="C453" s="73"/>
      <c r="D453" s="73"/>
      <c r="E453" s="73"/>
      <c r="F453" s="72"/>
    </row>
    <row r="454" ht="14.25" customHeight="1">
      <c r="A454" s="73"/>
      <c r="B454" s="73"/>
      <c r="C454" s="73"/>
      <c r="D454" s="73"/>
      <c r="E454" s="73"/>
      <c r="F454" s="72"/>
    </row>
    <row r="455" ht="14.25" customHeight="1">
      <c r="A455" s="73"/>
      <c r="B455" s="73"/>
      <c r="C455" s="73"/>
      <c r="D455" s="73"/>
      <c r="E455" s="73"/>
      <c r="F455" s="72"/>
    </row>
    <row r="456" ht="14.25" customHeight="1">
      <c r="A456" s="73"/>
      <c r="B456" s="73"/>
      <c r="C456" s="73"/>
      <c r="D456" s="73"/>
      <c r="E456" s="73"/>
      <c r="F456" s="72"/>
    </row>
    <row r="457" ht="14.25" customHeight="1">
      <c r="A457" s="73"/>
      <c r="B457" s="73"/>
      <c r="C457" s="73"/>
      <c r="D457" s="73"/>
      <c r="E457" s="73"/>
      <c r="F457" s="72"/>
    </row>
    <row r="458" ht="14.25" customHeight="1">
      <c r="A458" s="73"/>
      <c r="B458" s="73"/>
      <c r="C458" s="73"/>
      <c r="D458" s="73"/>
      <c r="E458" s="73"/>
      <c r="F458" s="72"/>
    </row>
    <row r="459" ht="14.25" customHeight="1">
      <c r="A459" s="73"/>
      <c r="B459" s="73"/>
      <c r="C459" s="73"/>
      <c r="D459" s="73"/>
      <c r="E459" s="73"/>
      <c r="F459" s="72"/>
    </row>
    <row r="460" ht="14.25" customHeight="1">
      <c r="A460" s="73"/>
      <c r="B460" s="73"/>
      <c r="C460" s="73"/>
      <c r="D460" s="73"/>
      <c r="E460" s="73"/>
      <c r="F460" s="72"/>
    </row>
    <row r="461" ht="14.25" customHeight="1">
      <c r="A461" s="73"/>
      <c r="B461" s="73"/>
      <c r="C461" s="73"/>
      <c r="D461" s="73"/>
      <c r="E461" s="73"/>
      <c r="F461" s="72"/>
    </row>
    <row r="462" ht="14.25" customHeight="1">
      <c r="A462" s="73"/>
      <c r="B462" s="73"/>
      <c r="C462" s="73"/>
      <c r="D462" s="73"/>
      <c r="E462" s="73"/>
      <c r="F462" s="72"/>
    </row>
    <row r="463" ht="14.25" customHeight="1">
      <c r="A463" s="73"/>
      <c r="B463" s="73"/>
      <c r="C463" s="73"/>
      <c r="D463" s="73"/>
      <c r="E463" s="73"/>
      <c r="F463" s="72"/>
    </row>
    <row r="464" ht="14.25" customHeight="1">
      <c r="A464" s="73"/>
      <c r="B464" s="73"/>
      <c r="C464" s="73"/>
      <c r="D464" s="73"/>
      <c r="E464" s="73"/>
      <c r="F464" s="72"/>
    </row>
    <row r="465" ht="14.25" customHeight="1">
      <c r="A465" s="73"/>
      <c r="B465" s="73"/>
      <c r="C465" s="73"/>
      <c r="D465" s="73"/>
      <c r="E465" s="73"/>
      <c r="F465" s="72"/>
    </row>
    <row r="466" ht="14.25" customHeight="1">
      <c r="A466" s="73"/>
      <c r="B466" s="73"/>
      <c r="C466" s="73"/>
      <c r="D466" s="73"/>
      <c r="E466" s="73"/>
      <c r="F466" s="72"/>
    </row>
    <row r="467" ht="14.25" customHeight="1">
      <c r="A467" s="73"/>
      <c r="B467" s="73"/>
      <c r="C467" s="73"/>
      <c r="D467" s="73"/>
      <c r="E467" s="73"/>
      <c r="F467" s="72"/>
    </row>
    <row r="468" ht="14.25" customHeight="1">
      <c r="A468" s="73"/>
      <c r="B468" s="73"/>
      <c r="C468" s="73"/>
      <c r="D468" s="73"/>
      <c r="E468" s="73"/>
      <c r="F468" s="72"/>
    </row>
    <row r="469" ht="14.25" customHeight="1">
      <c r="A469" s="73"/>
      <c r="B469" s="73"/>
      <c r="C469" s="73"/>
      <c r="D469" s="73"/>
      <c r="E469" s="73"/>
      <c r="F469" s="72"/>
    </row>
    <row r="470" ht="14.25" customHeight="1">
      <c r="A470" s="73"/>
      <c r="B470" s="73"/>
      <c r="C470" s="73"/>
      <c r="D470" s="73"/>
      <c r="E470" s="73"/>
      <c r="F470" s="72"/>
    </row>
    <row r="471" ht="14.25" customHeight="1">
      <c r="A471" s="73"/>
      <c r="B471" s="73"/>
      <c r="C471" s="73"/>
      <c r="D471" s="73"/>
      <c r="E471" s="73"/>
      <c r="F471" s="72"/>
    </row>
    <row r="472" ht="14.25" customHeight="1">
      <c r="A472" s="73"/>
      <c r="B472" s="73"/>
      <c r="C472" s="73"/>
      <c r="D472" s="73"/>
      <c r="E472" s="73"/>
      <c r="F472" s="72"/>
    </row>
    <row r="473" ht="14.25" customHeight="1">
      <c r="A473" s="73"/>
      <c r="B473" s="73"/>
      <c r="C473" s="73"/>
      <c r="D473" s="73"/>
      <c r="E473" s="73"/>
      <c r="F473" s="72"/>
    </row>
    <row r="474" ht="14.25" customHeight="1">
      <c r="A474" s="73"/>
      <c r="B474" s="73"/>
      <c r="C474" s="73"/>
      <c r="D474" s="73"/>
      <c r="E474" s="73"/>
      <c r="F474" s="72"/>
    </row>
    <row r="475" ht="14.25" customHeight="1">
      <c r="A475" s="73"/>
      <c r="B475" s="73"/>
      <c r="C475" s="73"/>
      <c r="D475" s="73"/>
      <c r="E475" s="73"/>
      <c r="F475" s="72"/>
    </row>
    <row r="476" ht="14.25" customHeight="1">
      <c r="A476" s="73"/>
      <c r="B476" s="73"/>
      <c r="C476" s="73"/>
      <c r="D476" s="73"/>
      <c r="E476" s="73"/>
      <c r="F476" s="72"/>
    </row>
    <row r="477" ht="14.25" customHeight="1">
      <c r="A477" s="73"/>
      <c r="B477" s="73"/>
      <c r="C477" s="73"/>
      <c r="D477" s="73"/>
      <c r="E477" s="73"/>
      <c r="F477" s="72"/>
    </row>
    <row r="478" ht="14.25" customHeight="1">
      <c r="A478" s="73"/>
      <c r="B478" s="73"/>
      <c r="C478" s="73"/>
      <c r="D478" s="73"/>
      <c r="E478" s="73"/>
      <c r="F478" s="72"/>
    </row>
    <row r="479" ht="14.25" customHeight="1">
      <c r="A479" s="73"/>
      <c r="B479" s="73"/>
      <c r="C479" s="73"/>
      <c r="D479" s="73"/>
      <c r="E479" s="73"/>
      <c r="F479" s="72"/>
    </row>
    <row r="480" ht="14.25" customHeight="1">
      <c r="A480" s="73"/>
      <c r="B480" s="73"/>
      <c r="C480" s="73"/>
      <c r="D480" s="73"/>
      <c r="E480" s="73"/>
      <c r="F480" s="72"/>
    </row>
    <row r="481" ht="14.25" customHeight="1">
      <c r="A481" s="73"/>
      <c r="B481" s="73"/>
      <c r="C481" s="73"/>
      <c r="D481" s="73"/>
      <c r="E481" s="73"/>
      <c r="F481" s="72"/>
    </row>
    <row r="482" ht="14.25" customHeight="1">
      <c r="A482" s="73"/>
      <c r="B482" s="73"/>
      <c r="C482" s="73"/>
      <c r="D482" s="73"/>
      <c r="E482" s="73"/>
      <c r="F482" s="72"/>
    </row>
    <row r="483" ht="14.25" customHeight="1">
      <c r="A483" s="73"/>
      <c r="B483" s="73"/>
      <c r="C483" s="73"/>
      <c r="D483" s="73"/>
      <c r="E483" s="73"/>
      <c r="F483" s="72"/>
    </row>
    <row r="484" ht="14.25" customHeight="1">
      <c r="A484" s="73"/>
      <c r="B484" s="73"/>
      <c r="C484" s="73"/>
      <c r="D484" s="73"/>
      <c r="E484" s="73"/>
      <c r="F484" s="72"/>
    </row>
    <row r="485" ht="14.25" customHeight="1">
      <c r="A485" s="73"/>
      <c r="B485" s="73"/>
      <c r="C485" s="73"/>
      <c r="D485" s="73"/>
      <c r="E485" s="73"/>
      <c r="F485" s="72"/>
    </row>
    <row r="486" ht="14.25" customHeight="1">
      <c r="A486" s="73"/>
      <c r="B486" s="73"/>
      <c r="C486" s="73"/>
      <c r="D486" s="73"/>
      <c r="E486" s="73"/>
      <c r="F486" s="72"/>
    </row>
    <row r="487" ht="14.25" customHeight="1">
      <c r="A487" s="73"/>
      <c r="B487" s="73"/>
      <c r="C487" s="73"/>
      <c r="D487" s="73"/>
      <c r="E487" s="73"/>
      <c r="F487" s="72"/>
    </row>
    <row r="488" ht="14.25" customHeight="1">
      <c r="A488" s="73"/>
      <c r="B488" s="73"/>
      <c r="C488" s="73"/>
      <c r="D488" s="73"/>
      <c r="E488" s="73"/>
      <c r="F488" s="72"/>
    </row>
    <row r="489" ht="14.25" customHeight="1">
      <c r="A489" s="73"/>
      <c r="B489" s="73"/>
      <c r="C489" s="73"/>
      <c r="D489" s="73"/>
      <c r="E489" s="73"/>
      <c r="F489" s="72"/>
    </row>
    <row r="490" ht="14.25" customHeight="1">
      <c r="A490" s="73"/>
      <c r="B490" s="73"/>
      <c r="C490" s="73"/>
      <c r="D490" s="73"/>
      <c r="E490" s="73"/>
      <c r="F490" s="72"/>
    </row>
    <row r="491" ht="14.25" customHeight="1">
      <c r="A491" s="73"/>
      <c r="B491" s="73"/>
      <c r="C491" s="73"/>
      <c r="D491" s="73"/>
      <c r="E491" s="73"/>
      <c r="F491" s="72"/>
    </row>
    <row r="492" ht="14.25" customHeight="1">
      <c r="A492" s="73"/>
      <c r="B492" s="73"/>
      <c r="C492" s="73"/>
      <c r="D492" s="73"/>
      <c r="E492" s="73"/>
      <c r="F492" s="72"/>
    </row>
    <row r="493" ht="14.25" customHeight="1">
      <c r="A493" s="73"/>
      <c r="B493" s="73"/>
      <c r="C493" s="73"/>
      <c r="D493" s="73"/>
      <c r="E493" s="73"/>
      <c r="F493" s="72"/>
    </row>
    <row r="494" ht="14.25" customHeight="1">
      <c r="A494" s="73"/>
      <c r="B494" s="73"/>
      <c r="C494" s="73"/>
      <c r="D494" s="73"/>
      <c r="E494" s="73"/>
      <c r="F494" s="72"/>
    </row>
    <row r="495" ht="14.25" customHeight="1">
      <c r="A495" s="73"/>
      <c r="B495" s="73"/>
      <c r="C495" s="73"/>
      <c r="D495" s="73"/>
      <c r="E495" s="73"/>
      <c r="F495" s="72"/>
    </row>
    <row r="496" ht="14.25" customHeight="1">
      <c r="A496" s="73"/>
      <c r="B496" s="73"/>
      <c r="C496" s="73"/>
      <c r="D496" s="73"/>
      <c r="E496" s="73"/>
      <c r="F496" s="72"/>
    </row>
    <row r="497" ht="14.25" customHeight="1">
      <c r="A497" s="73"/>
      <c r="B497" s="73"/>
      <c r="C497" s="73"/>
      <c r="D497" s="73"/>
      <c r="E497" s="73"/>
      <c r="F497" s="72"/>
    </row>
    <row r="498" ht="14.25" customHeight="1">
      <c r="A498" s="73"/>
      <c r="B498" s="73"/>
      <c r="C498" s="73"/>
      <c r="D498" s="73"/>
      <c r="E498" s="73"/>
      <c r="F498" s="72"/>
    </row>
    <row r="499" ht="14.25" customHeight="1">
      <c r="A499" s="73"/>
      <c r="B499" s="73"/>
      <c r="C499" s="73"/>
      <c r="D499" s="73"/>
      <c r="E499" s="73"/>
      <c r="F499" s="72"/>
    </row>
    <row r="500" ht="14.25" customHeight="1">
      <c r="A500" s="73"/>
      <c r="B500" s="73"/>
      <c r="C500" s="73"/>
      <c r="D500" s="73"/>
      <c r="E500" s="73"/>
      <c r="F500" s="72"/>
    </row>
    <row r="501" ht="14.25" customHeight="1">
      <c r="A501" s="73"/>
      <c r="B501" s="73"/>
      <c r="C501" s="73"/>
      <c r="D501" s="73"/>
      <c r="E501" s="73"/>
      <c r="F501" s="72"/>
    </row>
    <row r="502" ht="14.25" customHeight="1">
      <c r="A502" s="73"/>
      <c r="B502" s="73"/>
      <c r="C502" s="73"/>
      <c r="D502" s="73"/>
      <c r="E502" s="73"/>
      <c r="F502" s="72"/>
    </row>
    <row r="503" ht="14.25" customHeight="1">
      <c r="A503" s="73"/>
      <c r="B503" s="73"/>
      <c r="C503" s="73"/>
      <c r="D503" s="73"/>
      <c r="E503" s="73"/>
      <c r="F503" s="72"/>
    </row>
    <row r="504" ht="14.25" customHeight="1">
      <c r="A504" s="73"/>
      <c r="B504" s="73"/>
      <c r="C504" s="73"/>
      <c r="D504" s="73"/>
      <c r="E504" s="73"/>
      <c r="F504" s="72"/>
    </row>
    <row r="505" ht="14.25" customHeight="1">
      <c r="A505" s="73"/>
      <c r="B505" s="73"/>
      <c r="C505" s="73"/>
      <c r="D505" s="73"/>
      <c r="E505" s="73"/>
      <c r="F505" s="72"/>
    </row>
    <row r="506" ht="14.25" customHeight="1">
      <c r="A506" s="73"/>
      <c r="B506" s="73"/>
      <c r="C506" s="73"/>
      <c r="D506" s="73"/>
      <c r="E506" s="73"/>
      <c r="F506" s="72"/>
    </row>
    <row r="507" ht="14.25" customHeight="1">
      <c r="A507" s="73"/>
      <c r="B507" s="73"/>
      <c r="C507" s="73"/>
      <c r="D507" s="73"/>
      <c r="E507" s="73"/>
      <c r="F507" s="72"/>
    </row>
    <row r="508" ht="14.25" customHeight="1">
      <c r="A508" s="73"/>
      <c r="B508" s="73"/>
      <c r="C508" s="73"/>
      <c r="D508" s="73"/>
      <c r="E508" s="73"/>
      <c r="F508" s="72"/>
    </row>
    <row r="509" ht="14.25" customHeight="1">
      <c r="A509" s="73"/>
      <c r="B509" s="73"/>
      <c r="C509" s="73"/>
      <c r="D509" s="73"/>
      <c r="E509" s="73"/>
      <c r="F509" s="72"/>
    </row>
    <row r="510" ht="14.25" customHeight="1">
      <c r="A510" s="73"/>
      <c r="B510" s="73"/>
      <c r="C510" s="73"/>
      <c r="D510" s="73"/>
      <c r="E510" s="73"/>
      <c r="F510" s="72"/>
    </row>
    <row r="511" ht="14.25" customHeight="1">
      <c r="A511" s="73"/>
      <c r="B511" s="73"/>
      <c r="C511" s="73"/>
      <c r="D511" s="73"/>
      <c r="E511" s="73"/>
      <c r="F511" s="72"/>
    </row>
    <row r="512" ht="14.25" customHeight="1">
      <c r="A512" s="73"/>
      <c r="B512" s="73"/>
      <c r="C512" s="73"/>
      <c r="D512" s="73"/>
      <c r="E512" s="73"/>
      <c r="F512" s="72"/>
    </row>
    <row r="513" ht="14.25" customHeight="1">
      <c r="A513" s="73"/>
      <c r="B513" s="73"/>
      <c r="C513" s="73"/>
      <c r="D513" s="73"/>
      <c r="E513" s="73"/>
      <c r="F513" s="72"/>
    </row>
    <row r="514" ht="14.25" customHeight="1">
      <c r="A514" s="73"/>
      <c r="B514" s="73"/>
      <c r="C514" s="73"/>
      <c r="D514" s="73"/>
      <c r="E514" s="73"/>
      <c r="F514" s="72"/>
    </row>
    <row r="515" ht="14.25" customHeight="1">
      <c r="A515" s="73"/>
      <c r="B515" s="73"/>
      <c r="C515" s="73"/>
      <c r="D515" s="73"/>
      <c r="E515" s="73"/>
      <c r="F515" s="72"/>
    </row>
    <row r="516" ht="14.25" customHeight="1">
      <c r="A516" s="73"/>
      <c r="B516" s="73"/>
      <c r="C516" s="73"/>
      <c r="D516" s="73"/>
      <c r="E516" s="73"/>
      <c r="F516" s="72"/>
    </row>
    <row r="517" ht="14.25" customHeight="1">
      <c r="A517" s="73"/>
      <c r="B517" s="73"/>
      <c r="C517" s="73"/>
      <c r="D517" s="73"/>
      <c r="E517" s="73"/>
      <c r="F517" s="72"/>
    </row>
    <row r="518" ht="14.25" customHeight="1">
      <c r="A518" s="73"/>
      <c r="B518" s="73"/>
      <c r="C518" s="73"/>
      <c r="D518" s="73"/>
      <c r="E518" s="73"/>
      <c r="F518" s="72"/>
    </row>
    <row r="519" ht="14.25" customHeight="1">
      <c r="A519" s="73"/>
      <c r="B519" s="73"/>
      <c r="C519" s="73"/>
      <c r="D519" s="73"/>
      <c r="E519" s="73"/>
      <c r="F519" s="72"/>
    </row>
    <row r="520" ht="14.25" customHeight="1">
      <c r="A520" s="73"/>
      <c r="B520" s="73"/>
      <c r="C520" s="73"/>
      <c r="D520" s="73"/>
      <c r="E520" s="73"/>
      <c r="F520" s="72"/>
    </row>
    <row r="521" ht="14.25" customHeight="1">
      <c r="A521" s="73"/>
      <c r="B521" s="73"/>
      <c r="C521" s="73"/>
      <c r="D521" s="73"/>
      <c r="E521" s="73"/>
      <c r="F521" s="72"/>
    </row>
    <row r="522" ht="14.25" customHeight="1">
      <c r="A522" s="73"/>
      <c r="B522" s="73"/>
      <c r="C522" s="73"/>
      <c r="D522" s="73"/>
      <c r="E522" s="73"/>
      <c r="F522" s="72"/>
    </row>
    <row r="523" ht="14.25" customHeight="1">
      <c r="A523" s="73"/>
      <c r="B523" s="73"/>
      <c r="C523" s="73"/>
      <c r="D523" s="73"/>
      <c r="E523" s="73"/>
      <c r="F523" s="72"/>
    </row>
    <row r="524" ht="14.25" customHeight="1">
      <c r="A524" s="73"/>
      <c r="B524" s="73"/>
      <c r="C524" s="73"/>
      <c r="D524" s="73"/>
      <c r="E524" s="73"/>
      <c r="F524" s="72"/>
    </row>
    <row r="525" ht="14.25" customHeight="1">
      <c r="A525" s="73"/>
      <c r="B525" s="73"/>
      <c r="C525" s="73"/>
      <c r="D525" s="73"/>
      <c r="E525" s="73"/>
      <c r="F525" s="72"/>
    </row>
    <row r="526" ht="14.25" customHeight="1">
      <c r="A526" s="73"/>
      <c r="B526" s="73"/>
      <c r="C526" s="73"/>
      <c r="D526" s="73"/>
      <c r="E526" s="73"/>
      <c r="F526" s="72"/>
    </row>
    <row r="527" ht="14.25" customHeight="1">
      <c r="A527" s="73"/>
      <c r="B527" s="73"/>
      <c r="C527" s="73"/>
      <c r="D527" s="73"/>
      <c r="E527" s="73"/>
      <c r="F527" s="72"/>
    </row>
    <row r="528" ht="14.25" customHeight="1">
      <c r="A528" s="73"/>
      <c r="B528" s="73"/>
      <c r="C528" s="73"/>
      <c r="D528" s="73"/>
      <c r="E528" s="73"/>
      <c r="F528" s="72"/>
    </row>
    <row r="529" ht="14.25" customHeight="1">
      <c r="A529" s="73"/>
      <c r="B529" s="73"/>
      <c r="C529" s="73"/>
      <c r="D529" s="73"/>
      <c r="E529" s="73"/>
      <c r="F529" s="72"/>
    </row>
    <row r="530" ht="14.25" customHeight="1">
      <c r="A530" s="73"/>
      <c r="B530" s="73"/>
      <c r="C530" s="73"/>
      <c r="D530" s="73"/>
      <c r="E530" s="73"/>
      <c r="F530" s="72"/>
    </row>
    <row r="531" ht="14.25" customHeight="1">
      <c r="A531" s="73"/>
      <c r="B531" s="73"/>
      <c r="C531" s="73"/>
      <c r="D531" s="73"/>
      <c r="E531" s="73"/>
      <c r="F531" s="72"/>
    </row>
    <row r="532" ht="14.25" customHeight="1">
      <c r="A532" s="73"/>
      <c r="B532" s="73"/>
      <c r="C532" s="73"/>
      <c r="D532" s="73"/>
      <c r="E532" s="73"/>
      <c r="F532" s="72"/>
    </row>
    <row r="533" ht="14.25" customHeight="1">
      <c r="A533" s="73"/>
      <c r="B533" s="73"/>
      <c r="C533" s="73"/>
      <c r="D533" s="73"/>
      <c r="E533" s="73"/>
      <c r="F533" s="72"/>
    </row>
    <row r="534" ht="14.25" customHeight="1">
      <c r="A534" s="73"/>
      <c r="B534" s="73"/>
      <c r="C534" s="73"/>
      <c r="D534" s="73"/>
      <c r="E534" s="73"/>
      <c r="F534" s="72"/>
    </row>
    <row r="535" ht="14.25" customHeight="1">
      <c r="A535" s="73"/>
      <c r="B535" s="73"/>
      <c r="C535" s="73"/>
      <c r="D535" s="73"/>
      <c r="E535" s="73"/>
      <c r="F535" s="72"/>
    </row>
    <row r="536" ht="14.25" customHeight="1">
      <c r="A536" s="73"/>
      <c r="B536" s="73"/>
      <c r="C536" s="73"/>
      <c r="D536" s="73"/>
      <c r="E536" s="73"/>
      <c r="F536" s="72"/>
    </row>
    <row r="537" ht="14.25" customHeight="1">
      <c r="A537" s="73"/>
      <c r="B537" s="73"/>
      <c r="C537" s="73"/>
      <c r="D537" s="73"/>
      <c r="E537" s="73"/>
      <c r="F537" s="72"/>
    </row>
    <row r="538" ht="14.25" customHeight="1">
      <c r="A538" s="73"/>
      <c r="B538" s="73"/>
      <c r="C538" s="73"/>
      <c r="D538" s="73"/>
      <c r="E538" s="73"/>
      <c r="F538" s="72"/>
    </row>
    <row r="539" ht="14.25" customHeight="1">
      <c r="A539" s="73"/>
      <c r="B539" s="73"/>
      <c r="C539" s="73"/>
      <c r="D539" s="73"/>
      <c r="E539" s="73"/>
      <c r="F539" s="72"/>
    </row>
    <row r="540" ht="14.25" customHeight="1">
      <c r="A540" s="73"/>
      <c r="B540" s="73"/>
      <c r="C540" s="73"/>
      <c r="D540" s="73"/>
      <c r="E540" s="73"/>
      <c r="F540" s="72"/>
    </row>
    <row r="541" ht="14.25" customHeight="1">
      <c r="A541" s="73"/>
      <c r="B541" s="73"/>
      <c r="C541" s="73"/>
      <c r="D541" s="73"/>
      <c r="E541" s="73"/>
      <c r="F541" s="72"/>
    </row>
    <row r="542" ht="14.25" customHeight="1">
      <c r="A542" s="73"/>
      <c r="B542" s="73"/>
      <c r="C542" s="73"/>
      <c r="D542" s="73"/>
      <c r="E542" s="73"/>
      <c r="F542" s="72"/>
    </row>
    <row r="543" ht="14.25" customHeight="1">
      <c r="A543" s="73"/>
      <c r="B543" s="73"/>
      <c r="C543" s="73"/>
      <c r="D543" s="73"/>
      <c r="E543" s="73"/>
      <c r="F543" s="72"/>
    </row>
    <row r="544" ht="14.25" customHeight="1">
      <c r="A544" s="73"/>
      <c r="B544" s="73"/>
      <c r="C544" s="73"/>
      <c r="D544" s="73"/>
      <c r="E544" s="73"/>
      <c r="F544" s="72"/>
    </row>
    <row r="545" ht="14.25" customHeight="1">
      <c r="A545" s="73"/>
      <c r="B545" s="73"/>
      <c r="C545" s="73"/>
      <c r="D545" s="73"/>
      <c r="E545" s="73"/>
      <c r="F545" s="72"/>
    </row>
    <row r="546" ht="14.25" customHeight="1">
      <c r="A546" s="73"/>
      <c r="B546" s="73"/>
      <c r="C546" s="73"/>
      <c r="D546" s="73"/>
      <c r="E546" s="73"/>
      <c r="F546" s="72"/>
    </row>
    <row r="547" ht="14.25" customHeight="1">
      <c r="A547" s="73"/>
      <c r="B547" s="73"/>
      <c r="C547" s="73"/>
      <c r="D547" s="73"/>
      <c r="E547" s="73"/>
      <c r="F547" s="72"/>
    </row>
    <row r="548" ht="14.25" customHeight="1">
      <c r="A548" s="73"/>
      <c r="B548" s="73"/>
      <c r="C548" s="73"/>
      <c r="D548" s="73"/>
      <c r="E548" s="73"/>
      <c r="F548" s="72"/>
    </row>
    <row r="549" ht="14.25" customHeight="1">
      <c r="A549" s="73"/>
      <c r="B549" s="73"/>
      <c r="C549" s="73"/>
      <c r="D549" s="73"/>
      <c r="E549" s="73"/>
      <c r="F549" s="72"/>
    </row>
    <row r="550" ht="14.25" customHeight="1">
      <c r="A550" s="73"/>
      <c r="B550" s="73"/>
      <c r="C550" s="73"/>
      <c r="D550" s="73"/>
      <c r="E550" s="73"/>
      <c r="F550" s="72"/>
    </row>
    <row r="551" ht="14.25" customHeight="1">
      <c r="A551" s="73"/>
      <c r="B551" s="73"/>
      <c r="C551" s="73"/>
      <c r="D551" s="73"/>
      <c r="E551" s="73"/>
      <c r="F551" s="72"/>
    </row>
    <row r="552" ht="14.25" customHeight="1">
      <c r="A552" s="73"/>
      <c r="B552" s="73"/>
      <c r="C552" s="73"/>
      <c r="D552" s="73"/>
      <c r="E552" s="73"/>
      <c r="F552" s="72"/>
    </row>
    <row r="553" ht="14.25" customHeight="1">
      <c r="A553" s="73"/>
      <c r="B553" s="73"/>
      <c r="C553" s="73"/>
      <c r="D553" s="73"/>
      <c r="E553" s="73"/>
      <c r="F553" s="72"/>
    </row>
    <row r="554" ht="14.25" customHeight="1">
      <c r="A554" s="73"/>
      <c r="B554" s="73"/>
      <c r="C554" s="73"/>
      <c r="D554" s="73"/>
      <c r="E554" s="73"/>
      <c r="F554" s="72"/>
    </row>
    <row r="555" ht="14.25" customHeight="1">
      <c r="A555" s="73"/>
      <c r="B555" s="73"/>
      <c r="C555" s="73"/>
      <c r="D555" s="73"/>
      <c r="E555" s="73"/>
      <c r="F555" s="72"/>
    </row>
    <row r="556" ht="14.25" customHeight="1">
      <c r="A556" s="73"/>
      <c r="B556" s="73"/>
      <c r="C556" s="73"/>
      <c r="D556" s="73"/>
      <c r="E556" s="73"/>
      <c r="F556" s="72"/>
    </row>
    <row r="557" ht="14.25" customHeight="1">
      <c r="A557" s="73"/>
      <c r="B557" s="73"/>
      <c r="C557" s="73"/>
      <c r="D557" s="73"/>
      <c r="E557" s="73"/>
      <c r="F557" s="72"/>
    </row>
    <row r="558" ht="14.25" customHeight="1">
      <c r="A558" s="73"/>
      <c r="B558" s="73"/>
      <c r="C558" s="73"/>
      <c r="D558" s="73"/>
      <c r="E558" s="73"/>
      <c r="F558" s="72"/>
    </row>
    <row r="559" ht="14.25" customHeight="1">
      <c r="A559" s="73"/>
      <c r="B559" s="73"/>
      <c r="C559" s="73"/>
      <c r="D559" s="73"/>
      <c r="E559" s="73"/>
      <c r="F559" s="72"/>
    </row>
    <row r="560" ht="14.25" customHeight="1">
      <c r="A560" s="73"/>
      <c r="B560" s="73"/>
      <c r="C560" s="73"/>
      <c r="D560" s="73"/>
      <c r="E560" s="73"/>
      <c r="F560" s="72"/>
    </row>
    <row r="561" ht="14.25" customHeight="1">
      <c r="A561" s="73"/>
      <c r="B561" s="73"/>
      <c r="C561" s="73"/>
      <c r="D561" s="73"/>
      <c r="E561" s="73"/>
      <c r="F561" s="72"/>
    </row>
    <row r="562" ht="14.25" customHeight="1">
      <c r="A562" s="73"/>
      <c r="B562" s="73"/>
      <c r="C562" s="73"/>
      <c r="D562" s="73"/>
      <c r="E562" s="73"/>
      <c r="F562" s="72"/>
    </row>
    <row r="563" ht="14.25" customHeight="1">
      <c r="A563" s="73"/>
      <c r="B563" s="73"/>
      <c r="C563" s="73"/>
      <c r="D563" s="73"/>
      <c r="E563" s="73"/>
      <c r="F563" s="72"/>
    </row>
    <row r="564" ht="14.25" customHeight="1">
      <c r="A564" s="73"/>
      <c r="B564" s="73"/>
      <c r="C564" s="73"/>
      <c r="D564" s="73"/>
      <c r="E564" s="73"/>
      <c r="F564" s="72"/>
    </row>
    <row r="565" ht="14.25" customHeight="1">
      <c r="A565" s="73"/>
      <c r="B565" s="73"/>
      <c r="C565" s="73"/>
      <c r="D565" s="73"/>
      <c r="E565" s="73"/>
      <c r="F565" s="72"/>
    </row>
    <row r="566" ht="14.25" customHeight="1">
      <c r="A566" s="73"/>
      <c r="B566" s="73"/>
      <c r="C566" s="73"/>
      <c r="D566" s="73"/>
      <c r="E566" s="73"/>
      <c r="F566" s="72"/>
    </row>
    <row r="567" ht="14.25" customHeight="1">
      <c r="A567" s="73"/>
      <c r="B567" s="73"/>
      <c r="C567" s="73"/>
      <c r="D567" s="73"/>
      <c r="E567" s="73"/>
      <c r="F567" s="72"/>
    </row>
    <row r="568" ht="14.25" customHeight="1">
      <c r="A568" s="73"/>
      <c r="B568" s="73"/>
      <c r="C568" s="73"/>
      <c r="D568" s="73"/>
      <c r="E568" s="73"/>
      <c r="F568" s="72"/>
    </row>
    <row r="569" ht="14.25" customHeight="1">
      <c r="A569" s="73"/>
      <c r="B569" s="73"/>
      <c r="C569" s="73"/>
      <c r="D569" s="73"/>
      <c r="E569" s="73"/>
      <c r="F569" s="72"/>
    </row>
    <row r="570" ht="14.25" customHeight="1">
      <c r="A570" s="73"/>
      <c r="B570" s="73"/>
      <c r="C570" s="73"/>
      <c r="D570" s="73"/>
      <c r="E570" s="73"/>
      <c r="F570" s="72"/>
    </row>
    <row r="571" ht="14.25" customHeight="1">
      <c r="A571" s="73"/>
      <c r="B571" s="73"/>
      <c r="C571" s="73"/>
      <c r="D571" s="73"/>
      <c r="E571" s="73"/>
      <c r="F571" s="72"/>
    </row>
    <row r="572" ht="14.25" customHeight="1">
      <c r="A572" s="73"/>
      <c r="B572" s="73"/>
      <c r="C572" s="73"/>
      <c r="D572" s="73"/>
      <c r="E572" s="73"/>
      <c r="F572" s="72"/>
    </row>
    <row r="573" ht="14.25" customHeight="1">
      <c r="A573" s="73"/>
      <c r="B573" s="73"/>
      <c r="C573" s="73"/>
      <c r="D573" s="73"/>
      <c r="E573" s="73"/>
      <c r="F573" s="72"/>
    </row>
    <row r="574" ht="14.25" customHeight="1">
      <c r="A574" s="73"/>
      <c r="B574" s="73"/>
      <c r="C574" s="73"/>
      <c r="D574" s="73"/>
      <c r="E574" s="73"/>
      <c r="F574" s="72"/>
    </row>
    <row r="575" ht="14.25" customHeight="1">
      <c r="A575" s="73"/>
      <c r="B575" s="73"/>
      <c r="C575" s="73"/>
      <c r="D575" s="73"/>
      <c r="E575" s="73"/>
      <c r="F575" s="72"/>
    </row>
    <row r="576" ht="14.25" customHeight="1">
      <c r="A576" s="73"/>
      <c r="B576" s="73"/>
      <c r="C576" s="73"/>
      <c r="D576" s="73"/>
      <c r="E576" s="73"/>
      <c r="F576" s="72"/>
    </row>
    <row r="577" ht="14.25" customHeight="1">
      <c r="A577" s="73"/>
      <c r="B577" s="73"/>
      <c r="C577" s="73"/>
      <c r="D577" s="73"/>
      <c r="E577" s="73"/>
      <c r="F577" s="72"/>
    </row>
    <row r="578" ht="14.25" customHeight="1">
      <c r="A578" s="73"/>
      <c r="B578" s="73"/>
      <c r="C578" s="73"/>
      <c r="D578" s="73"/>
      <c r="E578" s="73"/>
      <c r="F578" s="72"/>
    </row>
    <row r="579" ht="14.25" customHeight="1">
      <c r="A579" s="73"/>
      <c r="B579" s="73"/>
      <c r="C579" s="73"/>
      <c r="D579" s="73"/>
      <c r="E579" s="73"/>
      <c r="F579" s="72"/>
    </row>
    <row r="580" ht="14.25" customHeight="1">
      <c r="A580" s="73"/>
      <c r="B580" s="73"/>
      <c r="C580" s="73"/>
      <c r="D580" s="73"/>
      <c r="E580" s="73"/>
      <c r="F580" s="72"/>
    </row>
    <row r="581" ht="14.25" customHeight="1">
      <c r="A581" s="73"/>
      <c r="B581" s="73"/>
      <c r="C581" s="73"/>
      <c r="D581" s="73"/>
      <c r="E581" s="73"/>
      <c r="F581" s="72"/>
    </row>
    <row r="582" ht="14.25" customHeight="1">
      <c r="A582" s="73"/>
      <c r="B582" s="73"/>
      <c r="C582" s="73"/>
      <c r="D582" s="73"/>
      <c r="E582" s="73"/>
      <c r="F582" s="72"/>
    </row>
    <row r="583" ht="14.25" customHeight="1">
      <c r="A583" s="73"/>
      <c r="B583" s="73"/>
      <c r="C583" s="73"/>
      <c r="D583" s="73"/>
      <c r="E583" s="73"/>
      <c r="F583" s="72"/>
    </row>
    <row r="584" ht="14.25" customHeight="1">
      <c r="A584" s="73"/>
      <c r="B584" s="73"/>
      <c r="C584" s="73"/>
      <c r="D584" s="73"/>
      <c r="E584" s="73"/>
      <c r="F584" s="72"/>
    </row>
    <row r="585" ht="14.25" customHeight="1">
      <c r="A585" s="73"/>
      <c r="B585" s="73"/>
      <c r="C585" s="73"/>
      <c r="D585" s="73"/>
      <c r="E585" s="73"/>
      <c r="F585" s="72"/>
    </row>
    <row r="586" ht="14.25" customHeight="1">
      <c r="A586" s="73"/>
      <c r="B586" s="73"/>
      <c r="C586" s="73"/>
      <c r="D586" s="73"/>
      <c r="E586" s="73"/>
      <c r="F586" s="72"/>
    </row>
    <row r="587" ht="14.25" customHeight="1">
      <c r="A587" s="73"/>
      <c r="B587" s="73"/>
      <c r="C587" s="73"/>
      <c r="D587" s="73"/>
      <c r="E587" s="73"/>
      <c r="F587" s="72"/>
    </row>
    <row r="588" ht="14.25" customHeight="1">
      <c r="A588" s="73"/>
      <c r="B588" s="73"/>
      <c r="C588" s="73"/>
      <c r="D588" s="73"/>
      <c r="E588" s="73"/>
      <c r="F588" s="72"/>
    </row>
    <row r="589" ht="14.25" customHeight="1">
      <c r="A589" s="73"/>
      <c r="B589" s="73"/>
      <c r="C589" s="73"/>
      <c r="D589" s="73"/>
      <c r="E589" s="73"/>
      <c r="F589" s="72"/>
    </row>
    <row r="590" ht="14.25" customHeight="1">
      <c r="A590" s="73"/>
      <c r="B590" s="73"/>
      <c r="C590" s="73"/>
      <c r="D590" s="73"/>
      <c r="E590" s="73"/>
      <c r="F590" s="72"/>
    </row>
    <row r="591" ht="14.25" customHeight="1">
      <c r="A591" s="73"/>
      <c r="B591" s="73"/>
      <c r="C591" s="73"/>
      <c r="D591" s="73"/>
      <c r="E591" s="73"/>
      <c r="F591" s="72"/>
    </row>
    <row r="592" ht="14.25" customHeight="1">
      <c r="A592" s="73"/>
      <c r="B592" s="73"/>
      <c r="C592" s="73"/>
      <c r="D592" s="73"/>
      <c r="E592" s="73"/>
      <c r="F592" s="72"/>
    </row>
    <row r="593" ht="14.25" customHeight="1">
      <c r="A593" s="73"/>
      <c r="B593" s="73"/>
      <c r="C593" s="73"/>
      <c r="D593" s="73"/>
      <c r="E593" s="73"/>
      <c r="F593" s="72"/>
    </row>
    <row r="594" ht="14.25" customHeight="1">
      <c r="A594" s="73"/>
      <c r="B594" s="73"/>
      <c r="C594" s="73"/>
      <c r="D594" s="73"/>
      <c r="E594" s="73"/>
      <c r="F594" s="72"/>
    </row>
    <row r="595" ht="14.25" customHeight="1">
      <c r="A595" s="73"/>
      <c r="B595" s="73"/>
      <c r="C595" s="73"/>
      <c r="D595" s="73"/>
      <c r="E595" s="73"/>
      <c r="F595" s="72"/>
    </row>
    <row r="596" ht="14.25" customHeight="1">
      <c r="A596" s="73"/>
      <c r="B596" s="73"/>
      <c r="C596" s="73"/>
      <c r="D596" s="73"/>
      <c r="E596" s="73"/>
      <c r="F596" s="72"/>
    </row>
    <row r="597" ht="14.25" customHeight="1">
      <c r="A597" s="73"/>
      <c r="B597" s="73"/>
      <c r="C597" s="73"/>
      <c r="D597" s="73"/>
      <c r="E597" s="73"/>
      <c r="F597" s="72"/>
    </row>
    <row r="598" ht="14.25" customHeight="1">
      <c r="A598" s="73"/>
      <c r="B598" s="73"/>
      <c r="C598" s="73"/>
      <c r="D598" s="73"/>
      <c r="E598" s="73"/>
      <c r="F598" s="72"/>
    </row>
    <row r="599" ht="14.25" customHeight="1">
      <c r="A599" s="73"/>
      <c r="B599" s="73"/>
      <c r="C599" s="73"/>
      <c r="D599" s="73"/>
      <c r="E599" s="73"/>
      <c r="F599" s="72"/>
    </row>
    <row r="600" ht="14.25" customHeight="1">
      <c r="A600" s="73"/>
      <c r="B600" s="73"/>
      <c r="C600" s="73"/>
      <c r="D600" s="73"/>
      <c r="E600" s="73"/>
      <c r="F600" s="72"/>
    </row>
    <row r="601" ht="14.25" customHeight="1">
      <c r="A601" s="73"/>
      <c r="B601" s="73"/>
      <c r="C601" s="73"/>
      <c r="D601" s="73"/>
      <c r="E601" s="73"/>
      <c r="F601" s="72"/>
    </row>
    <row r="602" ht="14.25" customHeight="1">
      <c r="A602" s="73"/>
      <c r="B602" s="73"/>
      <c r="C602" s="73"/>
      <c r="D602" s="73"/>
      <c r="E602" s="73"/>
      <c r="F602" s="72"/>
    </row>
    <row r="603" ht="14.25" customHeight="1">
      <c r="A603" s="73"/>
      <c r="B603" s="73"/>
      <c r="C603" s="73"/>
      <c r="D603" s="73"/>
      <c r="E603" s="73"/>
      <c r="F603" s="72"/>
    </row>
    <row r="604" ht="14.25" customHeight="1">
      <c r="A604" s="73"/>
      <c r="B604" s="73"/>
      <c r="C604" s="73"/>
      <c r="D604" s="73"/>
      <c r="E604" s="73"/>
      <c r="F604" s="72"/>
    </row>
    <row r="605" ht="14.25" customHeight="1">
      <c r="A605" s="73"/>
      <c r="B605" s="73"/>
      <c r="C605" s="73"/>
      <c r="D605" s="73"/>
      <c r="E605" s="73"/>
      <c r="F605" s="72"/>
    </row>
    <row r="606" ht="14.25" customHeight="1">
      <c r="A606" s="73"/>
      <c r="B606" s="73"/>
      <c r="C606" s="73"/>
      <c r="D606" s="73"/>
      <c r="E606" s="73"/>
      <c r="F606" s="72"/>
    </row>
    <row r="607" ht="14.25" customHeight="1">
      <c r="A607" s="73"/>
      <c r="B607" s="73"/>
      <c r="C607" s="73"/>
      <c r="D607" s="73"/>
      <c r="E607" s="73"/>
      <c r="F607" s="72"/>
    </row>
    <row r="608" ht="14.25" customHeight="1">
      <c r="A608" s="73"/>
      <c r="B608" s="73"/>
      <c r="C608" s="73"/>
      <c r="D608" s="73"/>
      <c r="E608" s="73"/>
      <c r="F608" s="72"/>
    </row>
    <row r="609" ht="14.25" customHeight="1">
      <c r="A609" s="73"/>
      <c r="B609" s="73"/>
      <c r="C609" s="73"/>
      <c r="D609" s="73"/>
      <c r="E609" s="73"/>
      <c r="F609" s="72"/>
    </row>
    <row r="610" ht="14.25" customHeight="1">
      <c r="A610" s="73"/>
      <c r="B610" s="73"/>
      <c r="C610" s="73"/>
      <c r="D610" s="73"/>
      <c r="E610" s="73"/>
      <c r="F610" s="72"/>
    </row>
    <row r="611" ht="14.25" customHeight="1">
      <c r="A611" s="73"/>
      <c r="B611" s="73"/>
      <c r="C611" s="73"/>
      <c r="D611" s="73"/>
      <c r="E611" s="73"/>
      <c r="F611" s="72"/>
    </row>
    <row r="612" ht="14.25" customHeight="1">
      <c r="A612" s="73"/>
      <c r="B612" s="73"/>
      <c r="C612" s="73"/>
      <c r="D612" s="73"/>
      <c r="E612" s="73"/>
      <c r="F612" s="72"/>
    </row>
    <row r="613" ht="14.25" customHeight="1">
      <c r="A613" s="73"/>
      <c r="B613" s="73"/>
      <c r="C613" s="73"/>
      <c r="D613" s="73"/>
      <c r="E613" s="73"/>
      <c r="F613" s="72"/>
    </row>
    <row r="614" ht="14.25" customHeight="1">
      <c r="A614" s="73"/>
      <c r="B614" s="73"/>
      <c r="C614" s="73"/>
      <c r="D614" s="73"/>
      <c r="E614" s="73"/>
      <c r="F614" s="72"/>
    </row>
    <row r="615" ht="14.25" customHeight="1">
      <c r="A615" s="73"/>
      <c r="B615" s="73"/>
      <c r="C615" s="73"/>
      <c r="D615" s="73"/>
      <c r="E615" s="73"/>
      <c r="F615" s="72"/>
    </row>
    <row r="616" ht="14.25" customHeight="1">
      <c r="A616" s="73"/>
      <c r="B616" s="73"/>
      <c r="C616" s="73"/>
      <c r="D616" s="73"/>
      <c r="E616" s="73"/>
      <c r="F616" s="72"/>
    </row>
    <row r="617" ht="14.25" customHeight="1">
      <c r="A617" s="73"/>
      <c r="B617" s="73"/>
      <c r="C617" s="73"/>
      <c r="D617" s="73"/>
      <c r="E617" s="73"/>
      <c r="F617" s="72"/>
    </row>
    <row r="618" ht="14.25" customHeight="1">
      <c r="A618" s="73"/>
      <c r="B618" s="73"/>
      <c r="C618" s="73"/>
      <c r="D618" s="73"/>
      <c r="E618" s="73"/>
      <c r="F618" s="72"/>
    </row>
    <row r="619" ht="14.25" customHeight="1">
      <c r="A619" s="73"/>
      <c r="B619" s="73"/>
      <c r="C619" s="73"/>
      <c r="D619" s="73"/>
      <c r="E619" s="73"/>
      <c r="F619" s="72"/>
    </row>
    <row r="620" ht="14.25" customHeight="1">
      <c r="A620" s="73"/>
      <c r="B620" s="73"/>
      <c r="C620" s="73"/>
      <c r="D620" s="73"/>
      <c r="E620" s="73"/>
      <c r="F620" s="72"/>
    </row>
    <row r="621" ht="14.25" customHeight="1">
      <c r="A621" s="73"/>
      <c r="B621" s="73"/>
      <c r="C621" s="73"/>
      <c r="D621" s="73"/>
      <c r="E621" s="73"/>
      <c r="F621" s="72"/>
    </row>
    <row r="622" ht="14.25" customHeight="1">
      <c r="A622" s="73"/>
      <c r="B622" s="73"/>
      <c r="C622" s="73"/>
      <c r="D622" s="73"/>
      <c r="E622" s="73"/>
      <c r="F622" s="72"/>
    </row>
    <row r="623" ht="14.25" customHeight="1">
      <c r="A623" s="73"/>
      <c r="B623" s="73"/>
      <c r="C623" s="73"/>
      <c r="D623" s="73"/>
      <c r="E623" s="73"/>
      <c r="F623" s="72"/>
    </row>
    <row r="624" ht="14.25" customHeight="1">
      <c r="A624" s="73"/>
      <c r="B624" s="73"/>
      <c r="C624" s="73"/>
      <c r="D624" s="73"/>
      <c r="E624" s="73"/>
      <c r="F624" s="72"/>
    </row>
    <row r="625" ht="14.25" customHeight="1">
      <c r="A625" s="73"/>
      <c r="B625" s="73"/>
      <c r="C625" s="73"/>
      <c r="D625" s="73"/>
      <c r="E625" s="73"/>
      <c r="F625" s="72"/>
    </row>
    <row r="626" ht="14.25" customHeight="1">
      <c r="A626" s="73"/>
      <c r="B626" s="73"/>
      <c r="C626" s="73"/>
      <c r="D626" s="73"/>
      <c r="E626" s="73"/>
      <c r="F626" s="72"/>
    </row>
    <row r="627" ht="14.25" customHeight="1">
      <c r="A627" s="73"/>
      <c r="B627" s="73"/>
      <c r="C627" s="73"/>
      <c r="D627" s="73"/>
      <c r="E627" s="73"/>
      <c r="F627" s="72"/>
    </row>
    <row r="628" ht="14.25" customHeight="1">
      <c r="A628" s="73"/>
      <c r="B628" s="73"/>
      <c r="C628" s="73"/>
      <c r="D628" s="73"/>
      <c r="E628" s="73"/>
      <c r="F628" s="72"/>
    </row>
    <row r="629" ht="14.25" customHeight="1">
      <c r="A629" s="73"/>
      <c r="B629" s="73"/>
      <c r="C629" s="73"/>
      <c r="D629" s="73"/>
      <c r="E629" s="73"/>
      <c r="F629" s="72"/>
    </row>
    <row r="630" ht="14.25" customHeight="1">
      <c r="A630" s="73"/>
      <c r="B630" s="73"/>
      <c r="C630" s="73"/>
      <c r="D630" s="73"/>
      <c r="E630" s="73"/>
      <c r="F630" s="72"/>
    </row>
    <row r="631" ht="14.25" customHeight="1">
      <c r="A631" s="73"/>
      <c r="B631" s="73"/>
      <c r="C631" s="73"/>
      <c r="D631" s="73"/>
      <c r="E631" s="73"/>
      <c r="F631" s="72"/>
    </row>
    <row r="632" ht="14.25" customHeight="1">
      <c r="A632" s="73"/>
      <c r="B632" s="73"/>
      <c r="C632" s="73"/>
      <c r="D632" s="73"/>
      <c r="E632" s="73"/>
      <c r="F632" s="72"/>
    </row>
    <row r="633" ht="14.25" customHeight="1">
      <c r="A633" s="73"/>
      <c r="B633" s="73"/>
      <c r="C633" s="73"/>
      <c r="D633" s="73"/>
      <c r="E633" s="73"/>
      <c r="F633" s="72"/>
    </row>
    <row r="634" ht="14.25" customHeight="1">
      <c r="A634" s="73"/>
      <c r="B634" s="73"/>
      <c r="C634" s="73"/>
      <c r="D634" s="73"/>
      <c r="E634" s="73"/>
      <c r="F634" s="72"/>
    </row>
    <row r="635" ht="14.25" customHeight="1">
      <c r="A635" s="73"/>
      <c r="B635" s="73"/>
      <c r="C635" s="73"/>
      <c r="D635" s="73"/>
      <c r="E635" s="73"/>
      <c r="F635" s="72"/>
    </row>
    <row r="636" ht="14.25" customHeight="1">
      <c r="A636" s="73"/>
      <c r="B636" s="73"/>
      <c r="C636" s="73"/>
      <c r="D636" s="73"/>
      <c r="E636" s="73"/>
      <c r="F636" s="72"/>
    </row>
    <row r="637" ht="14.25" customHeight="1">
      <c r="A637" s="73"/>
      <c r="B637" s="73"/>
      <c r="C637" s="73"/>
      <c r="D637" s="73"/>
      <c r="E637" s="73"/>
      <c r="F637" s="72"/>
    </row>
    <row r="638" ht="14.25" customHeight="1">
      <c r="A638" s="73"/>
      <c r="B638" s="73"/>
      <c r="C638" s="73"/>
      <c r="D638" s="73"/>
      <c r="E638" s="73"/>
      <c r="F638" s="72"/>
    </row>
    <row r="639" ht="14.25" customHeight="1">
      <c r="A639" s="73"/>
      <c r="B639" s="73"/>
      <c r="C639" s="73"/>
      <c r="D639" s="73"/>
      <c r="E639" s="73"/>
      <c r="F639" s="72"/>
    </row>
    <row r="640" ht="14.25" customHeight="1">
      <c r="A640" s="73"/>
      <c r="B640" s="73"/>
      <c r="C640" s="73"/>
      <c r="D640" s="73"/>
      <c r="E640" s="73"/>
      <c r="F640" s="72"/>
    </row>
    <row r="641" ht="14.25" customHeight="1">
      <c r="A641" s="73"/>
      <c r="B641" s="73"/>
      <c r="C641" s="73"/>
      <c r="D641" s="73"/>
      <c r="E641" s="73"/>
      <c r="F641" s="72"/>
    </row>
    <row r="642" ht="14.25" customHeight="1">
      <c r="A642" s="73"/>
      <c r="B642" s="73"/>
      <c r="C642" s="73"/>
      <c r="D642" s="73"/>
      <c r="E642" s="73"/>
      <c r="F642" s="72"/>
    </row>
    <row r="643" ht="14.25" customHeight="1">
      <c r="A643" s="73"/>
      <c r="B643" s="73"/>
      <c r="C643" s="73"/>
      <c r="D643" s="73"/>
      <c r="E643" s="73"/>
      <c r="F643" s="72"/>
    </row>
    <row r="644" ht="14.25" customHeight="1">
      <c r="A644" s="73"/>
      <c r="B644" s="73"/>
      <c r="C644" s="73"/>
      <c r="D644" s="73"/>
      <c r="E644" s="73"/>
      <c r="F644" s="72"/>
    </row>
    <row r="645" ht="14.25" customHeight="1">
      <c r="A645" s="73"/>
      <c r="B645" s="73"/>
      <c r="C645" s="73"/>
      <c r="D645" s="73"/>
      <c r="E645" s="73"/>
      <c r="F645" s="72"/>
    </row>
    <row r="646" ht="14.25" customHeight="1">
      <c r="A646" s="73"/>
      <c r="B646" s="73"/>
      <c r="C646" s="73"/>
      <c r="D646" s="73"/>
      <c r="E646" s="73"/>
      <c r="F646" s="72"/>
    </row>
    <row r="647" ht="14.25" customHeight="1">
      <c r="A647" s="73"/>
      <c r="B647" s="73"/>
      <c r="C647" s="73"/>
      <c r="D647" s="73"/>
      <c r="E647" s="73"/>
      <c r="F647" s="72"/>
    </row>
    <row r="648" ht="14.25" customHeight="1">
      <c r="A648" s="73"/>
      <c r="B648" s="73"/>
      <c r="C648" s="73"/>
      <c r="D648" s="73"/>
      <c r="E648" s="73"/>
      <c r="F648" s="72"/>
    </row>
    <row r="649" ht="14.25" customHeight="1">
      <c r="A649" s="73"/>
      <c r="B649" s="73"/>
      <c r="C649" s="73"/>
      <c r="D649" s="73"/>
      <c r="E649" s="73"/>
      <c r="F649" s="72"/>
    </row>
    <row r="650" ht="14.25" customHeight="1">
      <c r="A650" s="73"/>
      <c r="B650" s="73"/>
      <c r="C650" s="73"/>
      <c r="D650" s="73"/>
      <c r="E650" s="73"/>
      <c r="F650" s="72"/>
    </row>
    <row r="651" ht="14.25" customHeight="1">
      <c r="A651" s="73"/>
      <c r="B651" s="73"/>
      <c r="C651" s="73"/>
      <c r="D651" s="73"/>
      <c r="E651" s="73"/>
      <c r="F651" s="72"/>
    </row>
    <row r="652" ht="14.25" customHeight="1">
      <c r="A652" s="73"/>
      <c r="B652" s="73"/>
      <c r="C652" s="73"/>
      <c r="D652" s="73"/>
      <c r="E652" s="73"/>
      <c r="F652" s="72"/>
    </row>
    <row r="653" ht="14.25" customHeight="1">
      <c r="A653" s="73"/>
      <c r="B653" s="73"/>
      <c r="C653" s="73"/>
      <c r="D653" s="73"/>
      <c r="E653" s="73"/>
      <c r="F653" s="72"/>
    </row>
    <row r="654" ht="14.25" customHeight="1">
      <c r="A654" s="73"/>
      <c r="B654" s="73"/>
      <c r="C654" s="73"/>
      <c r="D654" s="73"/>
      <c r="E654" s="73"/>
      <c r="F654" s="72"/>
    </row>
    <row r="655" ht="14.25" customHeight="1">
      <c r="A655" s="73"/>
      <c r="B655" s="73"/>
      <c r="C655" s="73"/>
      <c r="D655" s="73"/>
      <c r="E655" s="73"/>
      <c r="F655" s="72"/>
    </row>
    <row r="656" ht="14.25" customHeight="1">
      <c r="A656" s="73"/>
      <c r="B656" s="73"/>
      <c r="C656" s="73"/>
      <c r="D656" s="73"/>
      <c r="E656" s="73"/>
      <c r="F656" s="72"/>
    </row>
    <row r="657" ht="14.25" customHeight="1">
      <c r="A657" s="73"/>
      <c r="B657" s="73"/>
      <c r="C657" s="73"/>
      <c r="D657" s="73"/>
      <c r="E657" s="73"/>
      <c r="F657" s="72"/>
    </row>
    <row r="658" ht="14.25" customHeight="1">
      <c r="A658" s="73"/>
      <c r="B658" s="73"/>
      <c r="C658" s="73"/>
      <c r="D658" s="73"/>
      <c r="E658" s="73"/>
      <c r="F658" s="72"/>
    </row>
    <row r="659" ht="14.25" customHeight="1">
      <c r="A659" s="73"/>
      <c r="B659" s="73"/>
      <c r="C659" s="73"/>
      <c r="D659" s="73"/>
      <c r="E659" s="73"/>
      <c r="F659" s="72"/>
    </row>
    <row r="660" ht="14.25" customHeight="1">
      <c r="A660" s="73"/>
      <c r="B660" s="73"/>
      <c r="C660" s="73"/>
      <c r="D660" s="73"/>
      <c r="E660" s="73"/>
      <c r="F660" s="72"/>
    </row>
    <row r="661" ht="14.25" customHeight="1">
      <c r="A661" s="73"/>
      <c r="B661" s="73"/>
      <c r="C661" s="73"/>
      <c r="D661" s="73"/>
      <c r="E661" s="73"/>
      <c r="F661" s="72"/>
    </row>
    <row r="662" ht="14.25" customHeight="1">
      <c r="A662" s="73"/>
      <c r="B662" s="73"/>
      <c r="C662" s="73"/>
      <c r="D662" s="73"/>
      <c r="E662" s="73"/>
      <c r="F662" s="72"/>
    </row>
    <row r="663" ht="14.25" customHeight="1">
      <c r="A663" s="73"/>
      <c r="B663" s="73"/>
      <c r="C663" s="73"/>
      <c r="D663" s="73"/>
      <c r="E663" s="73"/>
      <c r="F663" s="72"/>
    </row>
    <row r="664" ht="14.25" customHeight="1">
      <c r="A664" s="73"/>
      <c r="B664" s="73"/>
      <c r="C664" s="73"/>
      <c r="D664" s="73"/>
      <c r="E664" s="73"/>
      <c r="F664" s="72"/>
    </row>
    <row r="665" ht="14.25" customHeight="1">
      <c r="A665" s="73"/>
      <c r="B665" s="73"/>
      <c r="C665" s="73"/>
      <c r="D665" s="73"/>
      <c r="E665" s="73"/>
      <c r="F665" s="72"/>
    </row>
    <row r="666" ht="14.25" customHeight="1">
      <c r="A666" s="73"/>
      <c r="B666" s="73"/>
      <c r="C666" s="73"/>
      <c r="D666" s="73"/>
      <c r="E666" s="73"/>
      <c r="F666" s="72"/>
    </row>
    <row r="667" ht="14.25" customHeight="1">
      <c r="A667" s="73"/>
      <c r="B667" s="73"/>
      <c r="C667" s="73"/>
      <c r="D667" s="73"/>
      <c r="E667" s="73"/>
      <c r="F667" s="72"/>
    </row>
    <row r="668" ht="14.25" customHeight="1">
      <c r="A668" s="73"/>
      <c r="B668" s="73"/>
      <c r="C668" s="73"/>
      <c r="D668" s="73"/>
      <c r="E668" s="73"/>
      <c r="F668" s="72"/>
    </row>
    <row r="669" ht="14.25" customHeight="1">
      <c r="A669" s="73"/>
      <c r="B669" s="73"/>
      <c r="C669" s="73"/>
      <c r="D669" s="73"/>
      <c r="E669" s="73"/>
      <c r="F669" s="72"/>
    </row>
    <row r="670" ht="14.25" customHeight="1">
      <c r="A670" s="73"/>
      <c r="B670" s="73"/>
      <c r="C670" s="73"/>
      <c r="D670" s="73"/>
      <c r="E670" s="73"/>
      <c r="F670" s="72"/>
    </row>
    <row r="671" ht="14.25" customHeight="1">
      <c r="A671" s="73"/>
      <c r="B671" s="73"/>
      <c r="C671" s="73"/>
      <c r="D671" s="73"/>
      <c r="E671" s="73"/>
      <c r="F671" s="72"/>
    </row>
    <row r="672" ht="14.25" customHeight="1">
      <c r="A672" s="73"/>
      <c r="B672" s="73"/>
      <c r="C672" s="73"/>
      <c r="D672" s="73"/>
      <c r="E672" s="73"/>
      <c r="F672" s="72"/>
    </row>
    <row r="673" ht="14.25" customHeight="1">
      <c r="A673" s="73"/>
      <c r="B673" s="73"/>
      <c r="C673" s="73"/>
      <c r="D673" s="73"/>
      <c r="E673" s="73"/>
      <c r="F673" s="72"/>
    </row>
    <row r="674" ht="14.25" customHeight="1">
      <c r="A674" s="73"/>
      <c r="B674" s="73"/>
      <c r="C674" s="73"/>
      <c r="D674" s="73"/>
      <c r="E674" s="73"/>
      <c r="F674" s="72"/>
    </row>
    <row r="675" ht="14.25" customHeight="1">
      <c r="A675" s="73"/>
      <c r="B675" s="73"/>
      <c r="C675" s="73"/>
      <c r="D675" s="73"/>
      <c r="E675" s="73"/>
      <c r="F675" s="72"/>
    </row>
    <row r="676" ht="14.25" customHeight="1">
      <c r="A676" s="73"/>
      <c r="B676" s="73"/>
      <c r="C676" s="73"/>
      <c r="D676" s="73"/>
      <c r="E676" s="73"/>
      <c r="F676" s="72"/>
    </row>
    <row r="677" ht="14.25" customHeight="1">
      <c r="A677" s="73"/>
      <c r="B677" s="73"/>
      <c r="C677" s="73"/>
      <c r="D677" s="73"/>
      <c r="E677" s="73"/>
      <c r="F677" s="72"/>
    </row>
    <row r="678" ht="14.25" customHeight="1">
      <c r="A678" s="73"/>
      <c r="B678" s="73"/>
      <c r="C678" s="73"/>
      <c r="D678" s="73"/>
      <c r="E678" s="73"/>
      <c r="F678" s="72"/>
    </row>
    <row r="679" ht="14.25" customHeight="1">
      <c r="A679" s="73"/>
      <c r="B679" s="73"/>
      <c r="C679" s="73"/>
      <c r="D679" s="73"/>
      <c r="E679" s="73"/>
      <c r="F679" s="72"/>
    </row>
    <row r="680" ht="14.25" customHeight="1">
      <c r="A680" s="73"/>
      <c r="B680" s="73"/>
      <c r="C680" s="73"/>
      <c r="D680" s="73"/>
      <c r="E680" s="73"/>
      <c r="F680" s="72"/>
    </row>
    <row r="681" ht="14.25" customHeight="1">
      <c r="A681" s="73"/>
      <c r="B681" s="73"/>
      <c r="C681" s="73"/>
      <c r="D681" s="73"/>
      <c r="E681" s="73"/>
      <c r="F681" s="72"/>
    </row>
    <row r="682" ht="14.25" customHeight="1">
      <c r="A682" s="73"/>
      <c r="B682" s="73"/>
      <c r="C682" s="73"/>
      <c r="D682" s="73"/>
      <c r="E682" s="73"/>
      <c r="F682" s="72"/>
    </row>
    <row r="683" ht="14.25" customHeight="1">
      <c r="A683" s="73"/>
      <c r="B683" s="73"/>
      <c r="C683" s="73"/>
      <c r="D683" s="73"/>
      <c r="E683" s="73"/>
      <c r="F683" s="72"/>
    </row>
    <row r="684" ht="14.25" customHeight="1">
      <c r="A684" s="73"/>
      <c r="B684" s="73"/>
      <c r="C684" s="73"/>
      <c r="D684" s="73"/>
      <c r="E684" s="73"/>
      <c r="F684" s="72"/>
    </row>
    <row r="685" ht="14.25" customHeight="1">
      <c r="A685" s="73"/>
      <c r="B685" s="73"/>
      <c r="C685" s="73"/>
      <c r="D685" s="73"/>
      <c r="E685" s="73"/>
      <c r="F685" s="72"/>
    </row>
    <row r="686" ht="14.25" customHeight="1">
      <c r="A686" s="73"/>
      <c r="B686" s="73"/>
      <c r="C686" s="73"/>
      <c r="D686" s="73"/>
      <c r="E686" s="73"/>
      <c r="F686" s="72"/>
    </row>
    <row r="687" ht="14.25" customHeight="1">
      <c r="A687" s="73"/>
      <c r="B687" s="73"/>
      <c r="C687" s="73"/>
      <c r="D687" s="73"/>
      <c r="E687" s="73"/>
      <c r="F687" s="72"/>
    </row>
    <row r="688" ht="14.25" customHeight="1">
      <c r="A688" s="73"/>
      <c r="B688" s="73"/>
      <c r="C688" s="73"/>
      <c r="D688" s="73"/>
      <c r="E688" s="73"/>
      <c r="F688" s="72"/>
    </row>
    <row r="689" ht="14.25" customHeight="1">
      <c r="A689" s="73"/>
      <c r="B689" s="73"/>
      <c r="C689" s="73"/>
      <c r="D689" s="73"/>
      <c r="E689" s="73"/>
      <c r="F689" s="72"/>
    </row>
    <row r="690" ht="14.25" customHeight="1">
      <c r="A690" s="73"/>
      <c r="B690" s="73"/>
      <c r="C690" s="73"/>
      <c r="D690" s="73"/>
      <c r="E690" s="73"/>
      <c r="F690" s="72"/>
    </row>
    <row r="691" ht="14.25" customHeight="1">
      <c r="A691" s="73"/>
      <c r="B691" s="73"/>
      <c r="C691" s="73"/>
      <c r="D691" s="73"/>
      <c r="E691" s="73"/>
      <c r="F691" s="72"/>
    </row>
    <row r="692" ht="14.25" customHeight="1">
      <c r="A692" s="73"/>
      <c r="B692" s="73"/>
      <c r="C692" s="73"/>
      <c r="D692" s="73"/>
      <c r="E692" s="73"/>
      <c r="F692" s="72"/>
    </row>
    <row r="693" ht="14.25" customHeight="1">
      <c r="A693" s="73"/>
      <c r="B693" s="73"/>
      <c r="C693" s="73"/>
      <c r="D693" s="73"/>
      <c r="E693" s="73"/>
      <c r="F693" s="72"/>
    </row>
    <row r="694" ht="14.25" customHeight="1">
      <c r="A694" s="73"/>
      <c r="B694" s="73"/>
      <c r="C694" s="73"/>
      <c r="D694" s="73"/>
      <c r="E694" s="73"/>
      <c r="F694" s="72"/>
    </row>
    <row r="695" ht="14.25" customHeight="1">
      <c r="A695" s="73"/>
      <c r="B695" s="73"/>
      <c r="C695" s="73"/>
      <c r="D695" s="73"/>
      <c r="E695" s="73"/>
      <c r="F695" s="72"/>
    </row>
    <row r="696" ht="14.25" customHeight="1">
      <c r="A696" s="73"/>
      <c r="B696" s="73"/>
      <c r="C696" s="73"/>
      <c r="D696" s="73"/>
      <c r="E696" s="73"/>
      <c r="F696" s="72"/>
    </row>
    <row r="697" ht="14.25" customHeight="1">
      <c r="A697" s="73"/>
      <c r="B697" s="73"/>
      <c r="C697" s="73"/>
      <c r="D697" s="73"/>
      <c r="E697" s="73"/>
      <c r="F697" s="72"/>
    </row>
    <row r="698" ht="14.25" customHeight="1">
      <c r="A698" s="73"/>
      <c r="B698" s="73"/>
      <c r="C698" s="73"/>
      <c r="D698" s="73"/>
      <c r="E698" s="73"/>
      <c r="F698" s="72"/>
    </row>
    <row r="699" ht="14.25" customHeight="1">
      <c r="A699" s="73"/>
      <c r="B699" s="73"/>
      <c r="C699" s="73"/>
      <c r="D699" s="73"/>
      <c r="E699" s="73"/>
      <c r="F699" s="72"/>
    </row>
    <row r="700" ht="14.25" customHeight="1">
      <c r="A700" s="73"/>
      <c r="B700" s="73"/>
      <c r="C700" s="73"/>
      <c r="D700" s="73"/>
      <c r="E700" s="73"/>
      <c r="F700" s="72"/>
    </row>
    <row r="701" ht="14.25" customHeight="1">
      <c r="A701" s="73"/>
      <c r="B701" s="73"/>
      <c r="C701" s="73"/>
      <c r="D701" s="73"/>
      <c r="E701" s="73"/>
      <c r="F701" s="72"/>
    </row>
    <row r="702" ht="14.25" customHeight="1">
      <c r="A702" s="73"/>
      <c r="B702" s="73"/>
      <c r="C702" s="73"/>
      <c r="D702" s="73"/>
      <c r="E702" s="73"/>
      <c r="F702" s="72"/>
    </row>
    <row r="703" ht="14.25" customHeight="1">
      <c r="A703" s="73"/>
      <c r="B703" s="73"/>
      <c r="C703" s="73"/>
      <c r="D703" s="73"/>
      <c r="E703" s="73"/>
      <c r="F703" s="72"/>
    </row>
    <row r="704" ht="14.25" customHeight="1">
      <c r="A704" s="73"/>
      <c r="B704" s="73"/>
      <c r="C704" s="73"/>
      <c r="D704" s="73"/>
      <c r="E704" s="73"/>
      <c r="F704" s="72"/>
    </row>
    <row r="705" ht="14.25" customHeight="1">
      <c r="A705" s="73"/>
      <c r="B705" s="73"/>
      <c r="C705" s="73"/>
      <c r="D705" s="73"/>
      <c r="E705" s="73"/>
      <c r="F705" s="72"/>
    </row>
    <row r="706" ht="14.25" customHeight="1">
      <c r="A706" s="73"/>
      <c r="B706" s="73"/>
      <c r="C706" s="73"/>
      <c r="D706" s="73"/>
      <c r="E706" s="73"/>
      <c r="F706" s="72"/>
    </row>
    <row r="707" ht="14.25" customHeight="1">
      <c r="A707" s="73"/>
      <c r="B707" s="73"/>
      <c r="C707" s="73"/>
      <c r="D707" s="73"/>
      <c r="E707" s="73"/>
      <c r="F707" s="72"/>
    </row>
    <row r="708" ht="14.25" customHeight="1">
      <c r="A708" s="73"/>
      <c r="B708" s="73"/>
      <c r="C708" s="73"/>
      <c r="D708" s="73"/>
      <c r="E708" s="73"/>
      <c r="F708" s="72"/>
    </row>
    <row r="709" ht="14.25" customHeight="1">
      <c r="A709" s="73"/>
      <c r="B709" s="73"/>
      <c r="C709" s="73"/>
      <c r="D709" s="73"/>
      <c r="E709" s="73"/>
      <c r="F709" s="72"/>
    </row>
    <row r="710" ht="14.25" customHeight="1">
      <c r="A710" s="73"/>
      <c r="B710" s="73"/>
      <c r="C710" s="73"/>
      <c r="D710" s="73"/>
      <c r="E710" s="73"/>
      <c r="F710" s="72"/>
    </row>
    <row r="711" ht="14.25" customHeight="1">
      <c r="A711" s="73"/>
      <c r="B711" s="73"/>
      <c r="C711" s="73"/>
      <c r="D711" s="73"/>
      <c r="E711" s="73"/>
      <c r="F711" s="72"/>
    </row>
    <row r="712" ht="14.25" customHeight="1">
      <c r="A712" s="73"/>
      <c r="B712" s="73"/>
      <c r="C712" s="73"/>
      <c r="D712" s="73"/>
      <c r="E712" s="73"/>
      <c r="F712" s="72"/>
    </row>
    <row r="713" ht="14.25" customHeight="1">
      <c r="A713" s="73"/>
      <c r="B713" s="73"/>
      <c r="C713" s="73"/>
      <c r="D713" s="73"/>
      <c r="E713" s="73"/>
      <c r="F713" s="72"/>
    </row>
    <row r="714" ht="14.25" customHeight="1">
      <c r="A714" s="73"/>
      <c r="B714" s="73"/>
      <c r="C714" s="73"/>
      <c r="D714" s="73"/>
      <c r="E714" s="73"/>
      <c r="F714" s="72"/>
    </row>
    <row r="715" ht="14.25" customHeight="1">
      <c r="A715" s="73"/>
      <c r="B715" s="73"/>
      <c r="C715" s="73"/>
      <c r="D715" s="73"/>
      <c r="E715" s="73"/>
      <c r="F715" s="72"/>
    </row>
    <row r="716" ht="14.25" customHeight="1">
      <c r="A716" s="73"/>
      <c r="B716" s="73"/>
      <c r="C716" s="73"/>
      <c r="D716" s="73"/>
      <c r="E716" s="73"/>
      <c r="F716" s="72"/>
    </row>
    <row r="717" ht="14.25" customHeight="1">
      <c r="A717" s="73"/>
      <c r="B717" s="73"/>
      <c r="C717" s="73"/>
      <c r="D717" s="73"/>
      <c r="E717" s="73"/>
      <c r="F717" s="72"/>
    </row>
    <row r="718" ht="14.25" customHeight="1">
      <c r="A718" s="73"/>
      <c r="B718" s="73"/>
      <c r="C718" s="73"/>
      <c r="D718" s="73"/>
      <c r="E718" s="73"/>
      <c r="F718" s="72"/>
    </row>
    <row r="719" ht="14.25" customHeight="1">
      <c r="A719" s="73"/>
      <c r="B719" s="73"/>
      <c r="C719" s="73"/>
      <c r="D719" s="73"/>
      <c r="E719" s="73"/>
      <c r="F719" s="72"/>
    </row>
    <row r="720" ht="14.25" customHeight="1">
      <c r="A720" s="73"/>
      <c r="B720" s="73"/>
      <c r="C720" s="73"/>
      <c r="D720" s="73"/>
      <c r="E720" s="73"/>
      <c r="F720" s="72"/>
    </row>
    <row r="721" ht="14.25" customHeight="1">
      <c r="A721" s="73"/>
      <c r="B721" s="73"/>
      <c r="C721" s="73"/>
      <c r="D721" s="73"/>
      <c r="E721" s="73"/>
      <c r="F721" s="72"/>
    </row>
    <row r="722" ht="14.25" customHeight="1">
      <c r="A722" s="73"/>
      <c r="B722" s="73"/>
      <c r="C722" s="73"/>
      <c r="D722" s="73"/>
      <c r="E722" s="73"/>
      <c r="F722" s="72"/>
    </row>
    <row r="723" ht="14.25" customHeight="1">
      <c r="A723" s="73"/>
      <c r="B723" s="73"/>
      <c r="C723" s="73"/>
      <c r="D723" s="73"/>
      <c r="E723" s="73"/>
      <c r="F723" s="72"/>
    </row>
    <row r="724" ht="14.25" customHeight="1">
      <c r="A724" s="73"/>
      <c r="B724" s="73"/>
      <c r="C724" s="73"/>
      <c r="D724" s="73"/>
      <c r="E724" s="73"/>
      <c r="F724" s="72"/>
    </row>
    <row r="725" ht="14.25" customHeight="1">
      <c r="A725" s="73"/>
      <c r="B725" s="73"/>
      <c r="C725" s="73"/>
      <c r="D725" s="73"/>
      <c r="E725" s="73"/>
      <c r="F725" s="72"/>
    </row>
    <row r="726" ht="14.25" customHeight="1">
      <c r="A726" s="73"/>
      <c r="B726" s="73"/>
      <c r="C726" s="73"/>
      <c r="D726" s="73"/>
      <c r="E726" s="73"/>
      <c r="F726" s="72"/>
    </row>
    <row r="727" ht="14.25" customHeight="1">
      <c r="A727" s="73"/>
      <c r="B727" s="73"/>
      <c r="C727" s="73"/>
      <c r="D727" s="73"/>
      <c r="E727" s="73"/>
      <c r="F727" s="72"/>
    </row>
    <row r="728" ht="14.25" customHeight="1">
      <c r="A728" s="73"/>
      <c r="B728" s="73"/>
      <c r="C728" s="73"/>
      <c r="D728" s="73"/>
      <c r="E728" s="73"/>
      <c r="F728" s="72"/>
    </row>
    <row r="729" ht="14.25" customHeight="1">
      <c r="A729" s="73"/>
      <c r="B729" s="73"/>
      <c r="C729" s="73"/>
      <c r="D729" s="73"/>
      <c r="E729" s="73"/>
      <c r="F729" s="72"/>
    </row>
    <row r="730" ht="14.25" customHeight="1">
      <c r="A730" s="73"/>
      <c r="B730" s="73"/>
      <c r="C730" s="73"/>
      <c r="D730" s="73"/>
      <c r="E730" s="73"/>
      <c r="F730" s="72"/>
    </row>
    <row r="731" ht="14.25" customHeight="1">
      <c r="A731" s="73"/>
      <c r="B731" s="73"/>
      <c r="C731" s="73"/>
      <c r="D731" s="73"/>
      <c r="E731" s="73"/>
      <c r="F731" s="72"/>
    </row>
    <row r="732" ht="14.25" customHeight="1">
      <c r="A732" s="73"/>
      <c r="B732" s="73"/>
      <c r="C732" s="73"/>
      <c r="D732" s="73"/>
      <c r="E732" s="73"/>
      <c r="F732" s="72"/>
    </row>
    <row r="733" ht="14.25" customHeight="1">
      <c r="A733" s="73"/>
      <c r="B733" s="73"/>
      <c r="C733" s="73"/>
      <c r="D733" s="73"/>
      <c r="E733" s="73"/>
      <c r="F733" s="72"/>
    </row>
    <row r="734" ht="14.25" customHeight="1">
      <c r="A734" s="73"/>
      <c r="B734" s="73"/>
      <c r="C734" s="73"/>
      <c r="D734" s="73"/>
      <c r="E734" s="73"/>
      <c r="F734" s="72"/>
    </row>
    <row r="735" ht="14.25" customHeight="1">
      <c r="A735" s="73"/>
      <c r="B735" s="73"/>
      <c r="C735" s="73"/>
      <c r="D735" s="73"/>
      <c r="E735" s="73"/>
      <c r="F735" s="72"/>
    </row>
    <row r="736" ht="14.25" customHeight="1">
      <c r="A736" s="73"/>
      <c r="B736" s="73"/>
      <c r="C736" s="73"/>
      <c r="D736" s="73"/>
      <c r="E736" s="73"/>
      <c r="F736" s="72"/>
    </row>
    <row r="737" ht="14.25" customHeight="1">
      <c r="A737" s="73"/>
      <c r="B737" s="73"/>
      <c r="C737" s="73"/>
      <c r="D737" s="73"/>
      <c r="E737" s="73"/>
      <c r="F737" s="72"/>
    </row>
    <row r="738" ht="14.25" customHeight="1">
      <c r="A738" s="73"/>
      <c r="B738" s="73"/>
      <c r="C738" s="73"/>
      <c r="D738" s="73"/>
      <c r="E738" s="73"/>
      <c r="F738" s="72"/>
    </row>
    <row r="739" ht="14.25" customHeight="1">
      <c r="A739" s="73"/>
      <c r="B739" s="73"/>
      <c r="C739" s="73"/>
      <c r="D739" s="73"/>
      <c r="E739" s="73"/>
      <c r="F739" s="72"/>
    </row>
    <row r="740" ht="14.25" customHeight="1">
      <c r="A740" s="73"/>
      <c r="B740" s="73"/>
      <c r="C740" s="73"/>
      <c r="D740" s="73"/>
      <c r="E740" s="73"/>
      <c r="F740" s="72"/>
    </row>
    <row r="741" ht="14.25" customHeight="1">
      <c r="A741" s="73"/>
      <c r="B741" s="73"/>
      <c r="C741" s="73"/>
      <c r="D741" s="73"/>
      <c r="E741" s="73"/>
      <c r="F741" s="72"/>
    </row>
    <row r="742" ht="14.25" customHeight="1">
      <c r="A742" s="73"/>
      <c r="B742" s="73"/>
      <c r="C742" s="73"/>
      <c r="D742" s="73"/>
      <c r="E742" s="73"/>
      <c r="F742" s="72"/>
    </row>
    <row r="743" ht="14.25" customHeight="1">
      <c r="A743" s="73"/>
      <c r="B743" s="73"/>
      <c r="C743" s="73"/>
      <c r="D743" s="73"/>
      <c r="E743" s="73"/>
      <c r="F743" s="72"/>
    </row>
    <row r="744" ht="14.25" customHeight="1">
      <c r="A744" s="73"/>
      <c r="B744" s="73"/>
      <c r="C744" s="73"/>
      <c r="D744" s="73"/>
      <c r="E744" s="73"/>
      <c r="F744" s="72"/>
    </row>
    <row r="745" ht="14.25" customHeight="1">
      <c r="A745" s="73"/>
      <c r="B745" s="73"/>
      <c r="C745" s="73"/>
      <c r="D745" s="73"/>
      <c r="E745" s="73"/>
      <c r="F745" s="72"/>
    </row>
    <row r="746" ht="14.25" customHeight="1">
      <c r="A746" s="73"/>
      <c r="B746" s="73"/>
      <c r="C746" s="73"/>
      <c r="D746" s="73"/>
      <c r="E746" s="73"/>
      <c r="F746" s="72"/>
    </row>
    <row r="747" ht="14.25" customHeight="1">
      <c r="A747" s="73"/>
      <c r="B747" s="73"/>
      <c r="C747" s="73"/>
      <c r="D747" s="73"/>
      <c r="E747" s="73"/>
      <c r="F747" s="72"/>
    </row>
    <row r="748" ht="14.25" customHeight="1">
      <c r="A748" s="73"/>
      <c r="B748" s="73"/>
      <c r="C748" s="73"/>
      <c r="D748" s="73"/>
      <c r="E748" s="73"/>
      <c r="F748" s="72"/>
    </row>
    <row r="749" ht="14.25" customHeight="1">
      <c r="A749" s="73"/>
      <c r="B749" s="73"/>
      <c r="C749" s="73"/>
      <c r="D749" s="73"/>
      <c r="E749" s="73"/>
      <c r="F749" s="72"/>
    </row>
    <row r="750" ht="14.25" customHeight="1">
      <c r="A750" s="73"/>
      <c r="B750" s="73"/>
      <c r="C750" s="73"/>
      <c r="D750" s="73"/>
      <c r="E750" s="73"/>
      <c r="F750" s="72"/>
    </row>
    <row r="751" ht="14.25" customHeight="1">
      <c r="A751" s="73"/>
      <c r="B751" s="73"/>
      <c r="C751" s="73"/>
      <c r="D751" s="73"/>
      <c r="E751" s="73"/>
      <c r="F751" s="72"/>
    </row>
    <row r="752" ht="14.25" customHeight="1">
      <c r="A752" s="73"/>
      <c r="B752" s="73"/>
      <c r="C752" s="73"/>
      <c r="D752" s="73"/>
      <c r="E752" s="73"/>
      <c r="F752" s="72"/>
    </row>
    <row r="753" ht="14.25" customHeight="1">
      <c r="A753" s="73"/>
      <c r="B753" s="73"/>
      <c r="C753" s="73"/>
      <c r="D753" s="73"/>
      <c r="E753" s="73"/>
      <c r="F753" s="72"/>
    </row>
    <row r="754" ht="14.25" customHeight="1">
      <c r="A754" s="73"/>
      <c r="B754" s="73"/>
      <c r="C754" s="73"/>
      <c r="D754" s="73"/>
      <c r="E754" s="73"/>
      <c r="F754" s="72"/>
    </row>
    <row r="755" ht="14.25" customHeight="1">
      <c r="A755" s="73"/>
      <c r="B755" s="73"/>
      <c r="C755" s="73"/>
      <c r="D755" s="73"/>
      <c r="E755" s="73"/>
      <c r="F755" s="72"/>
    </row>
    <row r="756" ht="14.25" customHeight="1">
      <c r="A756" s="73"/>
      <c r="B756" s="73"/>
      <c r="C756" s="73"/>
      <c r="D756" s="73"/>
      <c r="E756" s="73"/>
      <c r="F756" s="72"/>
    </row>
    <row r="757" ht="14.25" customHeight="1">
      <c r="A757" s="73"/>
      <c r="B757" s="73"/>
      <c r="C757" s="73"/>
      <c r="D757" s="73"/>
      <c r="E757" s="73"/>
      <c r="F757" s="72"/>
    </row>
    <row r="758" ht="14.25" customHeight="1">
      <c r="A758" s="73"/>
      <c r="B758" s="73"/>
      <c r="C758" s="73"/>
      <c r="D758" s="73"/>
      <c r="E758" s="73"/>
      <c r="F758" s="72"/>
    </row>
    <row r="759" ht="14.25" customHeight="1">
      <c r="A759" s="73"/>
      <c r="B759" s="73"/>
      <c r="C759" s="73"/>
      <c r="D759" s="73"/>
      <c r="E759" s="73"/>
      <c r="F759" s="72"/>
    </row>
    <row r="760" ht="14.25" customHeight="1">
      <c r="A760" s="73"/>
      <c r="B760" s="73"/>
      <c r="C760" s="73"/>
      <c r="D760" s="73"/>
      <c r="E760" s="73"/>
      <c r="F760" s="72"/>
    </row>
    <row r="761" ht="14.25" customHeight="1">
      <c r="A761" s="73"/>
      <c r="B761" s="73"/>
      <c r="C761" s="73"/>
      <c r="D761" s="73"/>
      <c r="E761" s="73"/>
      <c r="F761" s="72"/>
    </row>
    <row r="762" ht="14.25" customHeight="1">
      <c r="A762" s="73"/>
      <c r="B762" s="73"/>
      <c r="C762" s="73"/>
      <c r="D762" s="73"/>
      <c r="E762" s="73"/>
      <c r="F762" s="72"/>
    </row>
    <row r="763" ht="14.25" customHeight="1">
      <c r="A763" s="73"/>
      <c r="B763" s="73"/>
      <c r="C763" s="73"/>
      <c r="D763" s="73"/>
      <c r="E763" s="73"/>
      <c r="F763" s="72"/>
    </row>
    <row r="764" ht="14.25" customHeight="1">
      <c r="A764" s="73"/>
      <c r="B764" s="73"/>
      <c r="C764" s="73"/>
      <c r="D764" s="73"/>
      <c r="E764" s="73"/>
      <c r="F764" s="72"/>
    </row>
    <row r="765" ht="14.25" customHeight="1">
      <c r="A765" s="73"/>
      <c r="B765" s="73"/>
      <c r="C765" s="73"/>
      <c r="D765" s="73"/>
      <c r="E765" s="73"/>
      <c r="F765" s="72"/>
    </row>
    <row r="766" ht="14.25" customHeight="1">
      <c r="A766" s="73"/>
      <c r="B766" s="73"/>
      <c r="C766" s="73"/>
      <c r="D766" s="73"/>
      <c r="E766" s="73"/>
      <c r="F766" s="72"/>
    </row>
    <row r="767" ht="14.25" customHeight="1">
      <c r="A767" s="73"/>
      <c r="B767" s="73"/>
      <c r="C767" s="73"/>
      <c r="D767" s="73"/>
      <c r="E767" s="73"/>
      <c r="F767" s="72"/>
    </row>
    <row r="768" ht="14.25" customHeight="1">
      <c r="A768" s="73"/>
      <c r="B768" s="73"/>
      <c r="C768" s="73"/>
      <c r="D768" s="73"/>
      <c r="E768" s="73"/>
      <c r="F768" s="72"/>
    </row>
    <row r="769" ht="14.25" customHeight="1">
      <c r="A769" s="73"/>
      <c r="B769" s="73"/>
      <c r="C769" s="73"/>
      <c r="D769" s="73"/>
      <c r="E769" s="73"/>
      <c r="F769" s="72"/>
    </row>
    <row r="770" ht="14.25" customHeight="1">
      <c r="A770" s="73"/>
      <c r="B770" s="73"/>
      <c r="C770" s="73"/>
      <c r="D770" s="73"/>
      <c r="E770" s="73"/>
      <c r="F770" s="72"/>
    </row>
    <row r="771" ht="14.25" customHeight="1">
      <c r="A771" s="73"/>
      <c r="B771" s="73"/>
      <c r="C771" s="73"/>
      <c r="D771" s="73"/>
      <c r="E771" s="73"/>
      <c r="F771" s="72"/>
    </row>
    <row r="772" ht="14.25" customHeight="1">
      <c r="A772" s="73"/>
      <c r="B772" s="73"/>
      <c r="C772" s="73"/>
      <c r="D772" s="73"/>
      <c r="E772" s="73"/>
      <c r="F772" s="72"/>
    </row>
    <row r="773" ht="14.25" customHeight="1">
      <c r="A773" s="73"/>
      <c r="B773" s="73"/>
      <c r="C773" s="73"/>
      <c r="D773" s="73"/>
      <c r="E773" s="73"/>
      <c r="F773" s="72"/>
    </row>
    <row r="774" ht="14.25" customHeight="1">
      <c r="A774" s="73"/>
      <c r="B774" s="73"/>
      <c r="C774" s="73"/>
      <c r="D774" s="73"/>
      <c r="E774" s="73"/>
      <c r="F774" s="72"/>
    </row>
    <row r="775" ht="14.25" customHeight="1">
      <c r="A775" s="73"/>
      <c r="B775" s="73"/>
      <c r="C775" s="73"/>
      <c r="D775" s="73"/>
      <c r="E775" s="73"/>
      <c r="F775" s="72"/>
    </row>
    <row r="776" ht="14.25" customHeight="1">
      <c r="A776" s="73"/>
      <c r="B776" s="73"/>
      <c r="C776" s="73"/>
      <c r="D776" s="73"/>
      <c r="E776" s="73"/>
      <c r="F776" s="72"/>
    </row>
    <row r="777" ht="14.25" customHeight="1">
      <c r="A777" s="73"/>
      <c r="B777" s="73"/>
      <c r="C777" s="73"/>
      <c r="D777" s="73"/>
      <c r="E777" s="73"/>
      <c r="F777" s="72"/>
    </row>
    <row r="778" ht="14.25" customHeight="1">
      <c r="A778" s="73"/>
      <c r="B778" s="73"/>
      <c r="C778" s="73"/>
      <c r="D778" s="73"/>
      <c r="E778" s="73"/>
      <c r="F778" s="72"/>
    </row>
    <row r="779" ht="14.25" customHeight="1">
      <c r="A779" s="73"/>
      <c r="B779" s="73"/>
      <c r="C779" s="73"/>
      <c r="D779" s="73"/>
      <c r="E779" s="73"/>
      <c r="F779" s="72"/>
    </row>
    <row r="780" ht="14.25" customHeight="1">
      <c r="A780" s="73"/>
      <c r="B780" s="73"/>
      <c r="C780" s="73"/>
      <c r="D780" s="73"/>
      <c r="E780" s="73"/>
      <c r="F780" s="72"/>
    </row>
    <row r="781" ht="14.25" customHeight="1">
      <c r="A781" s="73"/>
      <c r="B781" s="73"/>
      <c r="C781" s="73"/>
      <c r="D781" s="73"/>
      <c r="E781" s="73"/>
      <c r="F781" s="72"/>
    </row>
    <row r="782" ht="14.25" customHeight="1">
      <c r="A782" s="73"/>
      <c r="B782" s="73"/>
      <c r="C782" s="73"/>
      <c r="D782" s="73"/>
      <c r="E782" s="73"/>
      <c r="F782" s="72"/>
    </row>
    <row r="783" ht="14.25" customHeight="1">
      <c r="A783" s="73"/>
      <c r="B783" s="73"/>
      <c r="C783" s="73"/>
      <c r="D783" s="73"/>
      <c r="E783" s="73"/>
      <c r="F783" s="72"/>
    </row>
    <row r="784" ht="14.25" customHeight="1">
      <c r="A784" s="73"/>
      <c r="B784" s="73"/>
      <c r="C784" s="73"/>
      <c r="D784" s="73"/>
      <c r="E784" s="73"/>
      <c r="F784" s="72"/>
    </row>
    <row r="785" ht="14.25" customHeight="1">
      <c r="A785" s="73"/>
      <c r="B785" s="73"/>
      <c r="C785" s="73"/>
      <c r="D785" s="73"/>
      <c r="E785" s="73"/>
      <c r="F785" s="72"/>
    </row>
    <row r="786" ht="14.25" customHeight="1">
      <c r="A786" s="73"/>
      <c r="B786" s="73"/>
      <c r="C786" s="73"/>
      <c r="D786" s="73"/>
      <c r="E786" s="73"/>
      <c r="F786" s="72"/>
    </row>
    <row r="787" ht="14.25" customHeight="1">
      <c r="A787" s="73"/>
      <c r="B787" s="73"/>
      <c r="C787" s="73"/>
      <c r="D787" s="73"/>
      <c r="E787" s="73"/>
      <c r="F787" s="72"/>
    </row>
    <row r="788" ht="14.25" customHeight="1">
      <c r="A788" s="73"/>
      <c r="B788" s="73"/>
      <c r="C788" s="73"/>
      <c r="D788" s="73"/>
      <c r="E788" s="73"/>
      <c r="F788" s="72"/>
    </row>
    <row r="789" ht="14.25" customHeight="1">
      <c r="A789" s="73"/>
      <c r="B789" s="73"/>
      <c r="C789" s="73"/>
      <c r="D789" s="73"/>
      <c r="E789" s="73"/>
      <c r="F789" s="72"/>
    </row>
    <row r="790" ht="14.25" customHeight="1">
      <c r="A790" s="73"/>
      <c r="B790" s="73"/>
      <c r="C790" s="73"/>
      <c r="D790" s="73"/>
      <c r="E790" s="73"/>
      <c r="F790" s="72"/>
    </row>
    <row r="791" ht="14.25" customHeight="1">
      <c r="A791" s="73"/>
      <c r="B791" s="73"/>
      <c r="C791" s="73"/>
      <c r="D791" s="73"/>
      <c r="E791" s="73"/>
      <c r="F791" s="72"/>
    </row>
    <row r="792" ht="14.25" customHeight="1">
      <c r="A792" s="73"/>
      <c r="B792" s="73"/>
      <c r="C792" s="73"/>
      <c r="D792" s="73"/>
      <c r="E792" s="73"/>
      <c r="F792" s="72"/>
    </row>
    <row r="793" ht="14.25" customHeight="1">
      <c r="A793" s="73"/>
      <c r="B793" s="73"/>
      <c r="C793" s="73"/>
      <c r="D793" s="73"/>
      <c r="E793" s="73"/>
      <c r="F793" s="72"/>
    </row>
    <row r="794" ht="14.25" customHeight="1">
      <c r="A794" s="73"/>
      <c r="B794" s="73"/>
      <c r="C794" s="73"/>
      <c r="D794" s="73"/>
      <c r="E794" s="73"/>
      <c r="F794" s="72"/>
    </row>
    <row r="795" ht="14.25" customHeight="1">
      <c r="A795" s="73"/>
      <c r="B795" s="73"/>
      <c r="C795" s="73"/>
      <c r="D795" s="73"/>
      <c r="E795" s="73"/>
      <c r="F795" s="72"/>
    </row>
    <row r="796" ht="14.25" customHeight="1">
      <c r="A796" s="73"/>
      <c r="B796" s="73"/>
      <c r="C796" s="73"/>
      <c r="D796" s="73"/>
      <c r="E796" s="73"/>
      <c r="F796" s="72"/>
    </row>
    <row r="797" ht="14.25" customHeight="1">
      <c r="A797" s="73"/>
      <c r="B797" s="73"/>
      <c r="C797" s="73"/>
      <c r="D797" s="73"/>
      <c r="E797" s="73"/>
      <c r="F797" s="72"/>
    </row>
    <row r="798" ht="14.25" customHeight="1">
      <c r="A798" s="73"/>
      <c r="B798" s="73"/>
      <c r="C798" s="73"/>
      <c r="D798" s="73"/>
      <c r="E798" s="73"/>
      <c r="F798" s="72"/>
    </row>
    <row r="799" ht="14.25" customHeight="1">
      <c r="A799" s="73"/>
      <c r="B799" s="73"/>
      <c r="C799" s="73"/>
      <c r="D799" s="73"/>
      <c r="E799" s="73"/>
      <c r="F799" s="72"/>
    </row>
    <row r="800" ht="14.25" customHeight="1">
      <c r="A800" s="73"/>
      <c r="B800" s="73"/>
      <c r="C800" s="73"/>
      <c r="D800" s="73"/>
      <c r="E800" s="73"/>
      <c r="F800" s="72"/>
    </row>
    <row r="801" ht="14.25" customHeight="1">
      <c r="A801" s="73"/>
      <c r="B801" s="73"/>
      <c r="C801" s="73"/>
      <c r="D801" s="73"/>
      <c r="E801" s="73"/>
      <c r="F801" s="72"/>
    </row>
    <row r="802" ht="14.25" customHeight="1">
      <c r="A802" s="73"/>
      <c r="B802" s="73"/>
      <c r="C802" s="73"/>
      <c r="D802" s="73"/>
      <c r="E802" s="73"/>
      <c r="F802" s="72"/>
    </row>
    <row r="803" ht="14.25" customHeight="1">
      <c r="A803" s="73"/>
      <c r="B803" s="73"/>
      <c r="C803" s="73"/>
      <c r="D803" s="73"/>
      <c r="E803" s="73"/>
      <c r="F803" s="72"/>
    </row>
    <row r="804" ht="14.25" customHeight="1">
      <c r="A804" s="73"/>
      <c r="B804" s="73"/>
      <c r="C804" s="73"/>
      <c r="D804" s="73"/>
      <c r="E804" s="73"/>
      <c r="F804" s="72"/>
    </row>
    <row r="805" ht="14.25" customHeight="1">
      <c r="A805" s="73"/>
      <c r="B805" s="73"/>
      <c r="C805" s="73"/>
      <c r="D805" s="73"/>
      <c r="E805" s="73"/>
      <c r="F805" s="72"/>
    </row>
    <row r="806" ht="14.25" customHeight="1">
      <c r="A806" s="73"/>
      <c r="B806" s="73"/>
      <c r="C806" s="73"/>
      <c r="D806" s="73"/>
      <c r="E806" s="73"/>
      <c r="F806" s="72"/>
    </row>
    <row r="807" ht="14.25" customHeight="1">
      <c r="A807" s="73"/>
      <c r="B807" s="73"/>
      <c r="C807" s="73"/>
      <c r="D807" s="73"/>
      <c r="E807" s="73"/>
      <c r="F807" s="72"/>
    </row>
    <row r="808" ht="14.25" customHeight="1">
      <c r="A808" s="73"/>
      <c r="B808" s="73"/>
      <c r="C808" s="73"/>
      <c r="D808" s="73"/>
      <c r="E808" s="73"/>
      <c r="F808" s="72"/>
    </row>
    <row r="809" ht="14.25" customHeight="1">
      <c r="A809" s="73"/>
      <c r="B809" s="73"/>
      <c r="C809" s="73"/>
      <c r="D809" s="73"/>
      <c r="E809" s="73"/>
      <c r="F809" s="72"/>
    </row>
    <row r="810" ht="14.25" customHeight="1">
      <c r="A810" s="73"/>
      <c r="B810" s="73"/>
      <c r="C810" s="73"/>
      <c r="D810" s="73"/>
      <c r="E810" s="73"/>
      <c r="F810" s="72"/>
    </row>
    <row r="811" ht="14.25" customHeight="1">
      <c r="A811" s="73"/>
      <c r="B811" s="73"/>
      <c r="C811" s="73"/>
      <c r="D811" s="73"/>
      <c r="E811" s="73"/>
      <c r="F811" s="72"/>
    </row>
    <row r="812" ht="14.25" customHeight="1">
      <c r="A812" s="73"/>
      <c r="B812" s="73"/>
      <c r="C812" s="73"/>
      <c r="D812" s="73"/>
      <c r="E812" s="73"/>
      <c r="F812" s="72"/>
    </row>
    <row r="813" ht="14.25" customHeight="1">
      <c r="A813" s="73"/>
      <c r="B813" s="73"/>
      <c r="C813" s="73"/>
      <c r="D813" s="73"/>
      <c r="E813" s="73"/>
      <c r="F813" s="72"/>
    </row>
    <row r="814" ht="14.25" customHeight="1">
      <c r="A814" s="73"/>
      <c r="B814" s="73"/>
      <c r="C814" s="73"/>
      <c r="D814" s="73"/>
      <c r="E814" s="73"/>
      <c r="F814" s="72"/>
    </row>
    <row r="815" ht="14.25" customHeight="1">
      <c r="A815" s="73"/>
      <c r="B815" s="73"/>
      <c r="C815" s="73"/>
      <c r="D815" s="73"/>
      <c r="E815" s="73"/>
      <c r="F815" s="72"/>
    </row>
    <row r="816" ht="14.25" customHeight="1">
      <c r="A816" s="73"/>
      <c r="B816" s="73"/>
      <c r="C816" s="73"/>
      <c r="D816" s="73"/>
      <c r="E816" s="73"/>
      <c r="F816" s="72"/>
    </row>
    <row r="817" ht="14.25" customHeight="1">
      <c r="A817" s="73"/>
      <c r="B817" s="73"/>
      <c r="C817" s="73"/>
      <c r="D817" s="73"/>
      <c r="E817" s="73"/>
      <c r="F817" s="72"/>
    </row>
    <row r="818" ht="14.25" customHeight="1">
      <c r="A818" s="73"/>
      <c r="B818" s="73"/>
      <c r="C818" s="73"/>
      <c r="D818" s="73"/>
      <c r="E818" s="73"/>
      <c r="F818" s="72"/>
    </row>
    <row r="819" ht="14.25" customHeight="1">
      <c r="A819" s="73"/>
      <c r="B819" s="73"/>
      <c r="C819" s="73"/>
      <c r="D819" s="73"/>
      <c r="E819" s="73"/>
      <c r="F819" s="72"/>
    </row>
    <row r="820" ht="14.25" customHeight="1">
      <c r="A820" s="73"/>
      <c r="B820" s="73"/>
      <c r="C820" s="73"/>
      <c r="D820" s="73"/>
      <c r="E820" s="73"/>
      <c r="F820" s="72"/>
    </row>
    <row r="821" ht="14.25" customHeight="1">
      <c r="A821" s="73"/>
      <c r="B821" s="73"/>
      <c r="C821" s="73"/>
      <c r="D821" s="73"/>
      <c r="E821" s="73"/>
      <c r="F821" s="72"/>
    </row>
    <row r="822" ht="14.25" customHeight="1">
      <c r="A822" s="73"/>
      <c r="B822" s="73"/>
      <c r="C822" s="73"/>
      <c r="D822" s="73"/>
      <c r="E822" s="73"/>
      <c r="F822" s="72"/>
    </row>
    <row r="823" ht="14.25" customHeight="1">
      <c r="A823" s="73"/>
      <c r="B823" s="73"/>
      <c r="C823" s="73"/>
      <c r="D823" s="73"/>
      <c r="E823" s="73"/>
      <c r="F823" s="72"/>
    </row>
    <row r="824" ht="14.25" customHeight="1">
      <c r="A824" s="73"/>
      <c r="B824" s="73"/>
      <c r="C824" s="73"/>
      <c r="D824" s="73"/>
      <c r="E824" s="73"/>
      <c r="F824" s="72"/>
    </row>
    <row r="825" ht="14.25" customHeight="1">
      <c r="A825" s="73"/>
      <c r="B825" s="73"/>
      <c r="C825" s="73"/>
      <c r="D825" s="73"/>
      <c r="E825" s="73"/>
      <c r="F825" s="72"/>
    </row>
    <row r="826" ht="14.25" customHeight="1">
      <c r="A826" s="73"/>
      <c r="B826" s="73"/>
      <c r="C826" s="73"/>
      <c r="D826" s="73"/>
      <c r="E826" s="73"/>
      <c r="F826" s="72"/>
    </row>
    <row r="827" ht="14.25" customHeight="1">
      <c r="A827" s="73"/>
      <c r="B827" s="73"/>
      <c r="C827" s="73"/>
      <c r="D827" s="73"/>
      <c r="E827" s="73"/>
      <c r="F827" s="72"/>
    </row>
    <row r="828" ht="14.25" customHeight="1">
      <c r="A828" s="73"/>
      <c r="B828" s="73"/>
      <c r="C828" s="73"/>
      <c r="D828" s="73"/>
      <c r="E828" s="73"/>
      <c r="F828" s="72"/>
    </row>
    <row r="829" ht="14.25" customHeight="1">
      <c r="A829" s="73"/>
      <c r="B829" s="73"/>
      <c r="C829" s="73"/>
      <c r="D829" s="73"/>
      <c r="E829" s="73"/>
      <c r="F829" s="72"/>
    </row>
    <row r="830" ht="14.25" customHeight="1">
      <c r="A830" s="73"/>
      <c r="B830" s="73"/>
      <c r="C830" s="73"/>
      <c r="D830" s="73"/>
      <c r="E830" s="73"/>
      <c r="F830" s="72"/>
    </row>
    <row r="831" ht="14.25" customHeight="1">
      <c r="A831" s="73"/>
      <c r="B831" s="73"/>
      <c r="C831" s="73"/>
      <c r="D831" s="73"/>
      <c r="E831" s="73"/>
      <c r="F831" s="72"/>
    </row>
    <row r="832" ht="14.25" customHeight="1">
      <c r="A832" s="73"/>
      <c r="B832" s="73"/>
      <c r="C832" s="73"/>
      <c r="D832" s="73"/>
      <c r="E832" s="73"/>
      <c r="F832" s="72"/>
    </row>
    <row r="833" ht="14.25" customHeight="1">
      <c r="A833" s="73"/>
      <c r="B833" s="73"/>
      <c r="C833" s="73"/>
      <c r="D833" s="73"/>
      <c r="E833" s="73"/>
      <c r="F833" s="72"/>
    </row>
    <row r="834" ht="14.25" customHeight="1">
      <c r="A834" s="73"/>
      <c r="B834" s="73"/>
      <c r="C834" s="73"/>
      <c r="D834" s="73"/>
      <c r="E834" s="73"/>
      <c r="F834" s="72"/>
    </row>
    <row r="835" ht="14.25" customHeight="1">
      <c r="A835" s="73"/>
      <c r="B835" s="73"/>
      <c r="C835" s="73"/>
      <c r="D835" s="73"/>
      <c r="E835" s="73"/>
      <c r="F835" s="72"/>
    </row>
    <row r="836" ht="14.25" customHeight="1">
      <c r="A836" s="73"/>
      <c r="B836" s="73"/>
      <c r="C836" s="73"/>
      <c r="D836" s="73"/>
      <c r="E836" s="73"/>
      <c r="F836" s="72"/>
    </row>
    <row r="837" ht="14.25" customHeight="1">
      <c r="A837" s="73"/>
      <c r="B837" s="73"/>
      <c r="C837" s="73"/>
      <c r="D837" s="73"/>
      <c r="E837" s="73"/>
      <c r="F837" s="72"/>
    </row>
    <row r="838" ht="14.25" customHeight="1">
      <c r="A838" s="73"/>
      <c r="B838" s="73"/>
      <c r="C838" s="73"/>
      <c r="D838" s="73"/>
      <c r="E838" s="73"/>
      <c r="F838" s="72"/>
    </row>
    <row r="839" ht="14.25" customHeight="1">
      <c r="A839" s="73"/>
      <c r="B839" s="73"/>
      <c r="C839" s="73"/>
      <c r="D839" s="73"/>
      <c r="E839" s="73"/>
      <c r="F839" s="72"/>
    </row>
    <row r="840" ht="14.25" customHeight="1">
      <c r="A840" s="73"/>
      <c r="B840" s="73"/>
      <c r="C840" s="73"/>
      <c r="D840" s="73"/>
      <c r="E840" s="73"/>
      <c r="F840" s="72"/>
    </row>
    <row r="841" ht="14.25" customHeight="1">
      <c r="A841" s="73"/>
      <c r="B841" s="73"/>
      <c r="C841" s="73"/>
      <c r="D841" s="73"/>
      <c r="E841" s="73"/>
      <c r="F841" s="72"/>
    </row>
    <row r="842" ht="14.25" customHeight="1">
      <c r="A842" s="73"/>
      <c r="B842" s="73"/>
      <c r="C842" s="73"/>
      <c r="D842" s="73"/>
      <c r="E842" s="73"/>
      <c r="F842" s="72"/>
    </row>
    <row r="843" ht="14.25" customHeight="1">
      <c r="A843" s="73"/>
      <c r="B843" s="73"/>
      <c r="C843" s="73"/>
      <c r="D843" s="73"/>
      <c r="E843" s="73"/>
      <c r="F843" s="72"/>
    </row>
    <row r="844" ht="14.25" customHeight="1">
      <c r="A844" s="73"/>
      <c r="B844" s="73"/>
      <c r="C844" s="73"/>
      <c r="D844" s="73"/>
      <c r="E844" s="73"/>
      <c r="F844" s="72"/>
    </row>
    <row r="845" ht="14.25" customHeight="1">
      <c r="A845" s="73"/>
      <c r="B845" s="73"/>
      <c r="C845" s="73"/>
      <c r="D845" s="73"/>
      <c r="E845" s="73"/>
      <c r="F845" s="72"/>
    </row>
    <row r="846" ht="14.25" customHeight="1">
      <c r="A846" s="73"/>
      <c r="B846" s="73"/>
      <c r="C846" s="73"/>
      <c r="D846" s="73"/>
      <c r="E846" s="73"/>
      <c r="F846" s="72"/>
    </row>
    <row r="847" ht="14.25" customHeight="1">
      <c r="A847" s="73"/>
      <c r="B847" s="73"/>
      <c r="C847" s="73"/>
      <c r="D847" s="73"/>
      <c r="E847" s="73"/>
      <c r="F847" s="72"/>
    </row>
    <row r="848" ht="14.25" customHeight="1">
      <c r="A848" s="73"/>
      <c r="B848" s="73"/>
      <c r="C848" s="73"/>
      <c r="D848" s="73"/>
      <c r="E848" s="73"/>
      <c r="F848" s="72"/>
    </row>
    <row r="849" ht="14.25" customHeight="1">
      <c r="A849" s="73"/>
      <c r="B849" s="73"/>
      <c r="C849" s="73"/>
      <c r="D849" s="73"/>
      <c r="E849" s="73"/>
      <c r="F849" s="72"/>
    </row>
    <row r="850" ht="14.25" customHeight="1">
      <c r="A850" s="73"/>
      <c r="B850" s="73"/>
      <c r="C850" s="73"/>
      <c r="D850" s="73"/>
      <c r="E850" s="73"/>
      <c r="F850" s="72"/>
    </row>
    <row r="851" ht="14.25" customHeight="1">
      <c r="A851" s="73"/>
      <c r="B851" s="73"/>
      <c r="C851" s="73"/>
      <c r="D851" s="73"/>
      <c r="E851" s="73"/>
      <c r="F851" s="72"/>
    </row>
    <row r="852" ht="14.25" customHeight="1">
      <c r="A852" s="73"/>
      <c r="B852" s="73"/>
      <c r="C852" s="73"/>
      <c r="D852" s="73"/>
      <c r="E852" s="73"/>
      <c r="F852" s="72"/>
    </row>
    <row r="853" ht="14.25" customHeight="1">
      <c r="A853" s="73"/>
      <c r="B853" s="73"/>
      <c r="C853" s="73"/>
      <c r="D853" s="73"/>
      <c r="E853" s="73"/>
      <c r="F853" s="72"/>
    </row>
    <row r="854" ht="14.25" customHeight="1">
      <c r="A854" s="73"/>
      <c r="B854" s="73"/>
      <c r="C854" s="73"/>
      <c r="D854" s="73"/>
      <c r="E854" s="73"/>
      <c r="F854" s="72"/>
    </row>
    <row r="855" ht="14.25" customHeight="1">
      <c r="A855" s="73"/>
      <c r="B855" s="73"/>
      <c r="C855" s="73"/>
      <c r="D855" s="73"/>
      <c r="E855" s="73"/>
      <c r="F855" s="72"/>
    </row>
    <row r="856" ht="14.25" customHeight="1">
      <c r="A856" s="73"/>
      <c r="B856" s="73"/>
      <c r="C856" s="73"/>
      <c r="D856" s="73"/>
      <c r="E856" s="73"/>
      <c r="F856" s="72"/>
    </row>
    <row r="857" ht="14.25" customHeight="1">
      <c r="A857" s="73"/>
      <c r="B857" s="73"/>
      <c r="C857" s="73"/>
      <c r="D857" s="73"/>
      <c r="E857" s="73"/>
      <c r="F857" s="72"/>
    </row>
    <row r="858" ht="14.25" customHeight="1">
      <c r="A858" s="73"/>
      <c r="B858" s="73"/>
      <c r="C858" s="73"/>
      <c r="D858" s="73"/>
      <c r="E858" s="73"/>
      <c r="F858" s="72"/>
    </row>
    <row r="859" ht="14.25" customHeight="1">
      <c r="A859" s="73"/>
      <c r="B859" s="73"/>
      <c r="C859" s="73"/>
      <c r="D859" s="73"/>
      <c r="E859" s="73"/>
      <c r="F859" s="72"/>
    </row>
    <row r="860" ht="14.25" customHeight="1">
      <c r="A860" s="73"/>
      <c r="B860" s="73"/>
      <c r="C860" s="73"/>
      <c r="D860" s="73"/>
      <c r="E860" s="73"/>
      <c r="F860" s="72"/>
    </row>
    <row r="861" ht="14.25" customHeight="1">
      <c r="A861" s="73"/>
      <c r="B861" s="73"/>
      <c r="C861" s="73"/>
      <c r="D861" s="73"/>
      <c r="E861" s="73"/>
      <c r="F861" s="72"/>
    </row>
    <row r="862" ht="14.25" customHeight="1">
      <c r="A862" s="73"/>
      <c r="B862" s="73"/>
      <c r="C862" s="73"/>
      <c r="D862" s="73"/>
      <c r="E862" s="73"/>
      <c r="F862" s="72"/>
    </row>
    <row r="863" ht="14.25" customHeight="1">
      <c r="A863" s="73"/>
      <c r="B863" s="73"/>
      <c r="C863" s="73"/>
      <c r="D863" s="73"/>
      <c r="E863" s="73"/>
      <c r="F863" s="72"/>
    </row>
    <row r="864" ht="14.25" customHeight="1">
      <c r="A864" s="73"/>
      <c r="B864" s="73"/>
      <c r="C864" s="73"/>
      <c r="D864" s="73"/>
      <c r="E864" s="73"/>
      <c r="F864" s="72"/>
    </row>
    <row r="865" ht="14.25" customHeight="1">
      <c r="A865" s="73"/>
      <c r="B865" s="73"/>
      <c r="C865" s="73"/>
      <c r="D865" s="73"/>
      <c r="E865" s="73"/>
      <c r="F865" s="72"/>
    </row>
    <row r="866" ht="14.25" customHeight="1">
      <c r="A866" s="73"/>
      <c r="B866" s="73"/>
      <c r="C866" s="73"/>
      <c r="D866" s="73"/>
      <c r="E866" s="73"/>
      <c r="F866" s="72"/>
    </row>
    <row r="867" ht="14.25" customHeight="1">
      <c r="A867" s="73"/>
      <c r="B867" s="73"/>
      <c r="C867" s="73"/>
      <c r="D867" s="73"/>
      <c r="E867" s="73"/>
      <c r="F867" s="72"/>
    </row>
    <row r="868" ht="14.25" customHeight="1">
      <c r="A868" s="73"/>
      <c r="B868" s="73"/>
      <c r="C868" s="73"/>
      <c r="D868" s="73"/>
      <c r="E868" s="73"/>
      <c r="F868" s="72"/>
    </row>
    <row r="869" ht="14.25" customHeight="1">
      <c r="A869" s="73"/>
      <c r="B869" s="73"/>
      <c r="C869" s="73"/>
      <c r="D869" s="73"/>
      <c r="E869" s="73"/>
      <c r="F869" s="72"/>
    </row>
    <row r="870" ht="14.25" customHeight="1">
      <c r="A870" s="73"/>
      <c r="B870" s="73"/>
      <c r="C870" s="73"/>
      <c r="D870" s="73"/>
      <c r="E870" s="73"/>
      <c r="F870" s="72"/>
    </row>
    <row r="871" ht="14.25" customHeight="1">
      <c r="A871" s="73"/>
      <c r="B871" s="73"/>
      <c r="C871" s="73"/>
      <c r="D871" s="73"/>
      <c r="E871" s="73"/>
      <c r="F871" s="72"/>
    </row>
    <row r="872" ht="14.25" customHeight="1">
      <c r="A872" s="73"/>
      <c r="B872" s="73"/>
      <c r="C872" s="73"/>
      <c r="D872" s="73"/>
      <c r="E872" s="73"/>
      <c r="F872" s="72"/>
    </row>
    <row r="873" ht="14.25" customHeight="1">
      <c r="A873" s="73"/>
      <c r="B873" s="73"/>
      <c r="C873" s="73"/>
      <c r="D873" s="73"/>
      <c r="E873" s="73"/>
      <c r="F873" s="72"/>
    </row>
    <row r="874" ht="14.25" customHeight="1">
      <c r="A874" s="73"/>
      <c r="B874" s="73"/>
      <c r="C874" s="73"/>
      <c r="D874" s="73"/>
      <c r="E874" s="73"/>
      <c r="F874" s="72"/>
    </row>
    <row r="875" ht="14.25" customHeight="1">
      <c r="A875" s="73"/>
      <c r="B875" s="73"/>
      <c r="C875" s="73"/>
      <c r="D875" s="73"/>
      <c r="E875" s="73"/>
      <c r="F875" s="72"/>
    </row>
    <row r="876" ht="14.25" customHeight="1">
      <c r="A876" s="73"/>
      <c r="B876" s="73"/>
      <c r="C876" s="73"/>
      <c r="D876" s="73"/>
      <c r="E876" s="73"/>
      <c r="F876" s="72"/>
    </row>
    <row r="877" ht="14.25" customHeight="1">
      <c r="A877" s="73"/>
      <c r="B877" s="73"/>
      <c r="C877" s="73"/>
      <c r="D877" s="73"/>
      <c r="E877" s="73"/>
      <c r="F877" s="72"/>
    </row>
    <row r="878" ht="14.25" customHeight="1">
      <c r="A878" s="73"/>
      <c r="B878" s="73"/>
      <c r="C878" s="73"/>
      <c r="D878" s="73"/>
      <c r="E878" s="73"/>
      <c r="F878" s="72"/>
    </row>
    <row r="879" ht="14.25" customHeight="1">
      <c r="A879" s="73"/>
      <c r="B879" s="73"/>
      <c r="C879" s="73"/>
      <c r="D879" s="73"/>
      <c r="E879" s="73"/>
      <c r="F879" s="72"/>
    </row>
    <row r="880" ht="14.25" customHeight="1">
      <c r="A880" s="73"/>
      <c r="B880" s="73"/>
      <c r="C880" s="73"/>
      <c r="D880" s="73"/>
      <c r="E880" s="73"/>
      <c r="F880" s="72"/>
    </row>
    <row r="881" ht="14.25" customHeight="1">
      <c r="A881" s="73"/>
      <c r="B881" s="73"/>
      <c r="C881" s="73"/>
      <c r="D881" s="73"/>
      <c r="E881" s="73"/>
      <c r="F881" s="72"/>
    </row>
    <row r="882" ht="14.25" customHeight="1">
      <c r="A882" s="73"/>
      <c r="B882" s="73"/>
      <c r="C882" s="73"/>
      <c r="D882" s="73"/>
      <c r="E882" s="73"/>
      <c r="F882" s="72"/>
    </row>
    <row r="883" ht="14.25" customHeight="1">
      <c r="A883" s="73"/>
      <c r="B883" s="73"/>
      <c r="C883" s="73"/>
      <c r="D883" s="73"/>
      <c r="E883" s="73"/>
      <c r="F883" s="72"/>
    </row>
    <row r="884" ht="14.25" customHeight="1">
      <c r="A884" s="73"/>
      <c r="B884" s="73"/>
      <c r="C884" s="73"/>
      <c r="D884" s="73"/>
      <c r="E884" s="73"/>
      <c r="F884" s="72"/>
    </row>
    <row r="885" ht="14.25" customHeight="1">
      <c r="A885" s="73"/>
      <c r="B885" s="73"/>
      <c r="C885" s="73"/>
      <c r="D885" s="73"/>
      <c r="E885" s="73"/>
      <c r="F885" s="72"/>
    </row>
    <row r="886" ht="14.25" customHeight="1">
      <c r="A886" s="73"/>
      <c r="B886" s="73"/>
      <c r="C886" s="73"/>
      <c r="D886" s="73"/>
      <c r="E886" s="73"/>
      <c r="F886" s="72"/>
    </row>
    <row r="887" ht="14.25" customHeight="1">
      <c r="A887" s="73"/>
      <c r="B887" s="73"/>
      <c r="C887" s="73"/>
      <c r="D887" s="73"/>
      <c r="E887" s="73"/>
      <c r="F887" s="72"/>
    </row>
    <row r="888" ht="14.25" customHeight="1">
      <c r="A888" s="73"/>
      <c r="B888" s="73"/>
      <c r="C888" s="73"/>
      <c r="D888" s="73"/>
      <c r="E888" s="73"/>
      <c r="F888" s="72"/>
    </row>
    <row r="889" ht="14.25" customHeight="1">
      <c r="A889" s="73"/>
      <c r="B889" s="73"/>
      <c r="C889" s="73"/>
      <c r="D889" s="73"/>
      <c r="E889" s="73"/>
      <c r="F889" s="72"/>
    </row>
    <row r="890" ht="14.25" customHeight="1">
      <c r="A890" s="73"/>
      <c r="B890" s="73"/>
      <c r="C890" s="73"/>
      <c r="D890" s="73"/>
      <c r="E890" s="73"/>
      <c r="F890" s="72"/>
    </row>
    <row r="891" ht="14.25" customHeight="1">
      <c r="A891" s="73"/>
      <c r="B891" s="73"/>
      <c r="C891" s="73"/>
      <c r="D891" s="73"/>
      <c r="E891" s="73"/>
      <c r="F891" s="72"/>
    </row>
    <row r="892" ht="14.25" customHeight="1">
      <c r="A892" s="73"/>
      <c r="B892" s="73"/>
      <c r="C892" s="73"/>
      <c r="D892" s="73"/>
      <c r="E892" s="73"/>
      <c r="F892" s="72"/>
    </row>
    <row r="893" ht="14.25" customHeight="1">
      <c r="A893" s="73"/>
      <c r="B893" s="73"/>
      <c r="C893" s="73"/>
      <c r="D893" s="73"/>
      <c r="E893" s="73"/>
      <c r="F893" s="72"/>
    </row>
    <row r="894" ht="14.25" customHeight="1">
      <c r="A894" s="73"/>
      <c r="B894" s="73"/>
      <c r="C894" s="73"/>
      <c r="D894" s="73"/>
      <c r="E894" s="73"/>
      <c r="F894" s="72"/>
    </row>
    <row r="895" ht="14.25" customHeight="1">
      <c r="A895" s="73"/>
      <c r="B895" s="73"/>
      <c r="C895" s="73"/>
      <c r="D895" s="73"/>
      <c r="E895" s="73"/>
      <c r="F895" s="72"/>
    </row>
    <row r="896" ht="14.25" customHeight="1">
      <c r="A896" s="73"/>
      <c r="B896" s="73"/>
      <c r="C896" s="73"/>
      <c r="D896" s="73"/>
      <c r="E896" s="73"/>
      <c r="F896" s="72"/>
    </row>
    <row r="897" ht="14.25" customHeight="1">
      <c r="A897" s="73"/>
      <c r="B897" s="73"/>
      <c r="C897" s="73"/>
      <c r="D897" s="73"/>
      <c r="E897" s="73"/>
      <c r="F897" s="72"/>
    </row>
    <row r="898" ht="14.25" customHeight="1">
      <c r="A898" s="73"/>
      <c r="B898" s="73"/>
      <c r="C898" s="73"/>
      <c r="D898" s="73"/>
      <c r="E898" s="73"/>
      <c r="F898" s="72"/>
    </row>
    <row r="899" ht="14.25" customHeight="1">
      <c r="A899" s="73"/>
      <c r="B899" s="73"/>
      <c r="C899" s="73"/>
      <c r="D899" s="73"/>
      <c r="E899" s="73"/>
      <c r="F899" s="72"/>
    </row>
    <row r="900" ht="14.25" customHeight="1">
      <c r="A900" s="73"/>
      <c r="B900" s="73"/>
      <c r="C900" s="73"/>
      <c r="D900" s="73"/>
      <c r="E900" s="73"/>
      <c r="F900" s="72"/>
    </row>
    <row r="901" ht="14.25" customHeight="1">
      <c r="A901" s="73"/>
      <c r="B901" s="73"/>
      <c r="C901" s="73"/>
      <c r="D901" s="73"/>
      <c r="E901" s="73"/>
      <c r="F901" s="72"/>
    </row>
    <row r="902" ht="14.25" customHeight="1">
      <c r="A902" s="73"/>
      <c r="B902" s="73"/>
      <c r="C902" s="73"/>
      <c r="D902" s="73"/>
      <c r="E902" s="73"/>
      <c r="F902" s="72"/>
    </row>
    <row r="903" ht="14.25" customHeight="1">
      <c r="A903" s="73"/>
      <c r="B903" s="73"/>
      <c r="C903" s="73"/>
      <c r="D903" s="73"/>
      <c r="E903" s="73"/>
      <c r="F903" s="72"/>
    </row>
    <row r="904" ht="14.25" customHeight="1">
      <c r="A904" s="73"/>
      <c r="B904" s="73"/>
      <c r="C904" s="73"/>
      <c r="D904" s="73"/>
      <c r="E904" s="73"/>
      <c r="F904" s="72"/>
    </row>
    <row r="905" ht="14.25" customHeight="1">
      <c r="A905" s="73"/>
      <c r="B905" s="73"/>
      <c r="C905" s="73"/>
      <c r="D905" s="73"/>
      <c r="E905" s="73"/>
      <c r="F905" s="72"/>
    </row>
    <row r="906" ht="14.25" customHeight="1">
      <c r="A906" s="73"/>
      <c r="B906" s="73"/>
      <c r="C906" s="73"/>
      <c r="D906" s="73"/>
      <c r="E906" s="73"/>
      <c r="F906" s="72"/>
    </row>
    <row r="907" ht="14.25" customHeight="1">
      <c r="A907" s="73"/>
      <c r="B907" s="73"/>
      <c r="C907" s="73"/>
      <c r="D907" s="73"/>
      <c r="E907" s="73"/>
      <c r="F907" s="72"/>
    </row>
    <row r="908" ht="14.25" customHeight="1">
      <c r="A908" s="73"/>
      <c r="B908" s="73"/>
      <c r="C908" s="73"/>
      <c r="D908" s="73"/>
      <c r="E908" s="73"/>
      <c r="F908" s="72"/>
    </row>
    <row r="909" ht="14.25" customHeight="1">
      <c r="A909" s="73"/>
      <c r="B909" s="73"/>
      <c r="C909" s="73"/>
      <c r="D909" s="73"/>
      <c r="E909" s="73"/>
      <c r="F909" s="72"/>
    </row>
    <row r="910" ht="14.25" customHeight="1">
      <c r="A910" s="73"/>
      <c r="B910" s="73"/>
      <c r="C910" s="73"/>
      <c r="D910" s="73"/>
      <c r="E910" s="73"/>
      <c r="F910" s="72"/>
    </row>
    <row r="911" ht="14.25" customHeight="1">
      <c r="A911" s="73"/>
      <c r="B911" s="73"/>
      <c r="C911" s="73"/>
      <c r="D911" s="73"/>
      <c r="E911" s="73"/>
      <c r="F911" s="72"/>
    </row>
    <row r="912" ht="14.25" customHeight="1">
      <c r="A912" s="73"/>
      <c r="B912" s="73"/>
      <c r="C912" s="73"/>
      <c r="D912" s="73"/>
      <c r="E912" s="73"/>
      <c r="F912" s="72"/>
    </row>
    <row r="913" ht="14.25" customHeight="1">
      <c r="A913" s="73"/>
      <c r="B913" s="73"/>
      <c r="C913" s="73"/>
      <c r="D913" s="73"/>
      <c r="E913" s="73"/>
      <c r="F913" s="72"/>
    </row>
    <row r="914" ht="14.25" customHeight="1">
      <c r="A914" s="73"/>
      <c r="B914" s="73"/>
      <c r="C914" s="73"/>
      <c r="D914" s="73"/>
      <c r="E914" s="73"/>
      <c r="F914" s="72"/>
    </row>
    <row r="915" ht="14.25" customHeight="1">
      <c r="A915" s="73"/>
      <c r="B915" s="73"/>
      <c r="C915" s="73"/>
      <c r="D915" s="73"/>
      <c r="E915" s="73"/>
      <c r="F915" s="72"/>
    </row>
    <row r="916" ht="14.25" customHeight="1">
      <c r="A916" s="73"/>
      <c r="B916" s="73"/>
      <c r="C916" s="73"/>
      <c r="D916" s="73"/>
      <c r="E916" s="73"/>
      <c r="F916" s="72"/>
    </row>
    <row r="917" ht="14.25" customHeight="1">
      <c r="A917" s="73"/>
      <c r="B917" s="73"/>
      <c r="C917" s="73"/>
      <c r="D917" s="73"/>
      <c r="E917" s="73"/>
      <c r="F917" s="72"/>
    </row>
    <row r="918" ht="14.25" customHeight="1">
      <c r="A918" s="73"/>
      <c r="B918" s="73"/>
      <c r="C918" s="73"/>
      <c r="D918" s="73"/>
      <c r="E918" s="73"/>
      <c r="F918" s="72"/>
    </row>
    <row r="919" ht="14.25" customHeight="1">
      <c r="A919" s="73"/>
      <c r="B919" s="73"/>
      <c r="C919" s="73"/>
      <c r="D919" s="73"/>
      <c r="E919" s="73"/>
      <c r="F919" s="72"/>
    </row>
    <row r="920" ht="14.25" customHeight="1">
      <c r="A920" s="73"/>
      <c r="B920" s="73"/>
      <c r="C920" s="73"/>
      <c r="D920" s="73"/>
      <c r="E920" s="73"/>
      <c r="F920" s="72"/>
    </row>
    <row r="921" ht="14.25" customHeight="1">
      <c r="A921" s="73"/>
      <c r="B921" s="73"/>
      <c r="C921" s="73"/>
      <c r="D921" s="73"/>
      <c r="E921" s="73"/>
      <c r="F921" s="72"/>
    </row>
    <row r="922" ht="14.25" customHeight="1">
      <c r="A922" s="73"/>
      <c r="B922" s="73"/>
      <c r="C922" s="73"/>
      <c r="D922" s="73"/>
      <c r="E922" s="73"/>
      <c r="F922" s="72"/>
    </row>
    <row r="923" ht="14.25" customHeight="1">
      <c r="A923" s="73"/>
      <c r="B923" s="73"/>
      <c r="C923" s="73"/>
      <c r="D923" s="73"/>
      <c r="E923" s="73"/>
      <c r="F923" s="72"/>
    </row>
    <row r="924" ht="14.25" customHeight="1">
      <c r="A924" s="73"/>
      <c r="B924" s="73"/>
      <c r="C924" s="73"/>
      <c r="D924" s="73"/>
      <c r="E924" s="73"/>
      <c r="F924" s="72"/>
    </row>
    <row r="925" ht="14.25" customHeight="1">
      <c r="A925" s="73"/>
      <c r="B925" s="73"/>
      <c r="C925" s="73"/>
      <c r="D925" s="73"/>
      <c r="E925" s="73"/>
      <c r="F925" s="72"/>
    </row>
    <row r="926" ht="14.25" customHeight="1">
      <c r="A926" s="73"/>
      <c r="B926" s="73"/>
      <c r="C926" s="73"/>
      <c r="D926" s="73"/>
      <c r="E926" s="73"/>
      <c r="F926" s="72"/>
    </row>
    <row r="927" ht="14.25" customHeight="1">
      <c r="A927" s="73"/>
      <c r="B927" s="73"/>
      <c r="C927" s="73"/>
      <c r="D927" s="73"/>
      <c r="E927" s="73"/>
      <c r="F927" s="72"/>
    </row>
    <row r="928" ht="14.25" customHeight="1">
      <c r="A928" s="73"/>
      <c r="B928" s="73"/>
      <c r="C928" s="73"/>
      <c r="D928" s="73"/>
      <c r="E928" s="73"/>
      <c r="F928" s="72"/>
    </row>
    <row r="929" ht="14.25" customHeight="1">
      <c r="A929" s="73"/>
      <c r="B929" s="73"/>
      <c r="C929" s="73"/>
      <c r="D929" s="73"/>
      <c r="E929" s="73"/>
      <c r="F929" s="72"/>
    </row>
    <row r="930" ht="14.25" customHeight="1">
      <c r="A930" s="73"/>
      <c r="B930" s="73"/>
      <c r="C930" s="73"/>
      <c r="D930" s="73"/>
      <c r="E930" s="73"/>
      <c r="F930" s="72"/>
    </row>
    <row r="931" ht="14.25" customHeight="1">
      <c r="A931" s="73"/>
      <c r="B931" s="73"/>
      <c r="C931" s="73"/>
      <c r="D931" s="73"/>
      <c r="E931" s="73"/>
      <c r="F931" s="72"/>
    </row>
    <row r="932" ht="14.25" customHeight="1">
      <c r="A932" s="73"/>
      <c r="B932" s="73"/>
      <c r="C932" s="73"/>
      <c r="D932" s="73"/>
      <c r="E932" s="73"/>
      <c r="F932" s="72"/>
    </row>
    <row r="933" ht="14.25" customHeight="1">
      <c r="A933" s="73"/>
      <c r="B933" s="73"/>
      <c r="C933" s="73"/>
      <c r="D933" s="73"/>
      <c r="E933" s="73"/>
      <c r="F933" s="72"/>
    </row>
    <row r="934" ht="14.25" customHeight="1">
      <c r="A934" s="73"/>
      <c r="B934" s="73"/>
      <c r="C934" s="73"/>
      <c r="D934" s="73"/>
      <c r="E934" s="73"/>
      <c r="F934" s="72"/>
    </row>
    <row r="935" ht="14.25" customHeight="1">
      <c r="A935" s="73"/>
      <c r="B935" s="73"/>
      <c r="C935" s="73"/>
      <c r="D935" s="73"/>
      <c r="E935" s="73"/>
      <c r="F935" s="72"/>
    </row>
    <row r="936" ht="14.25" customHeight="1">
      <c r="A936" s="73"/>
      <c r="B936" s="73"/>
      <c r="C936" s="73"/>
      <c r="D936" s="73"/>
      <c r="E936" s="73"/>
      <c r="F936" s="72"/>
    </row>
    <row r="937" ht="14.25" customHeight="1">
      <c r="A937" s="73"/>
      <c r="B937" s="73"/>
      <c r="C937" s="73"/>
      <c r="D937" s="73"/>
      <c r="E937" s="73"/>
      <c r="F937" s="72"/>
    </row>
    <row r="938" ht="14.25" customHeight="1">
      <c r="A938" s="73"/>
      <c r="B938" s="73"/>
      <c r="C938" s="73"/>
      <c r="D938" s="73"/>
      <c r="E938" s="73"/>
      <c r="F938" s="72"/>
    </row>
    <row r="939" ht="14.25" customHeight="1">
      <c r="A939" s="73"/>
      <c r="B939" s="73"/>
      <c r="C939" s="73"/>
      <c r="D939" s="73"/>
      <c r="E939" s="73"/>
      <c r="F939" s="72"/>
    </row>
    <row r="940" ht="14.25" customHeight="1">
      <c r="A940" s="73"/>
      <c r="B940" s="73"/>
      <c r="C940" s="73"/>
      <c r="D940" s="73"/>
      <c r="E940" s="73"/>
      <c r="F940" s="72"/>
    </row>
    <row r="941" ht="14.25" customHeight="1">
      <c r="A941" s="73"/>
      <c r="B941" s="73"/>
      <c r="C941" s="73"/>
      <c r="D941" s="73"/>
      <c r="E941" s="73"/>
      <c r="F941" s="72"/>
    </row>
    <row r="942" ht="14.25" customHeight="1">
      <c r="A942" s="73"/>
      <c r="B942" s="73"/>
      <c r="C942" s="73"/>
      <c r="D942" s="73"/>
      <c r="E942" s="73"/>
      <c r="F942" s="72"/>
    </row>
    <row r="943" ht="14.25" customHeight="1">
      <c r="A943" s="73"/>
      <c r="B943" s="73"/>
      <c r="C943" s="73"/>
      <c r="D943" s="73"/>
      <c r="E943" s="73"/>
      <c r="F943" s="72"/>
    </row>
    <row r="944" ht="14.25" customHeight="1">
      <c r="A944" s="73"/>
      <c r="B944" s="73"/>
      <c r="C944" s="73"/>
      <c r="D944" s="73"/>
      <c r="E944" s="73"/>
      <c r="F944" s="72"/>
    </row>
    <row r="945" ht="14.25" customHeight="1">
      <c r="A945" s="73"/>
      <c r="B945" s="73"/>
      <c r="C945" s="73"/>
      <c r="D945" s="73"/>
      <c r="E945" s="73"/>
      <c r="F945" s="72"/>
    </row>
    <row r="946" ht="14.25" customHeight="1">
      <c r="A946" s="73"/>
      <c r="B946" s="73"/>
      <c r="C946" s="73"/>
      <c r="D946" s="73"/>
      <c r="E946" s="73"/>
      <c r="F946" s="72"/>
    </row>
    <row r="947" ht="14.25" customHeight="1">
      <c r="A947" s="73"/>
      <c r="B947" s="73"/>
      <c r="C947" s="73"/>
      <c r="D947" s="73"/>
      <c r="E947" s="73"/>
      <c r="F947" s="72"/>
    </row>
    <row r="948" ht="14.25" customHeight="1">
      <c r="A948" s="73"/>
      <c r="B948" s="73"/>
      <c r="C948" s="73"/>
      <c r="D948" s="73"/>
      <c r="E948" s="73"/>
      <c r="F948" s="72"/>
    </row>
    <row r="949" ht="14.25" customHeight="1">
      <c r="A949" s="73"/>
      <c r="B949" s="73"/>
      <c r="C949" s="73"/>
      <c r="D949" s="73"/>
      <c r="E949" s="73"/>
      <c r="F949" s="72"/>
    </row>
    <row r="950" ht="14.25" customHeight="1">
      <c r="A950" s="73"/>
      <c r="B950" s="73"/>
      <c r="C950" s="73"/>
      <c r="D950" s="73"/>
      <c r="E950" s="73"/>
      <c r="F950" s="72"/>
    </row>
    <row r="951" ht="14.25" customHeight="1">
      <c r="A951" s="73"/>
      <c r="B951" s="73"/>
      <c r="C951" s="73"/>
      <c r="D951" s="73"/>
      <c r="E951" s="73"/>
      <c r="F951" s="72"/>
    </row>
    <row r="952" ht="14.25" customHeight="1">
      <c r="A952" s="73"/>
      <c r="B952" s="73"/>
      <c r="C952" s="73"/>
      <c r="D952" s="73"/>
      <c r="E952" s="73"/>
      <c r="F952" s="72"/>
    </row>
    <row r="953" ht="14.25" customHeight="1">
      <c r="A953" s="73"/>
      <c r="B953" s="73"/>
      <c r="C953" s="73"/>
      <c r="D953" s="73"/>
      <c r="E953" s="73"/>
      <c r="F953" s="72"/>
    </row>
    <row r="954" ht="14.25" customHeight="1">
      <c r="A954" s="73"/>
      <c r="B954" s="73"/>
      <c r="C954" s="73"/>
      <c r="D954" s="73"/>
      <c r="E954" s="73"/>
      <c r="F954" s="72"/>
    </row>
    <row r="955" ht="14.25" customHeight="1">
      <c r="A955" s="73"/>
      <c r="B955" s="73"/>
      <c r="C955" s="73"/>
      <c r="D955" s="73"/>
      <c r="E955" s="73"/>
      <c r="F955" s="72"/>
    </row>
    <row r="956" ht="14.25" customHeight="1">
      <c r="A956" s="73"/>
      <c r="B956" s="73"/>
      <c r="C956" s="73"/>
      <c r="D956" s="73"/>
      <c r="E956" s="73"/>
      <c r="F956" s="72"/>
    </row>
    <row r="957" ht="14.25" customHeight="1">
      <c r="A957" s="73"/>
      <c r="B957" s="73"/>
      <c r="C957" s="73"/>
      <c r="D957" s="73"/>
      <c r="E957" s="73"/>
      <c r="F957" s="72"/>
    </row>
    <row r="958" ht="14.25" customHeight="1">
      <c r="A958" s="73"/>
      <c r="B958" s="73"/>
      <c r="C958" s="73"/>
      <c r="D958" s="73"/>
      <c r="E958" s="73"/>
      <c r="F958" s="72"/>
    </row>
    <row r="959" ht="14.25" customHeight="1">
      <c r="A959" s="73"/>
      <c r="B959" s="73"/>
      <c r="C959" s="73"/>
      <c r="D959" s="73"/>
      <c r="E959" s="73"/>
      <c r="F959" s="72"/>
    </row>
    <row r="960" ht="14.25" customHeight="1">
      <c r="A960" s="73"/>
      <c r="B960" s="73"/>
      <c r="C960" s="73"/>
      <c r="D960" s="73"/>
      <c r="E960" s="73"/>
      <c r="F960" s="72"/>
    </row>
    <row r="961" ht="14.25" customHeight="1">
      <c r="A961" s="73"/>
      <c r="B961" s="73"/>
      <c r="C961" s="73"/>
      <c r="D961" s="73"/>
      <c r="E961" s="73"/>
      <c r="F961" s="72"/>
    </row>
    <row r="962" ht="14.25" customHeight="1">
      <c r="A962" s="73"/>
      <c r="B962" s="73"/>
      <c r="C962" s="73"/>
      <c r="D962" s="73"/>
      <c r="E962" s="73"/>
      <c r="F962" s="72"/>
    </row>
    <row r="963" ht="14.25" customHeight="1">
      <c r="A963" s="73"/>
      <c r="B963" s="73"/>
      <c r="C963" s="73"/>
      <c r="D963" s="73"/>
      <c r="E963" s="73"/>
      <c r="F963" s="72"/>
    </row>
    <row r="964" ht="14.25" customHeight="1">
      <c r="A964" s="73"/>
      <c r="B964" s="73"/>
      <c r="C964" s="73"/>
      <c r="D964" s="73"/>
      <c r="E964" s="73"/>
      <c r="F964" s="72"/>
    </row>
    <row r="965" ht="14.25" customHeight="1">
      <c r="A965" s="73"/>
      <c r="B965" s="73"/>
      <c r="C965" s="73"/>
      <c r="D965" s="73"/>
      <c r="E965" s="73"/>
      <c r="F965" s="72"/>
    </row>
    <row r="966" ht="14.25" customHeight="1">
      <c r="A966" s="73"/>
      <c r="B966" s="73"/>
      <c r="C966" s="73"/>
      <c r="D966" s="73"/>
      <c r="E966" s="73"/>
      <c r="F966" s="72"/>
    </row>
    <row r="967" ht="14.25" customHeight="1">
      <c r="A967" s="73"/>
      <c r="B967" s="73"/>
      <c r="C967" s="73"/>
      <c r="D967" s="73"/>
      <c r="E967" s="73"/>
      <c r="F967" s="72"/>
    </row>
    <row r="968" ht="14.25" customHeight="1">
      <c r="A968" s="73"/>
      <c r="B968" s="73"/>
      <c r="C968" s="73"/>
      <c r="D968" s="73"/>
      <c r="E968" s="73"/>
      <c r="F968" s="72"/>
    </row>
    <row r="969" ht="14.25" customHeight="1">
      <c r="A969" s="73"/>
      <c r="B969" s="73"/>
      <c r="C969" s="73"/>
      <c r="D969" s="73"/>
      <c r="E969" s="73"/>
      <c r="F969" s="72"/>
    </row>
    <row r="970" ht="14.25" customHeight="1">
      <c r="A970" s="73"/>
      <c r="B970" s="73"/>
      <c r="C970" s="73"/>
      <c r="D970" s="73"/>
      <c r="E970" s="73"/>
      <c r="F970" s="72"/>
    </row>
    <row r="971" ht="14.25" customHeight="1">
      <c r="A971" s="73"/>
      <c r="B971" s="73"/>
      <c r="C971" s="73"/>
      <c r="D971" s="73"/>
      <c r="E971" s="73"/>
      <c r="F971" s="72"/>
    </row>
    <row r="972" ht="14.25" customHeight="1">
      <c r="A972" s="73"/>
      <c r="B972" s="73"/>
      <c r="C972" s="73"/>
      <c r="D972" s="73"/>
      <c r="E972" s="73"/>
      <c r="F972" s="72"/>
    </row>
    <row r="973" ht="14.25" customHeight="1">
      <c r="A973" s="73"/>
      <c r="B973" s="73"/>
      <c r="C973" s="73"/>
      <c r="D973" s="73"/>
      <c r="E973" s="73"/>
      <c r="F973" s="72"/>
    </row>
    <row r="974" ht="14.25" customHeight="1">
      <c r="A974" s="73"/>
      <c r="B974" s="73"/>
      <c r="C974" s="73"/>
      <c r="D974" s="73"/>
      <c r="E974" s="73"/>
      <c r="F974" s="72"/>
    </row>
    <row r="975" ht="14.25" customHeight="1">
      <c r="A975" s="73"/>
      <c r="B975" s="73"/>
      <c r="C975" s="73"/>
      <c r="D975" s="73"/>
      <c r="E975" s="73"/>
      <c r="F975" s="72"/>
    </row>
    <row r="976" ht="14.25" customHeight="1">
      <c r="A976" s="73"/>
      <c r="B976" s="73"/>
      <c r="C976" s="73"/>
      <c r="D976" s="73"/>
      <c r="E976" s="73"/>
      <c r="F976" s="72"/>
    </row>
    <row r="977" ht="14.25" customHeight="1">
      <c r="A977" s="73"/>
      <c r="B977" s="73"/>
      <c r="C977" s="73"/>
      <c r="D977" s="73"/>
      <c r="E977" s="73"/>
      <c r="F977" s="72"/>
    </row>
    <row r="978" ht="14.25" customHeight="1">
      <c r="A978" s="73"/>
      <c r="B978" s="73"/>
      <c r="C978" s="73"/>
      <c r="D978" s="73"/>
      <c r="E978" s="73"/>
      <c r="F978" s="72"/>
    </row>
    <row r="979" ht="14.25" customHeight="1">
      <c r="A979" s="73"/>
      <c r="B979" s="73"/>
      <c r="C979" s="73"/>
      <c r="D979" s="73"/>
      <c r="E979" s="73"/>
      <c r="F979" s="72"/>
    </row>
    <row r="980" ht="14.25" customHeight="1">
      <c r="A980" s="73"/>
      <c r="B980" s="73"/>
      <c r="C980" s="73"/>
      <c r="D980" s="73"/>
      <c r="E980" s="73"/>
      <c r="F980" s="72"/>
    </row>
    <row r="981" ht="14.25" customHeight="1">
      <c r="A981" s="73"/>
      <c r="B981" s="73"/>
      <c r="C981" s="73"/>
      <c r="D981" s="73"/>
      <c r="E981" s="73"/>
      <c r="F981" s="72"/>
    </row>
    <row r="982" ht="14.25" customHeight="1">
      <c r="A982" s="73"/>
      <c r="B982" s="73"/>
      <c r="C982" s="73"/>
      <c r="D982" s="73"/>
      <c r="E982" s="73"/>
      <c r="F982" s="72"/>
    </row>
    <row r="983" ht="14.25" customHeight="1">
      <c r="A983" s="73"/>
      <c r="B983" s="73"/>
      <c r="C983" s="73"/>
      <c r="D983" s="73"/>
      <c r="E983" s="73"/>
      <c r="F983" s="72"/>
    </row>
    <row r="984" ht="14.25" customHeight="1">
      <c r="A984" s="73"/>
      <c r="B984" s="73"/>
      <c r="C984" s="73"/>
      <c r="D984" s="73"/>
      <c r="E984" s="73"/>
      <c r="F984" s="72"/>
    </row>
    <row r="985" ht="14.25" customHeight="1">
      <c r="A985" s="73"/>
      <c r="B985" s="73"/>
      <c r="C985" s="73"/>
      <c r="D985" s="73"/>
      <c r="E985" s="73"/>
      <c r="F985" s="72"/>
    </row>
    <row r="986" ht="14.25" customHeight="1">
      <c r="A986" s="73"/>
      <c r="B986" s="73"/>
      <c r="C986" s="73"/>
      <c r="D986" s="73"/>
      <c r="E986" s="73"/>
      <c r="F986" s="72"/>
    </row>
    <row r="987" ht="14.25" customHeight="1">
      <c r="A987" s="73"/>
      <c r="B987" s="73"/>
      <c r="C987" s="73"/>
      <c r="D987" s="73"/>
      <c r="E987" s="73"/>
      <c r="F987" s="72"/>
    </row>
    <row r="988" ht="14.25" customHeight="1">
      <c r="A988" s="73"/>
      <c r="B988" s="73"/>
      <c r="C988" s="73"/>
      <c r="D988" s="73"/>
      <c r="E988" s="73"/>
      <c r="F988" s="72"/>
    </row>
    <row r="989" ht="14.25" customHeight="1">
      <c r="A989" s="73"/>
      <c r="B989" s="73"/>
      <c r="C989" s="73"/>
      <c r="D989" s="73"/>
      <c r="E989" s="73"/>
      <c r="F989" s="72"/>
    </row>
    <row r="990" ht="14.25" customHeight="1">
      <c r="A990" s="73"/>
      <c r="B990" s="73"/>
      <c r="C990" s="73"/>
      <c r="D990" s="73"/>
      <c r="E990" s="73"/>
      <c r="F990" s="72"/>
    </row>
    <row r="991" ht="14.25" customHeight="1">
      <c r="A991" s="73"/>
      <c r="B991" s="73"/>
      <c r="C991" s="73"/>
      <c r="D991" s="73"/>
      <c r="E991" s="73"/>
      <c r="F991" s="72"/>
    </row>
    <row r="992" ht="14.25" customHeight="1">
      <c r="A992" s="73"/>
      <c r="B992" s="73"/>
      <c r="C992" s="73"/>
      <c r="D992" s="73"/>
      <c r="E992" s="73"/>
      <c r="F992" s="72"/>
    </row>
    <row r="993" ht="14.25" customHeight="1">
      <c r="A993" s="73"/>
      <c r="B993" s="73"/>
      <c r="C993" s="73"/>
      <c r="D993" s="73"/>
      <c r="E993" s="73"/>
      <c r="F993" s="72"/>
    </row>
    <row r="994" ht="14.25" customHeight="1">
      <c r="A994" s="73"/>
      <c r="B994" s="73"/>
      <c r="C994" s="73"/>
      <c r="D994" s="73"/>
      <c r="E994" s="73"/>
      <c r="F994" s="72"/>
    </row>
    <row r="995" ht="14.25" customHeight="1">
      <c r="A995" s="73"/>
      <c r="B995" s="73"/>
      <c r="C995" s="73"/>
      <c r="D995" s="73"/>
      <c r="E995" s="73"/>
      <c r="F995" s="72"/>
    </row>
    <row r="996" ht="14.25" customHeight="1">
      <c r="A996" s="73"/>
      <c r="B996" s="73"/>
      <c r="C996" s="73"/>
      <c r="D996" s="73"/>
      <c r="E996" s="73"/>
      <c r="F996" s="72"/>
    </row>
    <row r="997" ht="14.25" customHeight="1">
      <c r="A997" s="73"/>
      <c r="B997" s="73"/>
      <c r="C997" s="73"/>
      <c r="D997" s="73"/>
      <c r="E997" s="73"/>
      <c r="F997" s="72"/>
    </row>
    <row r="998" ht="14.25" customHeight="1">
      <c r="A998" s="73"/>
      <c r="B998" s="73"/>
      <c r="C998" s="73"/>
      <c r="D998" s="73"/>
      <c r="E998" s="73"/>
      <c r="F998" s="72"/>
    </row>
    <row r="999" ht="14.25" customHeight="1">
      <c r="A999" s="73"/>
      <c r="B999" s="73"/>
      <c r="C999" s="73"/>
      <c r="D999" s="73"/>
      <c r="E999" s="73"/>
      <c r="F999" s="72"/>
    </row>
    <row r="1000" ht="14.25" customHeight="1">
      <c r="A1000" s="73"/>
      <c r="B1000" s="73"/>
      <c r="C1000" s="73"/>
      <c r="D1000" s="73"/>
      <c r="E1000" s="73"/>
      <c r="F1000" s="72"/>
    </row>
  </sheetData>
  <mergeCells count="165">
    <mergeCell ref="P2:R2"/>
    <mergeCell ref="S2:U2"/>
    <mergeCell ref="V2:X2"/>
    <mergeCell ref="Y2:AA2"/>
    <mergeCell ref="AB2:AB3"/>
    <mergeCell ref="AC2:AC3"/>
    <mergeCell ref="AF6:AI6"/>
    <mergeCell ref="AG13:AH13"/>
    <mergeCell ref="AG14:AH14"/>
    <mergeCell ref="A1:AC1"/>
    <mergeCell ref="A2:B3"/>
    <mergeCell ref="C2:C3"/>
    <mergeCell ref="D2:D3"/>
    <mergeCell ref="E2:E3"/>
    <mergeCell ref="F2:F3"/>
    <mergeCell ref="G2:I2"/>
    <mergeCell ref="J2:L2"/>
    <mergeCell ref="M2:O2"/>
    <mergeCell ref="B4:B5"/>
    <mergeCell ref="C4:C5"/>
    <mergeCell ref="B6:B7"/>
    <mergeCell ref="C6:C7"/>
    <mergeCell ref="B13:B14"/>
    <mergeCell ref="A42:E42"/>
    <mergeCell ref="A45:AC45"/>
    <mergeCell ref="B16:B17"/>
    <mergeCell ref="B20:B23"/>
    <mergeCell ref="C20:C23"/>
    <mergeCell ref="C27:C28"/>
    <mergeCell ref="B30:B32"/>
    <mergeCell ref="C30:C32"/>
    <mergeCell ref="B33:B34"/>
    <mergeCell ref="M46:O46"/>
    <mergeCell ref="P46:R46"/>
    <mergeCell ref="S46:U46"/>
    <mergeCell ref="V46:X46"/>
    <mergeCell ref="Y46:AA46"/>
    <mergeCell ref="AB46:AB47"/>
    <mergeCell ref="AC46:AC47"/>
    <mergeCell ref="AF49:AI49"/>
    <mergeCell ref="A46:B47"/>
    <mergeCell ref="C46:C47"/>
    <mergeCell ref="D46:D47"/>
    <mergeCell ref="E46:E47"/>
    <mergeCell ref="F46:F47"/>
    <mergeCell ref="G46:I46"/>
    <mergeCell ref="J46:L46"/>
    <mergeCell ref="F60:F61"/>
    <mergeCell ref="N60:N61"/>
    <mergeCell ref="V62:AB62"/>
    <mergeCell ref="A50:A51"/>
    <mergeCell ref="B50:B51"/>
    <mergeCell ref="C50:C51"/>
    <mergeCell ref="A55:E55"/>
    <mergeCell ref="A59:O59"/>
    <mergeCell ref="A60:B61"/>
    <mergeCell ref="C60:C61"/>
    <mergeCell ref="O60:O61"/>
    <mergeCell ref="I73:J73"/>
    <mergeCell ref="K73:L73"/>
    <mergeCell ref="D60:D61"/>
    <mergeCell ref="E60:E61"/>
    <mergeCell ref="C62:C68"/>
    <mergeCell ref="A69:E69"/>
    <mergeCell ref="A72:R72"/>
    <mergeCell ref="A73:B74"/>
    <mergeCell ref="C73:D73"/>
    <mergeCell ref="H93:I94"/>
    <mergeCell ref="J93:K94"/>
    <mergeCell ref="M147:M149"/>
    <mergeCell ref="O147:O149"/>
    <mergeCell ref="B145:H145"/>
    <mergeCell ref="J145:P145"/>
    <mergeCell ref="D147:D149"/>
    <mergeCell ref="E147:E149"/>
    <mergeCell ref="G147:G149"/>
    <mergeCell ref="H147:H149"/>
    <mergeCell ref="P147:P149"/>
    <mergeCell ref="G152:G154"/>
    <mergeCell ref="H152:H154"/>
    <mergeCell ref="J155:J156"/>
    <mergeCell ref="L155:L156"/>
    <mergeCell ref="M155:M156"/>
    <mergeCell ref="O155:O156"/>
    <mergeCell ref="P155:P156"/>
    <mergeCell ref="J160:K160"/>
    <mergeCell ref="B147:B149"/>
    <mergeCell ref="B150:B151"/>
    <mergeCell ref="D150:D151"/>
    <mergeCell ref="E150:E151"/>
    <mergeCell ref="G150:G151"/>
    <mergeCell ref="H150:H151"/>
    <mergeCell ref="B152:B154"/>
    <mergeCell ref="B161:C161"/>
    <mergeCell ref="B185:G186"/>
    <mergeCell ref="B187:G187"/>
    <mergeCell ref="D188:D189"/>
    <mergeCell ref="E188:E189"/>
    <mergeCell ref="F188:F189"/>
    <mergeCell ref="G188:G189"/>
    <mergeCell ref="B188:C189"/>
    <mergeCell ref="C190:C191"/>
    <mergeCell ref="D190:D191"/>
    <mergeCell ref="C192:C193"/>
    <mergeCell ref="D192:D193"/>
    <mergeCell ref="C199:C200"/>
    <mergeCell ref="C202:C204"/>
    <mergeCell ref="C207:C210"/>
    <mergeCell ref="D207:D210"/>
    <mergeCell ref="D214:D215"/>
    <mergeCell ref="C217:C219"/>
    <mergeCell ref="D217:D219"/>
    <mergeCell ref="C220:C221"/>
    <mergeCell ref="B228:F228"/>
    <mergeCell ref="C234:C235"/>
    <mergeCell ref="D234:D235"/>
    <mergeCell ref="B229:G229"/>
    <mergeCell ref="B230:C231"/>
    <mergeCell ref="D230:D231"/>
    <mergeCell ref="E230:E231"/>
    <mergeCell ref="F230:F231"/>
    <mergeCell ref="G230:G231"/>
    <mergeCell ref="B234:B235"/>
    <mergeCell ref="B239:F239"/>
    <mergeCell ref="M73:N73"/>
    <mergeCell ref="O73:P73"/>
    <mergeCell ref="R75:R85"/>
    <mergeCell ref="E73:F73"/>
    <mergeCell ref="G73:H73"/>
    <mergeCell ref="A86:B87"/>
    <mergeCell ref="B92:P92"/>
    <mergeCell ref="B93:C94"/>
    <mergeCell ref="D93:E94"/>
    <mergeCell ref="F93:G94"/>
    <mergeCell ref="L93:M94"/>
    <mergeCell ref="N93:O94"/>
    <mergeCell ref="P93:P99"/>
    <mergeCell ref="E96:E98"/>
    <mergeCell ref="B105:F105"/>
    <mergeCell ref="C106:F106"/>
    <mergeCell ref="B107:B108"/>
    <mergeCell ref="K108:M108"/>
    <mergeCell ref="C107:C108"/>
    <mergeCell ref="H108:I108"/>
    <mergeCell ref="B111:E112"/>
    <mergeCell ref="F111:F112"/>
    <mergeCell ref="H111:H112"/>
    <mergeCell ref="I111:I112"/>
    <mergeCell ref="B114:F114"/>
    <mergeCell ref="D115:F115"/>
    <mergeCell ref="D116:E116"/>
    <mergeCell ref="D117:E117"/>
    <mergeCell ref="K117:K118"/>
    <mergeCell ref="C118:F118"/>
    <mergeCell ref="B122:H122"/>
    <mergeCell ref="B141:G141"/>
    <mergeCell ref="J147:J149"/>
    <mergeCell ref="L147:L149"/>
    <mergeCell ref="J151:J153"/>
    <mergeCell ref="L151:L153"/>
    <mergeCell ref="M151:M153"/>
    <mergeCell ref="O151:O153"/>
    <mergeCell ref="P151:P153"/>
    <mergeCell ref="D152:D154"/>
    <mergeCell ref="E152:E154"/>
  </mergeCells>
  <conditionalFormatting sqref="AB4:AB18 AB20:AB41">
    <cfRule type="cellIs" dxfId="0" priority="1" operator="lessThan">
      <formula>-1</formula>
    </cfRule>
  </conditionalFormatting>
  <conditionalFormatting sqref="AB42">
    <cfRule type="cellIs" dxfId="1" priority="2" operator="greaterThan">
      <formula>0</formula>
    </cfRule>
  </conditionalFormatting>
  <conditionalFormatting sqref="AB48:AB54">
    <cfRule type="cellIs" dxfId="0" priority="3" operator="lessThan">
      <formula>0</formula>
    </cfRule>
  </conditionalFormatting>
  <conditionalFormatting sqref="AC4">
    <cfRule type="cellIs" dxfId="0" priority="4" operator="greaterThan">
      <formula>$F$4</formula>
    </cfRule>
  </conditionalFormatting>
  <conditionalFormatting sqref="AC5">
    <cfRule type="cellIs" dxfId="0" priority="5" operator="greaterThan">
      <formula>$F$5</formula>
    </cfRule>
  </conditionalFormatting>
  <conditionalFormatting sqref="AC6">
    <cfRule type="cellIs" dxfId="0" priority="6" operator="greaterThan">
      <formula>$F$6</formula>
    </cfRule>
  </conditionalFormatting>
  <conditionalFormatting sqref="AC7">
    <cfRule type="cellIs" dxfId="0" priority="7" operator="greaterThan">
      <formula>$F$7</formula>
    </cfRule>
  </conditionalFormatting>
  <conditionalFormatting sqref="AC8">
    <cfRule type="cellIs" dxfId="0" priority="8" operator="greaterThan">
      <formula>$F$8</formula>
    </cfRule>
  </conditionalFormatting>
  <conditionalFormatting sqref="AC9">
    <cfRule type="cellIs" dxfId="0" priority="9" operator="greaterThan">
      <formula>$F$9</formula>
    </cfRule>
  </conditionalFormatting>
  <conditionalFormatting sqref="AC10">
    <cfRule type="cellIs" dxfId="0" priority="10" operator="greaterThan">
      <formula>$F$10</formula>
    </cfRule>
  </conditionalFormatting>
  <conditionalFormatting sqref="AC11">
    <cfRule type="cellIs" dxfId="0" priority="11" operator="greaterThan">
      <formula>$F$11</formula>
    </cfRule>
  </conditionalFormatting>
  <conditionalFormatting sqref="AC12">
    <cfRule type="cellIs" dxfId="0" priority="12" operator="greaterThan">
      <formula>$F$12</formula>
    </cfRule>
  </conditionalFormatting>
  <conditionalFormatting sqref="AC13">
    <cfRule type="cellIs" dxfId="0" priority="13" operator="greaterThan">
      <formula>$F$13</formula>
    </cfRule>
  </conditionalFormatting>
  <conditionalFormatting sqref="AC14">
    <cfRule type="cellIs" dxfId="0" priority="14" operator="greaterThan">
      <formula>$F$14</formula>
    </cfRule>
  </conditionalFormatting>
  <conditionalFormatting sqref="AC15">
    <cfRule type="cellIs" dxfId="0" priority="15" operator="greaterThan">
      <formula>$F$15</formula>
    </cfRule>
  </conditionalFormatting>
  <conditionalFormatting sqref="AC16:AC17">
    <cfRule type="cellIs" dxfId="0" priority="16" operator="greaterThan">
      <formula>$F$16</formula>
    </cfRule>
  </conditionalFormatting>
  <conditionalFormatting sqref="AC18">
    <cfRule type="cellIs" dxfId="0" priority="17" operator="greaterThan">
      <formula>$F$18</formula>
    </cfRule>
  </conditionalFormatting>
  <conditionalFormatting sqref="AC19">
    <cfRule type="cellIs" dxfId="0" priority="18" operator="greaterThan">
      <formula>$F$19</formula>
    </cfRule>
  </conditionalFormatting>
  <conditionalFormatting sqref="AC20">
    <cfRule type="cellIs" dxfId="0" priority="19" operator="greaterThan">
      <formula>$F$20</formula>
    </cfRule>
  </conditionalFormatting>
  <conditionalFormatting sqref="AC21">
    <cfRule type="cellIs" dxfId="0" priority="20" operator="greaterThan">
      <formula>$F$21</formula>
    </cfRule>
  </conditionalFormatting>
  <conditionalFormatting sqref="AC24">
    <cfRule type="cellIs" dxfId="0" priority="21" operator="greaterThan">
      <formula>$F$24</formula>
    </cfRule>
  </conditionalFormatting>
  <conditionalFormatting sqref="AC25">
    <cfRule type="cellIs" dxfId="0" priority="22" operator="greaterThan">
      <formula>$F$25</formula>
    </cfRule>
  </conditionalFormatting>
  <conditionalFormatting sqref="AC26">
    <cfRule type="cellIs" dxfId="0" priority="23" operator="greaterThan">
      <formula>$F$26</formula>
    </cfRule>
  </conditionalFormatting>
  <conditionalFormatting sqref="AC27">
    <cfRule type="cellIs" dxfId="0" priority="24" operator="greaterThan">
      <formula>$F$27</formula>
    </cfRule>
  </conditionalFormatting>
  <conditionalFormatting sqref="AC28">
    <cfRule type="cellIs" dxfId="0" priority="25" operator="greaterThan">
      <formula>$F$28</formula>
    </cfRule>
  </conditionalFormatting>
  <conditionalFormatting sqref="AC29">
    <cfRule type="cellIs" dxfId="0" priority="26" operator="greaterThan">
      <formula>$F$29</formula>
    </cfRule>
  </conditionalFormatting>
  <conditionalFormatting sqref="AC30">
    <cfRule type="cellIs" dxfId="0" priority="27" operator="greaterThan">
      <formula>$F$30</formula>
    </cfRule>
  </conditionalFormatting>
  <conditionalFormatting sqref="AC31 AC35 AC39">
    <cfRule type="cellIs" dxfId="0" priority="28" operator="greaterThan">
      <formula>$F$31</formula>
    </cfRule>
  </conditionalFormatting>
  <conditionalFormatting sqref="AC32 AC36 AC40">
    <cfRule type="cellIs" dxfId="0" priority="29" operator="greaterThan">
      <formula>$F$32</formula>
    </cfRule>
  </conditionalFormatting>
  <conditionalFormatting sqref="AC33 AC37 AC41">
    <cfRule type="cellIs" dxfId="0" priority="30" operator="greaterThan">
      <formula>$F$33</formula>
    </cfRule>
  </conditionalFormatting>
  <conditionalFormatting sqref="AC34 AC38">
    <cfRule type="cellIs" dxfId="0" priority="31" operator="greaterThan">
      <formula>$F$34</formula>
    </cfRule>
  </conditionalFormatting>
  <conditionalFormatting sqref="AC42">
    <cfRule type="cellIs" dxfId="1" priority="32" operator="lessThan">
      <formula>46700</formula>
    </cfRule>
  </conditionalFormatting>
  <printOptions/>
  <pageMargins bottom="0.75" footer="0.0" header="0.0" left="0.25" right="0.25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36.88"/>
    <col customWidth="1" min="4" max="4" width="32.38"/>
    <col customWidth="1" min="5" max="5" width="19.75"/>
    <col customWidth="1" min="6" max="6" width="21.5"/>
    <col customWidth="1" min="7" max="7" width="20.0"/>
    <col customWidth="1" min="8" max="9" width="17.0"/>
    <col customWidth="1" min="10" max="10" width="17.25"/>
    <col customWidth="1" min="11" max="11" width="15.25"/>
    <col customWidth="1" min="12" max="12" width="24.38"/>
    <col customWidth="1" min="13" max="13" width="16.75"/>
    <col customWidth="1" min="14" max="14" width="21.63"/>
    <col customWidth="1" min="15" max="15" width="20.88"/>
    <col customWidth="1" min="16" max="16" width="19.0"/>
    <col customWidth="1" min="17" max="17" width="15.63"/>
    <col customWidth="1" min="18" max="18" width="14.88"/>
    <col customWidth="1" min="19" max="19" width="18.5"/>
    <col customWidth="1" min="20" max="20" width="22.25"/>
    <col customWidth="1" min="21" max="21" width="16.5"/>
    <col customWidth="1" min="22" max="22" width="16.63"/>
    <col customWidth="1" min="23" max="23" width="17.25"/>
    <col customWidth="1" min="24" max="27" width="10.63"/>
    <col customWidth="1" min="28" max="28" width="19.13"/>
    <col customWidth="1" min="29" max="29" width="18.63"/>
    <col customWidth="1" min="30" max="30" width="14.63"/>
    <col customWidth="1" min="31" max="31" width="10.63"/>
    <col customWidth="1" min="32" max="32" width="21.38"/>
    <col customWidth="1" min="33" max="33" width="16.5"/>
    <col customWidth="1" min="34" max="34" width="21.0"/>
    <col customWidth="1" min="35" max="35" width="18.25"/>
    <col customWidth="1" min="36" max="36" width="10.63"/>
    <col customWidth="1" min="37" max="37" width="15.63"/>
    <col customWidth="1" min="38" max="39" width="10.63"/>
    <col customWidth="1" min="40" max="42" width="13.88"/>
    <col customWidth="1" min="43" max="44" width="14.38"/>
    <col customWidth="1" min="45" max="46" width="14.75"/>
    <col customWidth="1" min="47" max="48" width="18.38"/>
    <col customWidth="1" min="49" max="49" width="10.63"/>
    <col customWidth="1" min="50" max="50" width="13.38"/>
    <col customWidth="1" min="51" max="53" width="10.63"/>
    <col customWidth="1" min="54" max="54" width="15.5"/>
    <col customWidth="1" min="55" max="55" width="10.63"/>
  </cols>
  <sheetData>
    <row r="1" ht="14.25" customHeight="1">
      <c r="A1" s="1"/>
      <c r="B1" s="2"/>
      <c r="C1" s="2"/>
      <c r="D1" s="2"/>
      <c r="E1" s="2"/>
      <c r="F1" s="3"/>
      <c r="G1" s="344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345"/>
      <c r="AC1" s="345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8">
        <v>46223.0</v>
      </c>
      <c r="H2" s="2"/>
      <c r="I2" s="3"/>
      <c r="J2" s="8">
        <v>46224.0</v>
      </c>
      <c r="K2" s="2"/>
      <c r="L2" s="3"/>
      <c r="M2" s="8">
        <v>46225.0</v>
      </c>
      <c r="N2" s="2"/>
      <c r="O2" s="3"/>
      <c r="P2" s="8">
        <v>46226.0</v>
      </c>
      <c r="Q2" s="2"/>
      <c r="R2" s="3"/>
      <c r="S2" s="8">
        <v>46227.0</v>
      </c>
      <c r="T2" s="2"/>
      <c r="U2" s="3"/>
      <c r="V2" s="8">
        <v>46228.0</v>
      </c>
      <c r="W2" s="2"/>
      <c r="X2" s="3"/>
      <c r="Y2" s="8">
        <v>46229.0</v>
      </c>
      <c r="Z2" s="2"/>
      <c r="AA2" s="3"/>
      <c r="AB2" s="9" t="s">
        <v>7</v>
      </c>
      <c r="AC2" s="7" t="s">
        <v>8</v>
      </c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13" t="s">
        <v>10</v>
      </c>
      <c r="I3" s="13" t="s">
        <v>11</v>
      </c>
      <c r="J3" s="13" t="s">
        <v>9</v>
      </c>
      <c r="K3" s="13" t="s">
        <v>10</v>
      </c>
      <c r="L3" s="13" t="s">
        <v>12</v>
      </c>
      <c r="M3" s="13" t="s">
        <v>9</v>
      </c>
      <c r="N3" s="13" t="s">
        <v>10</v>
      </c>
      <c r="O3" s="13" t="s">
        <v>12</v>
      </c>
      <c r="P3" s="13" t="s">
        <v>9</v>
      </c>
      <c r="Q3" s="13" t="s">
        <v>10</v>
      </c>
      <c r="R3" s="13" t="s">
        <v>12</v>
      </c>
      <c r="S3" s="13" t="s">
        <v>9</v>
      </c>
      <c r="T3" s="13" t="s">
        <v>10</v>
      </c>
      <c r="U3" s="13" t="s">
        <v>11</v>
      </c>
      <c r="V3" s="13" t="s">
        <v>9</v>
      </c>
      <c r="W3" s="13" t="s">
        <v>10</v>
      </c>
      <c r="X3" s="13" t="s">
        <v>11</v>
      </c>
      <c r="Y3" s="13" t="s">
        <v>9</v>
      </c>
      <c r="Z3" s="13" t="s">
        <v>10</v>
      </c>
      <c r="AA3" s="13" t="s">
        <v>11</v>
      </c>
      <c r="AB3" s="12"/>
      <c r="AC3" s="12"/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18"/>
      <c r="H4" s="18"/>
      <c r="I4" s="346"/>
      <c r="J4" s="18"/>
      <c r="K4" s="18"/>
      <c r="L4" s="18"/>
      <c r="M4" s="18"/>
      <c r="N4" s="18"/>
      <c r="O4" s="346"/>
      <c r="P4" s="18"/>
      <c r="Q4" s="18"/>
      <c r="R4" s="346"/>
      <c r="S4" s="18"/>
      <c r="T4" s="18"/>
      <c r="U4" s="346"/>
      <c r="V4" s="18"/>
      <c r="W4" s="18"/>
      <c r="X4" s="18"/>
      <c r="Y4" s="18"/>
      <c r="Z4" s="18"/>
      <c r="AA4" s="18"/>
      <c r="AB4" s="18">
        <f t="shared" ref="AB4:AB43" si="1">F4-(SUM(G4:AA4))</f>
        <v>1200</v>
      </c>
      <c r="AC4" s="18">
        <f t="shared" ref="AC4:AC16" si="2">SUM(G4:X4)</f>
        <v>0</v>
      </c>
      <c r="AD4" s="20"/>
    </row>
    <row r="5" ht="14.25" customHeight="1">
      <c r="A5" s="14">
        <v>2.0</v>
      </c>
      <c r="B5" s="12"/>
      <c r="C5" s="12"/>
      <c r="D5" s="21" t="s">
        <v>17</v>
      </c>
      <c r="E5" s="21"/>
      <c r="F5" s="22">
        <v>500.0</v>
      </c>
      <c r="G5" s="24"/>
      <c r="H5" s="24"/>
      <c r="I5" s="85"/>
      <c r="J5" s="24"/>
      <c r="K5" s="24"/>
      <c r="L5" s="24"/>
      <c r="M5" s="24"/>
      <c r="N5" s="24"/>
      <c r="O5" s="85"/>
      <c r="P5" s="24"/>
      <c r="Q5" s="24"/>
      <c r="R5" s="85"/>
      <c r="S5" s="24"/>
      <c r="T5" s="24"/>
      <c r="U5" s="85"/>
      <c r="V5" s="24"/>
      <c r="W5" s="24"/>
      <c r="X5" s="24"/>
      <c r="Y5" s="24"/>
      <c r="Z5" s="24"/>
      <c r="AA5" s="24"/>
      <c r="AB5" s="18">
        <f t="shared" si="1"/>
        <v>500</v>
      </c>
      <c r="AC5" s="18">
        <f t="shared" si="2"/>
        <v>0</v>
      </c>
      <c r="AD5" s="20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4"/>
      <c r="H6" s="24"/>
      <c r="I6" s="85"/>
      <c r="J6" s="24"/>
      <c r="K6" s="24"/>
      <c r="L6" s="24"/>
      <c r="M6" s="62">
        <v>1984.99</v>
      </c>
      <c r="N6" s="24"/>
      <c r="O6" s="85"/>
      <c r="P6" s="24"/>
      <c r="Q6" s="24"/>
      <c r="R6" s="85"/>
      <c r="S6" s="24"/>
      <c r="T6" s="24"/>
      <c r="U6" s="85"/>
      <c r="V6" s="24"/>
      <c r="W6" s="24"/>
      <c r="X6" s="24"/>
      <c r="Y6" s="24"/>
      <c r="Z6" s="24"/>
      <c r="AA6" s="24"/>
      <c r="AB6" s="18">
        <f t="shared" si="1"/>
        <v>515.01</v>
      </c>
      <c r="AC6" s="18">
        <f t="shared" si="2"/>
        <v>1984.99</v>
      </c>
      <c r="AD6" s="20"/>
      <c r="AF6" s="31" t="s">
        <v>23</v>
      </c>
      <c r="AG6" s="2"/>
      <c r="AH6" s="2"/>
      <c r="AI6" s="3"/>
      <c r="AK6" s="32"/>
    </row>
    <row r="7" ht="14.25" customHeight="1">
      <c r="A7" s="25">
        <v>4.0</v>
      </c>
      <c r="B7" s="12"/>
      <c r="C7" s="12"/>
      <c r="D7" s="27" t="s">
        <v>17</v>
      </c>
      <c r="E7" s="27"/>
      <c r="F7" s="28">
        <v>500.0</v>
      </c>
      <c r="G7" s="24"/>
      <c r="H7" s="24"/>
      <c r="I7" s="85"/>
      <c r="J7" s="24"/>
      <c r="K7" s="24"/>
      <c r="L7" s="24"/>
      <c r="M7" s="24"/>
      <c r="N7" s="24"/>
      <c r="O7" s="85"/>
      <c r="P7" s="24"/>
      <c r="Q7" s="24"/>
      <c r="R7" s="85"/>
      <c r="S7" s="24"/>
      <c r="T7" s="24"/>
      <c r="U7" s="85"/>
      <c r="V7" s="24"/>
      <c r="W7" s="24"/>
      <c r="X7" s="24"/>
      <c r="Y7" s="24"/>
      <c r="Z7" s="24"/>
      <c r="AA7" s="24"/>
      <c r="AB7" s="18">
        <f t="shared" si="1"/>
        <v>500</v>
      </c>
      <c r="AC7" s="18">
        <f t="shared" si="2"/>
        <v>0</v>
      </c>
      <c r="AD7" s="20"/>
      <c r="AF7" s="35" t="s">
        <v>25</v>
      </c>
      <c r="AG7" s="35" t="s">
        <v>26</v>
      </c>
      <c r="AH7" s="35" t="s">
        <v>27</v>
      </c>
      <c r="AI7" s="35" t="s">
        <v>28</v>
      </c>
      <c r="AK7" s="32"/>
    </row>
    <row r="8" ht="14.25" customHeight="1">
      <c r="A8" s="25">
        <v>5.0</v>
      </c>
      <c r="B8" s="27" t="s">
        <v>30</v>
      </c>
      <c r="C8" s="27" t="s">
        <v>19</v>
      </c>
      <c r="D8" s="27" t="s">
        <v>31</v>
      </c>
      <c r="E8" s="27" t="s">
        <v>32</v>
      </c>
      <c r="F8" s="28">
        <v>1500.0</v>
      </c>
      <c r="G8" s="24"/>
      <c r="H8" s="24"/>
      <c r="I8" s="85"/>
      <c r="J8" s="24"/>
      <c r="K8" s="24"/>
      <c r="L8" s="24"/>
      <c r="M8" s="24"/>
      <c r="N8" s="24"/>
      <c r="O8" s="85"/>
      <c r="P8" s="24"/>
      <c r="Q8" s="24"/>
      <c r="R8" s="85"/>
      <c r="S8" s="24"/>
      <c r="T8" s="24"/>
      <c r="U8" s="85"/>
      <c r="V8" s="24"/>
      <c r="W8" s="24"/>
      <c r="X8" s="24"/>
      <c r="Y8" s="24"/>
      <c r="Z8" s="24"/>
      <c r="AA8" s="24"/>
      <c r="AB8" s="18">
        <f t="shared" si="1"/>
        <v>1500</v>
      </c>
      <c r="AC8" s="18">
        <f t="shared" si="2"/>
        <v>0</v>
      </c>
      <c r="AD8" s="20"/>
      <c r="AF8" s="37" t="s">
        <v>9</v>
      </c>
      <c r="AG8" s="38">
        <f t="shared" ref="AG8:AG9" si="3">AI8/AH8</f>
        <v>1498.564875</v>
      </c>
      <c r="AH8" s="39">
        <v>22.89</v>
      </c>
      <c r="AI8" s="40">
        <f>G44+J44+M44+P44+S44+V44</f>
        <v>34302.15</v>
      </c>
    </row>
    <row r="9" ht="14.25" customHeight="1">
      <c r="A9" s="25">
        <v>6.0</v>
      </c>
      <c r="B9" s="27" t="s">
        <v>35</v>
      </c>
      <c r="C9" s="27" t="s">
        <v>19</v>
      </c>
      <c r="D9" s="27" t="s">
        <v>31</v>
      </c>
      <c r="E9" s="27" t="s">
        <v>36</v>
      </c>
      <c r="F9" s="28">
        <v>1500.0</v>
      </c>
      <c r="G9" s="24"/>
      <c r="H9" s="24"/>
      <c r="I9" s="85"/>
      <c r="J9" s="347">
        <v>1158.12</v>
      </c>
      <c r="K9" s="24"/>
      <c r="L9" s="24"/>
      <c r="M9" s="24"/>
      <c r="N9" s="24"/>
      <c r="O9" s="85"/>
      <c r="P9" s="348">
        <v>350.0</v>
      </c>
      <c r="Q9" s="24"/>
      <c r="R9" s="85"/>
      <c r="S9" s="348">
        <v>500.0</v>
      </c>
      <c r="T9" s="24"/>
      <c r="U9" s="85"/>
      <c r="V9" s="24"/>
      <c r="W9" s="24"/>
      <c r="X9" s="24"/>
      <c r="Y9" s="24"/>
      <c r="Z9" s="24"/>
      <c r="AA9" s="24"/>
      <c r="AB9" s="18">
        <f t="shared" si="1"/>
        <v>-508.12</v>
      </c>
      <c r="AC9" s="18">
        <f t="shared" si="2"/>
        <v>2008.12</v>
      </c>
      <c r="AD9" s="20"/>
      <c r="AF9" s="37" t="s">
        <v>10</v>
      </c>
      <c r="AG9" s="38">
        <f t="shared" si="3"/>
        <v>524.2463958</v>
      </c>
      <c r="AH9" s="39">
        <v>22.89</v>
      </c>
      <c r="AI9" s="43">
        <f>H44+K44+N44+Q44+T44+W44+Z44</f>
        <v>12000</v>
      </c>
    </row>
    <row r="10" ht="14.25" customHeight="1">
      <c r="A10" s="25">
        <v>7.0</v>
      </c>
      <c r="B10" s="27" t="s">
        <v>39</v>
      </c>
      <c r="C10" s="27" t="s">
        <v>19</v>
      </c>
      <c r="D10" s="27"/>
      <c r="E10" s="27">
        <v>9391.0</v>
      </c>
      <c r="F10" s="28">
        <v>1500.0</v>
      </c>
      <c r="G10" s="24"/>
      <c r="H10" s="24"/>
      <c r="I10" s="85"/>
      <c r="J10" s="348">
        <v>1500.0</v>
      </c>
      <c r="K10" s="24"/>
      <c r="L10" s="24"/>
      <c r="M10" s="24"/>
      <c r="N10" s="24"/>
      <c r="O10" s="85"/>
      <c r="P10" s="24"/>
      <c r="Q10" s="24"/>
      <c r="R10" s="85"/>
      <c r="S10" s="24"/>
      <c r="T10" s="24"/>
      <c r="U10" s="85"/>
      <c r="V10" s="24"/>
      <c r="W10" s="24"/>
      <c r="X10" s="24"/>
      <c r="Y10" s="24"/>
      <c r="Z10" s="24"/>
      <c r="AA10" s="24"/>
      <c r="AB10" s="18">
        <f t="shared" si="1"/>
        <v>0</v>
      </c>
      <c r="AC10" s="18">
        <f t="shared" si="2"/>
        <v>1500</v>
      </c>
      <c r="AD10" s="20"/>
      <c r="AF10" s="37" t="s">
        <v>11</v>
      </c>
      <c r="AG10" s="39"/>
      <c r="AH10" s="39"/>
      <c r="AI10" s="40">
        <f>R44+U44+O44</f>
        <v>0</v>
      </c>
    </row>
    <row r="11" ht="14.25" customHeight="1">
      <c r="A11" s="14">
        <v>8.0</v>
      </c>
      <c r="B11" s="21" t="s">
        <v>41</v>
      </c>
      <c r="C11" s="21" t="s">
        <v>42</v>
      </c>
      <c r="D11" s="21" t="s">
        <v>43</v>
      </c>
      <c r="E11" s="21" t="s">
        <v>44</v>
      </c>
      <c r="F11" s="22">
        <v>700.0</v>
      </c>
      <c r="G11" s="24"/>
      <c r="H11" s="24"/>
      <c r="I11" s="85"/>
      <c r="J11" s="24"/>
      <c r="K11" s="24"/>
      <c r="L11" s="24"/>
      <c r="M11" s="24"/>
      <c r="N11" s="24"/>
      <c r="O11" s="85"/>
      <c r="P11" s="24"/>
      <c r="Q11" s="24"/>
      <c r="R11" s="85"/>
      <c r="S11" s="24"/>
      <c r="T11" s="24"/>
      <c r="U11" s="85"/>
      <c r="V11" s="24"/>
      <c r="W11" s="24"/>
      <c r="X11" s="24"/>
      <c r="Y11" s="24"/>
      <c r="Z11" s="24"/>
      <c r="AA11" s="24"/>
      <c r="AB11" s="18">
        <f t="shared" si="1"/>
        <v>700</v>
      </c>
      <c r="AC11" s="18">
        <f t="shared" si="2"/>
        <v>0</v>
      </c>
      <c r="AD11" s="20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</row>
    <row r="12" ht="14.25" customHeight="1">
      <c r="A12" s="14">
        <v>9.0</v>
      </c>
      <c r="B12" s="21" t="s">
        <v>45</v>
      </c>
      <c r="C12" s="21" t="s">
        <v>46</v>
      </c>
      <c r="D12" s="21" t="s">
        <v>47</v>
      </c>
      <c r="E12" s="21" t="s">
        <v>48</v>
      </c>
      <c r="F12" s="22">
        <v>1500.0</v>
      </c>
      <c r="G12" s="24"/>
      <c r="H12" s="24"/>
      <c r="I12" s="85"/>
      <c r="J12" s="24"/>
      <c r="K12" s="24"/>
      <c r="L12" s="24"/>
      <c r="M12" s="24"/>
      <c r="N12" s="24"/>
      <c r="O12" s="85"/>
      <c r="P12" s="24"/>
      <c r="Q12" s="24"/>
      <c r="R12" s="85"/>
      <c r="S12" s="24"/>
      <c r="T12" s="24"/>
      <c r="U12" s="85"/>
      <c r="V12" s="24"/>
      <c r="W12" s="24"/>
      <c r="X12" s="24"/>
      <c r="Y12" s="24"/>
      <c r="Z12" s="24"/>
      <c r="AA12" s="24"/>
      <c r="AB12" s="18">
        <f t="shared" si="1"/>
        <v>1500</v>
      </c>
      <c r="AC12" s="18">
        <f t="shared" si="2"/>
        <v>0</v>
      </c>
      <c r="AD12" s="20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</row>
    <row r="13" ht="14.25" customHeight="1">
      <c r="A13" s="25">
        <v>10.0</v>
      </c>
      <c r="B13" s="26" t="s">
        <v>50</v>
      </c>
      <c r="C13" s="27" t="s">
        <v>51</v>
      </c>
      <c r="D13" s="27" t="s">
        <v>52</v>
      </c>
      <c r="E13" s="27" t="s">
        <v>53</v>
      </c>
      <c r="F13" s="28">
        <v>1500.0</v>
      </c>
      <c r="G13" s="58">
        <v>1500.0</v>
      </c>
      <c r="H13" s="24"/>
      <c r="I13" s="85"/>
      <c r="J13" s="24"/>
      <c r="K13" s="24"/>
      <c r="L13" s="24"/>
      <c r="M13" s="24"/>
      <c r="N13" s="24"/>
      <c r="O13" s="85"/>
      <c r="P13" s="24"/>
      <c r="Q13" s="24"/>
      <c r="R13" s="85"/>
      <c r="S13" s="24"/>
      <c r="T13" s="24"/>
      <c r="U13" s="85"/>
      <c r="V13" s="348">
        <v>922.74</v>
      </c>
      <c r="W13" s="24"/>
      <c r="X13" s="24"/>
      <c r="Y13" s="24"/>
      <c r="Z13" s="24"/>
      <c r="AA13" s="24"/>
      <c r="AB13" s="18">
        <f t="shared" si="1"/>
        <v>-922.74</v>
      </c>
      <c r="AC13" s="18">
        <f t="shared" si="2"/>
        <v>2422.74</v>
      </c>
      <c r="AD13" s="20"/>
      <c r="AG13" s="45"/>
      <c r="AI13" s="46"/>
      <c r="AJ13" s="46"/>
      <c r="AK13" s="46"/>
    </row>
    <row r="14" ht="14.25" customHeight="1">
      <c r="A14" s="25">
        <v>11.0</v>
      </c>
      <c r="B14" s="12"/>
      <c r="C14" s="27" t="s">
        <v>54</v>
      </c>
      <c r="D14" s="27" t="s">
        <v>17</v>
      </c>
      <c r="E14" s="27"/>
      <c r="F14" s="28">
        <v>500.0</v>
      </c>
      <c r="G14" s="24"/>
      <c r="H14" s="24"/>
      <c r="I14" s="85"/>
      <c r="J14" s="24"/>
      <c r="K14" s="24"/>
      <c r="L14" s="24"/>
      <c r="M14" s="24"/>
      <c r="N14" s="24"/>
      <c r="O14" s="85"/>
      <c r="P14" s="24"/>
      <c r="Q14" s="24"/>
      <c r="R14" s="85"/>
      <c r="S14" s="24"/>
      <c r="T14" s="24"/>
      <c r="U14" s="85"/>
      <c r="V14" s="24"/>
      <c r="W14" s="24"/>
      <c r="X14" s="24"/>
      <c r="Y14" s="24"/>
      <c r="Z14" s="24"/>
      <c r="AA14" s="24"/>
      <c r="AB14" s="18">
        <f t="shared" si="1"/>
        <v>500</v>
      </c>
      <c r="AC14" s="18">
        <f t="shared" si="2"/>
        <v>0</v>
      </c>
      <c r="AD14" s="20"/>
      <c r="AG14" s="48" t="s">
        <v>55</v>
      </c>
      <c r="AH14" s="3"/>
      <c r="AI14" s="50"/>
      <c r="AJ14" s="50"/>
      <c r="AK14" s="46"/>
    </row>
    <row r="15" ht="14.25" customHeight="1">
      <c r="A15" s="25">
        <v>12.0</v>
      </c>
      <c r="B15" s="27" t="s">
        <v>57</v>
      </c>
      <c r="C15" s="27" t="s">
        <v>51</v>
      </c>
      <c r="D15" s="27" t="s">
        <v>58</v>
      </c>
      <c r="E15" s="27" t="s">
        <v>59</v>
      </c>
      <c r="F15" s="28">
        <v>1500.0</v>
      </c>
      <c r="G15" s="24"/>
      <c r="H15" s="348">
        <v>2000.0</v>
      </c>
      <c r="I15" s="85" t="s">
        <v>491</v>
      </c>
      <c r="J15" s="24"/>
      <c r="K15" s="24"/>
      <c r="L15" s="24"/>
      <c r="M15" s="24"/>
      <c r="N15" s="24"/>
      <c r="O15" s="85"/>
      <c r="P15" s="24"/>
      <c r="Q15" s="24"/>
      <c r="R15" s="85"/>
      <c r="S15" s="24"/>
      <c r="T15" s="24"/>
      <c r="U15" s="85"/>
      <c r="V15" s="348">
        <v>1500.0</v>
      </c>
      <c r="W15" s="24"/>
      <c r="X15" s="24"/>
      <c r="Y15" s="24"/>
      <c r="Z15" s="24"/>
      <c r="AA15" s="24"/>
      <c r="AB15" s="18">
        <f t="shared" si="1"/>
        <v>-2000</v>
      </c>
      <c r="AC15" s="18">
        <f t="shared" si="2"/>
        <v>3500</v>
      </c>
      <c r="AD15" s="20"/>
      <c r="AG15" s="52" t="s">
        <v>9</v>
      </c>
      <c r="AH15" s="54">
        <f t="shared" ref="AH15:AH16" si="4">AI8+AI53</f>
        <v>43989.36</v>
      </c>
      <c r="AI15" s="50">
        <f>V59+S59+P59+M59+J59+G59</f>
        <v>43989.36</v>
      </c>
      <c r="AJ15" s="46"/>
      <c r="AK15" s="50"/>
    </row>
    <row r="16" ht="14.25" customHeight="1">
      <c r="A16" s="14">
        <v>13.0</v>
      </c>
      <c r="B16" s="55" t="s">
        <v>61</v>
      </c>
      <c r="C16" s="21" t="s">
        <v>63</v>
      </c>
      <c r="D16" s="21" t="s">
        <v>65</v>
      </c>
      <c r="E16" s="21" t="s">
        <v>66</v>
      </c>
      <c r="F16" s="22">
        <v>2500.0</v>
      </c>
      <c r="G16" s="347">
        <v>1510.08</v>
      </c>
      <c r="H16" s="24"/>
      <c r="I16" s="85"/>
      <c r="J16" s="24"/>
      <c r="K16" s="24"/>
      <c r="L16" s="24"/>
      <c r="M16" s="62">
        <v>1084.02</v>
      </c>
      <c r="N16" s="24"/>
      <c r="O16" s="85"/>
      <c r="P16" s="24"/>
      <c r="Q16" s="24"/>
      <c r="R16" s="85"/>
      <c r="S16" s="24"/>
      <c r="T16" s="24"/>
      <c r="U16" s="85"/>
      <c r="V16" s="24"/>
      <c r="W16" s="24"/>
      <c r="X16" s="24"/>
      <c r="Y16" s="24"/>
      <c r="Z16" s="24"/>
      <c r="AA16" s="24"/>
      <c r="AB16" s="18">
        <f t="shared" si="1"/>
        <v>-94.1</v>
      </c>
      <c r="AC16" s="18">
        <f t="shared" si="2"/>
        <v>2594.1</v>
      </c>
      <c r="AD16" s="20"/>
      <c r="AG16" s="52" t="s">
        <v>10</v>
      </c>
      <c r="AH16" s="56">
        <f t="shared" si="4"/>
        <v>12000</v>
      </c>
      <c r="AI16" s="46"/>
      <c r="AJ16" s="46"/>
      <c r="AK16" s="46"/>
      <c r="BC16" s="19"/>
    </row>
    <row r="17" ht="14.25" customHeight="1">
      <c r="A17" s="14"/>
      <c r="B17" s="44"/>
      <c r="C17" s="21"/>
      <c r="D17" s="21"/>
      <c r="E17" s="21" t="s">
        <v>481</v>
      </c>
      <c r="F17" s="22">
        <v>1500.0</v>
      </c>
      <c r="G17" s="24"/>
      <c r="H17" s="24"/>
      <c r="I17" s="248"/>
      <c r="J17" s="24"/>
      <c r="K17" s="24"/>
      <c r="L17" s="24"/>
      <c r="M17" s="62">
        <v>860.27</v>
      </c>
      <c r="N17" s="24"/>
      <c r="O17" s="85"/>
      <c r="P17" s="24"/>
      <c r="Q17" s="24"/>
      <c r="R17" s="85"/>
      <c r="S17" s="24"/>
      <c r="T17" s="24"/>
      <c r="U17" s="85"/>
      <c r="V17" s="348">
        <v>500.0</v>
      </c>
      <c r="W17" s="24"/>
      <c r="X17" s="24"/>
      <c r="Y17" s="24"/>
      <c r="Z17" s="24"/>
      <c r="AA17" s="24"/>
      <c r="AB17" s="18">
        <f t="shared" si="1"/>
        <v>139.73</v>
      </c>
      <c r="AC17" s="18"/>
      <c r="AD17" s="20"/>
      <c r="AG17" s="52"/>
      <c r="AH17" s="56"/>
      <c r="AI17" s="46"/>
      <c r="AJ17" s="46"/>
      <c r="AK17" s="46"/>
      <c r="BC17" s="19"/>
    </row>
    <row r="18" ht="14.25" customHeight="1">
      <c r="A18" s="14"/>
      <c r="B18" s="12"/>
      <c r="C18" s="21" t="s">
        <v>63</v>
      </c>
      <c r="D18" s="21" t="s">
        <v>17</v>
      </c>
      <c r="E18" s="21"/>
      <c r="F18" s="22">
        <v>300.0</v>
      </c>
      <c r="G18" s="24"/>
      <c r="H18" s="24"/>
      <c r="I18" s="349"/>
      <c r="J18" s="24"/>
      <c r="K18" s="24"/>
      <c r="L18" s="24"/>
      <c r="M18" s="62">
        <v>300.0</v>
      </c>
      <c r="N18" s="24"/>
      <c r="O18" s="85"/>
      <c r="P18" s="24"/>
      <c r="Q18" s="24"/>
      <c r="R18" s="85"/>
      <c r="S18" s="24"/>
      <c r="T18" s="24"/>
      <c r="U18" s="85"/>
      <c r="V18" s="24"/>
      <c r="W18" s="24"/>
      <c r="X18" s="24"/>
      <c r="Y18" s="24"/>
      <c r="Z18" s="24"/>
      <c r="AA18" s="24"/>
      <c r="AB18" s="18">
        <f t="shared" si="1"/>
        <v>0</v>
      </c>
      <c r="AC18" s="18"/>
      <c r="AD18" s="20"/>
      <c r="AG18" s="52" t="s">
        <v>12</v>
      </c>
      <c r="AH18" s="24">
        <f>AI10+AI55</f>
        <v>0</v>
      </c>
      <c r="BC18" s="19"/>
    </row>
    <row r="19" ht="14.25" customHeight="1">
      <c r="A19" s="14">
        <v>14.0</v>
      </c>
      <c r="B19" s="21" t="s">
        <v>68</v>
      </c>
      <c r="C19" s="21" t="s">
        <v>63</v>
      </c>
      <c r="D19" s="21" t="s">
        <v>69</v>
      </c>
      <c r="E19" s="21" t="s">
        <v>70</v>
      </c>
      <c r="F19" s="22">
        <v>2500.0</v>
      </c>
      <c r="H19" s="24"/>
      <c r="I19" s="350"/>
      <c r="J19" s="24"/>
      <c r="K19" s="24"/>
      <c r="L19" s="24"/>
      <c r="M19" s="24"/>
      <c r="N19" s="24"/>
      <c r="O19" s="85"/>
      <c r="P19" s="24"/>
      <c r="Q19" s="24"/>
      <c r="R19" s="85"/>
      <c r="S19" s="24"/>
      <c r="T19" s="24"/>
      <c r="U19" s="85"/>
      <c r="V19" s="24"/>
      <c r="W19" s="24"/>
      <c r="X19" s="24"/>
      <c r="Y19" s="24"/>
      <c r="Z19" s="24"/>
      <c r="AA19" s="24"/>
      <c r="AB19" s="18">
        <f t="shared" si="1"/>
        <v>2500</v>
      </c>
      <c r="AC19" s="18">
        <f t="shared" ref="AC19:AC20" si="5">SUM(H19:X19)</f>
        <v>0</v>
      </c>
      <c r="AD19" s="20"/>
      <c r="BC19" s="19"/>
    </row>
    <row r="20" ht="14.25" customHeight="1">
      <c r="A20" s="14">
        <v>15.0</v>
      </c>
      <c r="B20" s="21" t="s">
        <v>71</v>
      </c>
      <c r="C20" s="21" t="s">
        <v>63</v>
      </c>
      <c r="D20" s="21" t="s">
        <v>58</v>
      </c>
      <c r="E20" s="21" t="s">
        <v>72</v>
      </c>
      <c r="F20" s="22">
        <v>4000.0</v>
      </c>
      <c r="G20" s="19"/>
      <c r="H20" s="348">
        <v>2500.0</v>
      </c>
      <c r="I20" s="85" t="s">
        <v>492</v>
      </c>
      <c r="J20" s="24"/>
      <c r="K20" s="24"/>
      <c r="L20" s="24"/>
      <c r="M20" s="24"/>
      <c r="N20" s="24"/>
      <c r="O20" s="85"/>
      <c r="P20" s="24"/>
      <c r="Q20" s="348">
        <v>1500.0</v>
      </c>
      <c r="R20" s="85" t="s">
        <v>493</v>
      </c>
      <c r="S20" s="24"/>
      <c r="T20" s="24"/>
      <c r="U20" s="85"/>
      <c r="V20" s="24"/>
      <c r="W20" s="24"/>
      <c r="X20" s="24"/>
      <c r="Y20" s="24"/>
      <c r="Z20" s="24"/>
      <c r="AA20" s="24"/>
      <c r="AB20" s="18">
        <f t="shared" si="1"/>
        <v>0</v>
      </c>
      <c r="AC20" s="18">
        <f t="shared" si="5"/>
        <v>4000</v>
      </c>
      <c r="AD20" s="20"/>
      <c r="BC20" s="19"/>
    </row>
    <row r="21" ht="14.25" customHeight="1">
      <c r="A21" s="25">
        <v>16.0</v>
      </c>
      <c r="B21" s="26" t="s">
        <v>74</v>
      </c>
      <c r="C21" s="26" t="s">
        <v>75</v>
      </c>
      <c r="D21" s="27" t="s">
        <v>65</v>
      </c>
      <c r="E21" s="27" t="s">
        <v>76</v>
      </c>
      <c r="F21" s="28">
        <v>2500.0</v>
      </c>
      <c r="G21" s="347">
        <v>1397.66</v>
      </c>
      <c r="H21" s="24"/>
      <c r="I21" s="85"/>
      <c r="J21" s="24"/>
      <c r="K21" s="24"/>
      <c r="L21" s="24"/>
      <c r="M21" s="24"/>
      <c r="N21" s="24"/>
      <c r="O21" s="85"/>
      <c r="P21" s="348">
        <v>1102.0</v>
      </c>
      <c r="Q21" s="24"/>
      <c r="R21" s="85"/>
      <c r="S21" s="24"/>
      <c r="T21" s="24"/>
      <c r="U21" s="85"/>
      <c r="V21" s="24"/>
      <c r="W21" s="24"/>
      <c r="X21" s="24"/>
      <c r="Y21" s="24"/>
      <c r="Z21" s="24"/>
      <c r="AA21" s="24"/>
      <c r="AB21" s="18">
        <f t="shared" si="1"/>
        <v>0.34</v>
      </c>
      <c r="AC21" s="18">
        <f t="shared" ref="AC21:AC38" si="6">SUM(G21:X21)</f>
        <v>2499.66</v>
      </c>
      <c r="AD21" s="20"/>
    </row>
    <row r="22" ht="14.25" customHeight="1">
      <c r="A22" s="25">
        <v>17.0</v>
      </c>
      <c r="B22" s="44"/>
      <c r="C22" s="44"/>
      <c r="D22" s="27" t="s">
        <v>77</v>
      </c>
      <c r="E22" s="27"/>
      <c r="F22" s="57">
        <v>1000.0</v>
      </c>
      <c r="G22" s="348">
        <v>1000.0</v>
      </c>
      <c r="H22" s="24"/>
      <c r="I22" s="85"/>
      <c r="J22" s="24"/>
      <c r="K22" s="24"/>
      <c r="L22" s="24"/>
      <c r="M22" s="24"/>
      <c r="N22" s="24"/>
      <c r="O22" s="85"/>
      <c r="P22" s="24"/>
      <c r="Q22" s="24"/>
      <c r="R22" s="85"/>
      <c r="S22" s="24"/>
      <c r="T22" s="24"/>
      <c r="U22" s="85"/>
      <c r="V22" s="24"/>
      <c r="W22" s="24"/>
      <c r="X22" s="24"/>
      <c r="Y22" s="24"/>
      <c r="Z22" s="24"/>
      <c r="AA22" s="24"/>
      <c r="AB22" s="18">
        <f t="shared" si="1"/>
        <v>0</v>
      </c>
      <c r="AC22" s="18">
        <f t="shared" si="6"/>
        <v>1000</v>
      </c>
      <c r="AD22" s="20"/>
    </row>
    <row r="23" ht="14.25" customHeight="1">
      <c r="A23" s="25">
        <v>18.0</v>
      </c>
      <c r="B23" s="44"/>
      <c r="C23" s="44"/>
      <c r="D23" s="27" t="s">
        <v>78</v>
      </c>
      <c r="E23" s="27"/>
      <c r="F23" s="57"/>
      <c r="G23" s="24"/>
      <c r="H23" s="24"/>
      <c r="I23" s="85"/>
      <c r="J23" s="24"/>
      <c r="K23" s="24"/>
      <c r="L23" s="24"/>
      <c r="M23" s="24"/>
      <c r="N23" s="24"/>
      <c r="O23" s="85"/>
      <c r="P23" s="24"/>
      <c r="Q23" s="24"/>
      <c r="R23" s="85"/>
      <c r="S23" s="24"/>
      <c r="T23" s="24"/>
      <c r="U23" s="85"/>
      <c r="V23" s="24"/>
      <c r="W23" s="24"/>
      <c r="X23" s="24"/>
      <c r="Y23" s="24"/>
      <c r="Z23" s="24"/>
      <c r="AA23" s="24"/>
      <c r="AB23" s="18">
        <f t="shared" si="1"/>
        <v>0</v>
      </c>
      <c r="AC23" s="18">
        <f t="shared" si="6"/>
        <v>0</v>
      </c>
      <c r="AD23" s="20"/>
      <c r="AG23" s="20">
        <f>G44+J44+M44+P44+S44+V44</f>
        <v>34302.15</v>
      </c>
    </row>
    <row r="24" ht="14.25" customHeight="1">
      <c r="A24" s="25">
        <v>19.0</v>
      </c>
      <c r="B24" s="12"/>
      <c r="C24" s="12"/>
      <c r="D24" s="27" t="s">
        <v>81</v>
      </c>
      <c r="E24" s="27"/>
      <c r="F24" s="57"/>
      <c r="G24" s="24"/>
      <c r="H24" s="24"/>
      <c r="I24" s="85"/>
      <c r="J24" s="24"/>
      <c r="K24" s="24"/>
      <c r="L24" s="24"/>
      <c r="M24" s="24"/>
      <c r="N24" s="24"/>
      <c r="O24" s="85"/>
      <c r="P24" s="24"/>
      <c r="Q24" s="24"/>
      <c r="R24" s="85"/>
      <c r="S24" s="24"/>
      <c r="T24" s="24"/>
      <c r="U24" s="85"/>
      <c r="V24" s="24"/>
      <c r="W24" s="24"/>
      <c r="X24" s="24"/>
      <c r="Y24" s="24"/>
      <c r="Z24" s="24"/>
      <c r="AA24" s="24"/>
      <c r="AB24" s="18">
        <f t="shared" si="1"/>
        <v>0</v>
      </c>
      <c r="AC24" s="18">
        <f t="shared" si="6"/>
        <v>0</v>
      </c>
      <c r="AD24" s="20"/>
    </row>
    <row r="25" ht="14.25" customHeight="1">
      <c r="A25" s="25">
        <v>20.0</v>
      </c>
      <c r="B25" s="27" t="s">
        <v>82</v>
      </c>
      <c r="C25" s="27" t="s">
        <v>75</v>
      </c>
      <c r="D25" s="27" t="s">
        <v>65</v>
      </c>
      <c r="E25" s="27" t="s">
        <v>83</v>
      </c>
      <c r="F25" s="28">
        <v>1500.0</v>
      </c>
      <c r="G25" s="347">
        <v>1487.74</v>
      </c>
      <c r="H25" s="24"/>
      <c r="I25" s="85"/>
      <c r="J25" s="24"/>
      <c r="K25" s="24"/>
      <c r="L25" s="24"/>
      <c r="M25" s="24"/>
      <c r="N25" s="24"/>
      <c r="O25" s="85"/>
      <c r="P25" s="24"/>
      <c r="Q25" s="24"/>
      <c r="R25" s="85"/>
      <c r="S25" s="24"/>
      <c r="T25" s="24"/>
      <c r="U25" s="85"/>
      <c r="V25" s="24"/>
      <c r="W25" s="24"/>
      <c r="X25" s="24"/>
      <c r="Y25" s="24"/>
      <c r="Z25" s="24"/>
      <c r="AA25" s="24"/>
      <c r="AB25" s="18">
        <f t="shared" si="1"/>
        <v>12.26</v>
      </c>
      <c r="AC25" s="18">
        <f t="shared" si="6"/>
        <v>1487.74</v>
      </c>
      <c r="AD25" s="20"/>
    </row>
    <row r="26" ht="14.25" customHeight="1">
      <c r="A26" s="25">
        <v>21.0</v>
      </c>
      <c r="B26" s="27" t="s">
        <v>89</v>
      </c>
      <c r="C26" s="27" t="s">
        <v>75</v>
      </c>
      <c r="D26" s="27" t="s">
        <v>58</v>
      </c>
      <c r="E26" s="27" t="s">
        <v>90</v>
      </c>
      <c r="F26" s="28">
        <v>3000.0</v>
      </c>
      <c r="G26" s="348">
        <v>3000.0</v>
      </c>
      <c r="H26" s="24"/>
      <c r="I26" s="85"/>
      <c r="J26" s="24"/>
      <c r="K26" s="24"/>
      <c r="L26" s="24"/>
      <c r="M26" s="24"/>
      <c r="N26" s="24"/>
      <c r="O26" s="85"/>
      <c r="P26" s="348">
        <v>1000.0</v>
      </c>
      <c r="Q26" s="24"/>
      <c r="R26" s="85"/>
      <c r="S26" s="24"/>
      <c r="T26" s="24"/>
      <c r="U26" s="85"/>
      <c r="V26" s="24"/>
      <c r="W26" s="24"/>
      <c r="X26" s="24"/>
      <c r="Y26" s="24"/>
      <c r="Z26" s="24"/>
      <c r="AA26" s="24"/>
      <c r="AB26" s="18">
        <f t="shared" si="1"/>
        <v>-1000</v>
      </c>
      <c r="AC26" s="18">
        <f t="shared" si="6"/>
        <v>4000</v>
      </c>
      <c r="AD26" s="20"/>
    </row>
    <row r="27" ht="14.25" customHeight="1">
      <c r="A27" s="25">
        <v>22.0</v>
      </c>
      <c r="B27" s="27" t="s">
        <v>93</v>
      </c>
      <c r="C27" s="27" t="s">
        <v>75</v>
      </c>
      <c r="D27" s="27" t="s">
        <v>69</v>
      </c>
      <c r="E27" s="27" t="s">
        <v>94</v>
      </c>
      <c r="F27" s="28">
        <v>2500.0</v>
      </c>
      <c r="G27" s="348">
        <v>1262.22</v>
      </c>
      <c r="H27" s="24"/>
      <c r="I27" s="85"/>
      <c r="J27" s="24"/>
      <c r="K27" s="24"/>
      <c r="L27" s="24"/>
      <c r="M27" s="24"/>
      <c r="N27" s="24"/>
      <c r="O27" s="85"/>
      <c r="P27" s="347">
        <v>847.04</v>
      </c>
      <c r="Q27" s="24"/>
      <c r="R27" s="85"/>
      <c r="S27" s="24"/>
      <c r="T27" s="24"/>
      <c r="U27" s="85"/>
      <c r="V27" s="24"/>
      <c r="W27" s="24"/>
      <c r="Y27" s="24"/>
      <c r="Z27" s="24"/>
      <c r="AA27" s="24"/>
      <c r="AB27" s="18">
        <f t="shared" si="1"/>
        <v>390.74</v>
      </c>
      <c r="AC27" s="18">
        <f t="shared" si="6"/>
        <v>2109.26</v>
      </c>
      <c r="AD27" s="20"/>
    </row>
    <row r="28" ht="14.25" customHeight="1">
      <c r="A28" s="14">
        <v>23.0</v>
      </c>
      <c r="B28" s="21" t="s">
        <v>96</v>
      </c>
      <c r="C28" s="55" t="s">
        <v>98</v>
      </c>
      <c r="D28" s="21" t="s">
        <v>99</v>
      </c>
      <c r="E28" s="21" t="s">
        <v>100</v>
      </c>
      <c r="F28" s="22">
        <v>2500.0</v>
      </c>
      <c r="G28" s="24"/>
      <c r="H28" s="24"/>
      <c r="I28" s="85"/>
      <c r="J28" s="24"/>
      <c r="K28" s="24"/>
      <c r="L28" s="24"/>
      <c r="M28" s="24"/>
      <c r="N28" s="348">
        <v>1000.0</v>
      </c>
      <c r="O28" s="85" t="s">
        <v>494</v>
      </c>
      <c r="P28" s="24"/>
      <c r="Q28" s="24"/>
      <c r="R28" s="85"/>
      <c r="S28" s="24"/>
      <c r="T28" s="348">
        <v>500.0</v>
      </c>
      <c r="U28" s="85" t="s">
        <v>495</v>
      </c>
      <c r="V28" s="24"/>
      <c r="W28" s="24"/>
      <c r="X28" s="24"/>
      <c r="Y28" s="24"/>
      <c r="Z28" s="24"/>
      <c r="AA28" s="24"/>
      <c r="AB28" s="18">
        <f t="shared" si="1"/>
        <v>1000</v>
      </c>
      <c r="AC28" s="18">
        <f t="shared" si="6"/>
        <v>1500</v>
      </c>
      <c r="AD28" s="20"/>
    </row>
    <row r="29" ht="14.25" customHeight="1">
      <c r="A29" s="14">
        <v>24.0</v>
      </c>
      <c r="B29" s="21" t="s">
        <v>102</v>
      </c>
      <c r="C29" s="12"/>
      <c r="D29" s="21" t="s">
        <v>17</v>
      </c>
      <c r="E29" s="21"/>
      <c r="F29" s="22">
        <v>1000.0</v>
      </c>
      <c r="G29" s="24"/>
      <c r="H29" s="24"/>
      <c r="I29" s="85"/>
      <c r="J29" s="24"/>
      <c r="K29" s="24"/>
      <c r="L29" s="24"/>
      <c r="M29" s="24"/>
      <c r="N29" s="24"/>
      <c r="O29" s="85"/>
      <c r="P29" s="24"/>
      <c r="Q29" s="24"/>
      <c r="R29" s="85"/>
      <c r="S29" s="24"/>
      <c r="T29" s="24"/>
      <c r="U29" s="85"/>
      <c r="V29" s="24"/>
      <c r="W29" s="24"/>
      <c r="X29" s="24"/>
      <c r="Y29" s="24"/>
      <c r="Z29" s="24"/>
      <c r="AA29" s="24"/>
      <c r="AB29" s="18">
        <f t="shared" si="1"/>
        <v>1000</v>
      </c>
      <c r="AC29" s="18">
        <f t="shared" si="6"/>
        <v>0</v>
      </c>
      <c r="AD29" s="20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</row>
    <row r="30" ht="14.25" customHeight="1">
      <c r="A30" s="25">
        <v>25.0</v>
      </c>
      <c r="B30" s="27" t="s">
        <v>104</v>
      </c>
      <c r="C30" s="27" t="s">
        <v>105</v>
      </c>
      <c r="D30" s="27" t="s">
        <v>20</v>
      </c>
      <c r="E30" s="27" t="s">
        <v>106</v>
      </c>
      <c r="F30" s="28">
        <v>2500.0</v>
      </c>
      <c r="G30" s="347">
        <v>2109.96</v>
      </c>
      <c r="H30" s="24"/>
      <c r="I30" s="85"/>
      <c r="J30" s="24"/>
      <c r="K30" s="24"/>
      <c r="L30" s="24"/>
      <c r="M30" s="62">
        <v>1924.49</v>
      </c>
      <c r="N30" s="24"/>
      <c r="O30" s="85"/>
      <c r="P30" s="24"/>
      <c r="Q30" s="24"/>
      <c r="R30" s="85"/>
      <c r="S30" s="24"/>
      <c r="T30" s="24"/>
      <c r="U30" s="85"/>
      <c r="V30" s="24"/>
      <c r="W30" s="24"/>
      <c r="X30" s="24"/>
      <c r="Y30" s="24"/>
      <c r="Z30" s="24"/>
      <c r="AA30" s="24"/>
      <c r="AB30" s="18">
        <f t="shared" si="1"/>
        <v>-1534.45</v>
      </c>
      <c r="AC30" s="18">
        <f t="shared" si="6"/>
        <v>4034.45</v>
      </c>
      <c r="AD30" s="20"/>
    </row>
    <row r="31" ht="14.25" customHeight="1">
      <c r="A31" s="25">
        <v>26.0</v>
      </c>
      <c r="B31" s="26" t="s">
        <v>107</v>
      </c>
      <c r="C31" s="26" t="s">
        <v>105</v>
      </c>
      <c r="D31" s="27" t="s">
        <v>109</v>
      </c>
      <c r="E31" s="27" t="s">
        <v>110</v>
      </c>
      <c r="F31" s="28">
        <v>1000.0</v>
      </c>
      <c r="G31" s="348">
        <v>1000.0</v>
      </c>
      <c r="H31" s="24"/>
      <c r="I31" s="85"/>
      <c r="J31" s="24"/>
      <c r="K31" s="24"/>
      <c r="L31" s="24"/>
      <c r="M31" s="24"/>
      <c r="N31" s="24"/>
      <c r="O31" s="85"/>
      <c r="P31" s="24"/>
      <c r="Q31" s="24"/>
      <c r="R31" s="85"/>
      <c r="S31" s="348">
        <v>200.0</v>
      </c>
      <c r="T31" s="24"/>
      <c r="U31" s="85"/>
      <c r="V31" s="20"/>
      <c r="W31" s="24"/>
      <c r="X31" s="24"/>
      <c r="Y31" s="24"/>
      <c r="Z31" s="24"/>
      <c r="AA31" s="24"/>
      <c r="AB31" s="18">
        <f t="shared" si="1"/>
        <v>-200</v>
      </c>
      <c r="AC31" s="18">
        <f t="shared" si="6"/>
        <v>1200</v>
      </c>
      <c r="AD31" s="20"/>
    </row>
    <row r="32" ht="14.25" customHeight="1">
      <c r="A32" s="25">
        <v>27.0</v>
      </c>
      <c r="B32" s="44"/>
      <c r="C32" s="44"/>
      <c r="D32" s="27" t="s">
        <v>111</v>
      </c>
      <c r="E32" s="27"/>
      <c r="F32" s="28">
        <v>500.0</v>
      </c>
      <c r="G32" s="348">
        <v>500.0</v>
      </c>
      <c r="H32" s="24"/>
      <c r="I32" s="85"/>
      <c r="J32" s="24"/>
      <c r="K32" s="24"/>
      <c r="L32" s="24"/>
      <c r="M32" s="24"/>
      <c r="N32" s="24"/>
      <c r="O32" s="85"/>
      <c r="P32" s="24"/>
      <c r="Q32" s="24"/>
      <c r="R32" s="85"/>
      <c r="S32" s="24"/>
      <c r="T32" s="24"/>
      <c r="U32" s="85"/>
      <c r="V32" s="24"/>
      <c r="W32" s="24"/>
      <c r="X32" s="24"/>
      <c r="Y32" s="24"/>
      <c r="Z32" s="24"/>
      <c r="AA32" s="24"/>
      <c r="AB32" s="18">
        <f t="shared" si="1"/>
        <v>0</v>
      </c>
      <c r="AC32" s="18">
        <f t="shared" si="6"/>
        <v>500</v>
      </c>
      <c r="AD32" s="20"/>
    </row>
    <row r="33" ht="14.25" customHeight="1">
      <c r="A33" s="25">
        <v>28.0</v>
      </c>
      <c r="B33" s="12"/>
      <c r="C33" s="12"/>
      <c r="D33" s="27" t="s">
        <v>111</v>
      </c>
      <c r="E33" s="27"/>
      <c r="F33" s="28">
        <v>500.0</v>
      </c>
      <c r="G33" s="24"/>
      <c r="H33" s="24"/>
      <c r="I33" s="85"/>
      <c r="J33" s="24"/>
      <c r="K33" s="24"/>
      <c r="L33" s="24"/>
      <c r="M33" s="24"/>
      <c r="N33" s="24"/>
      <c r="O33" s="85"/>
      <c r="P33" s="24"/>
      <c r="Q33" s="24"/>
      <c r="R33" s="85"/>
      <c r="S33" s="24"/>
      <c r="T33" s="24"/>
      <c r="U33" s="85"/>
      <c r="V33" s="24"/>
      <c r="W33" s="24"/>
      <c r="X33" s="24"/>
      <c r="Y33" s="24"/>
      <c r="Z33" s="24"/>
      <c r="AA33" s="24"/>
      <c r="AB33" s="18">
        <f t="shared" si="1"/>
        <v>500</v>
      </c>
      <c r="AC33" s="18">
        <f t="shared" si="6"/>
        <v>0</v>
      </c>
      <c r="AD33" s="20"/>
    </row>
    <row r="34" ht="14.25" customHeight="1">
      <c r="A34" s="25">
        <v>29.0</v>
      </c>
      <c r="B34" s="26" t="s">
        <v>114</v>
      </c>
      <c r="C34" s="27"/>
      <c r="D34" s="27"/>
      <c r="E34" s="27" t="s">
        <v>115</v>
      </c>
      <c r="F34" s="28">
        <v>800.0</v>
      </c>
      <c r="G34" s="348">
        <v>800.0</v>
      </c>
      <c r="H34" s="24"/>
      <c r="I34" s="85"/>
      <c r="J34" s="24"/>
      <c r="K34" s="24"/>
      <c r="L34" s="24"/>
      <c r="M34" s="24"/>
      <c r="N34" s="24"/>
      <c r="O34" s="85"/>
      <c r="P34" s="24"/>
      <c r="Q34" s="24"/>
      <c r="R34" s="85"/>
      <c r="S34" s="24"/>
      <c r="T34" s="24"/>
      <c r="U34" s="85"/>
      <c r="V34" s="24"/>
      <c r="W34" s="24"/>
      <c r="X34" s="24"/>
      <c r="Y34" s="24"/>
      <c r="Z34" s="24"/>
      <c r="AA34" s="24"/>
      <c r="AB34" s="18">
        <f t="shared" si="1"/>
        <v>0</v>
      </c>
      <c r="AC34" s="18">
        <f t="shared" si="6"/>
        <v>800</v>
      </c>
      <c r="AD34" s="20"/>
    </row>
    <row r="35" ht="14.25" customHeight="1">
      <c r="A35" s="25">
        <v>30.0</v>
      </c>
      <c r="B35" s="12"/>
      <c r="C35" s="27"/>
      <c r="D35" s="27" t="s">
        <v>17</v>
      </c>
      <c r="E35" s="27"/>
      <c r="F35" s="28">
        <v>500.0</v>
      </c>
      <c r="G35" s="24"/>
      <c r="H35" s="24"/>
      <c r="I35" s="85"/>
      <c r="J35" s="24"/>
      <c r="K35" s="24"/>
      <c r="L35" s="24"/>
      <c r="M35" s="24"/>
      <c r="N35" s="24"/>
      <c r="O35" s="85"/>
      <c r="P35" s="24"/>
      <c r="Q35" s="24"/>
      <c r="R35" s="85"/>
      <c r="S35" s="24"/>
      <c r="T35" s="24"/>
      <c r="U35" s="85"/>
      <c r="V35" s="24"/>
      <c r="W35" s="24"/>
      <c r="X35" s="24"/>
      <c r="Y35" s="24"/>
      <c r="Z35" s="24"/>
      <c r="AA35" s="24"/>
      <c r="AB35" s="18">
        <f t="shared" si="1"/>
        <v>500</v>
      </c>
      <c r="AC35" s="18">
        <f t="shared" si="6"/>
        <v>0</v>
      </c>
      <c r="AD35" s="20"/>
    </row>
    <row r="36" ht="14.25" customHeight="1">
      <c r="A36" s="25">
        <v>31.0</v>
      </c>
      <c r="B36" s="82" t="s">
        <v>135</v>
      </c>
      <c r="C36" s="27" t="s">
        <v>136</v>
      </c>
      <c r="D36" s="27"/>
      <c r="E36" s="27" t="s">
        <v>137</v>
      </c>
      <c r="F36" s="28">
        <v>1500.0</v>
      </c>
      <c r="G36" s="24"/>
      <c r="H36" s="24"/>
      <c r="I36" s="85"/>
      <c r="J36" s="347">
        <v>850.82</v>
      </c>
      <c r="K36" s="24"/>
      <c r="L36" s="24"/>
      <c r="M36" s="24"/>
      <c r="N36" s="24"/>
      <c r="O36" s="85"/>
      <c r="P36" s="24"/>
      <c r="Q36" s="24"/>
      <c r="R36" s="85"/>
      <c r="S36" s="24"/>
      <c r="T36" s="24"/>
      <c r="U36" s="85"/>
      <c r="V36" s="348">
        <v>650.0</v>
      </c>
      <c r="W36" s="24"/>
      <c r="X36" s="24"/>
      <c r="Y36" s="24"/>
      <c r="Z36" s="24"/>
      <c r="AA36" s="24"/>
      <c r="AB36" s="18">
        <f t="shared" si="1"/>
        <v>-0.82</v>
      </c>
      <c r="AC36" s="18">
        <f t="shared" si="6"/>
        <v>1500.82</v>
      </c>
      <c r="AD36" s="20"/>
    </row>
    <row r="37" ht="14.25" customHeight="1">
      <c r="A37" s="25">
        <v>32.0</v>
      </c>
      <c r="B37" s="82" t="s">
        <v>142</v>
      </c>
      <c r="C37" s="27" t="s">
        <v>143</v>
      </c>
      <c r="D37" s="27" t="s">
        <v>20</v>
      </c>
      <c r="E37" s="27" t="s">
        <v>144</v>
      </c>
      <c r="F37" s="28">
        <v>1500.0</v>
      </c>
      <c r="G37" s="24"/>
      <c r="H37" s="24"/>
      <c r="I37" s="85"/>
      <c r="J37" s="24"/>
      <c r="K37" s="24"/>
      <c r="L37" s="24"/>
      <c r="M37" s="24"/>
      <c r="N37" s="24"/>
      <c r="O37" s="85"/>
      <c r="P37" s="24"/>
      <c r="Q37" s="24"/>
      <c r="R37" s="85"/>
      <c r="S37" s="24"/>
      <c r="T37" s="24"/>
      <c r="U37" s="85"/>
      <c r="V37" s="24"/>
      <c r="W37" s="24"/>
      <c r="X37" s="24"/>
      <c r="Y37" s="24"/>
      <c r="Z37" s="24"/>
      <c r="AA37" s="24"/>
      <c r="AB37" s="18">
        <f t="shared" si="1"/>
        <v>1500</v>
      </c>
      <c r="AC37" s="18">
        <f t="shared" si="6"/>
        <v>0</v>
      </c>
      <c r="AD37" s="20"/>
    </row>
    <row r="38" ht="14.25" customHeight="1">
      <c r="A38" s="25">
        <v>33.0</v>
      </c>
      <c r="B38" s="82" t="s">
        <v>145</v>
      </c>
      <c r="C38" s="27" t="s">
        <v>146</v>
      </c>
      <c r="D38" s="27" t="s">
        <v>43</v>
      </c>
      <c r="E38" s="27"/>
      <c r="F38" s="28">
        <v>700.0</v>
      </c>
      <c r="G38" s="24"/>
      <c r="H38" s="24"/>
      <c r="I38" s="85"/>
      <c r="J38" s="24"/>
      <c r="K38" s="24"/>
      <c r="L38" s="24"/>
      <c r="M38" s="62">
        <v>700.0</v>
      </c>
      <c r="N38" s="24"/>
      <c r="O38" s="85"/>
      <c r="P38" s="24"/>
      <c r="Q38" s="24"/>
      <c r="R38" s="85"/>
      <c r="S38" s="24"/>
      <c r="T38" s="24"/>
      <c r="U38" s="85"/>
      <c r="V38" s="24"/>
      <c r="W38" s="24"/>
      <c r="X38" s="24"/>
      <c r="Y38" s="24"/>
      <c r="Z38" s="24"/>
      <c r="AA38" s="24"/>
      <c r="AB38" s="18">
        <f t="shared" si="1"/>
        <v>0</v>
      </c>
      <c r="AC38" s="18">
        <f t="shared" si="6"/>
        <v>700</v>
      </c>
      <c r="AD38" s="20"/>
    </row>
    <row r="39" ht="14.25" customHeight="1">
      <c r="A39" s="25">
        <v>34.0</v>
      </c>
      <c r="B39" s="27" t="s">
        <v>118</v>
      </c>
      <c r="C39" s="27"/>
      <c r="D39" s="27" t="s">
        <v>119</v>
      </c>
      <c r="E39" s="27" t="s">
        <v>120</v>
      </c>
      <c r="F39" s="28">
        <v>3000.0</v>
      </c>
      <c r="H39" s="348">
        <v>1200.0</v>
      </c>
      <c r="I39" s="85" t="s">
        <v>496</v>
      </c>
      <c r="J39" s="24"/>
      <c r="K39" s="24"/>
      <c r="L39" s="24"/>
      <c r="M39" s="24"/>
      <c r="N39" s="348">
        <v>800.0</v>
      </c>
      <c r="O39" s="85" t="s">
        <v>497</v>
      </c>
      <c r="P39" s="24"/>
      <c r="Q39" s="348">
        <v>1000.0</v>
      </c>
      <c r="R39" s="53" t="s">
        <v>498</v>
      </c>
      <c r="S39" s="24"/>
      <c r="T39" s="24"/>
      <c r="U39" s="85"/>
      <c r="V39" s="24"/>
      <c r="W39" s="24"/>
      <c r="X39" s="24"/>
      <c r="Y39" s="24"/>
      <c r="Z39" s="24"/>
      <c r="AA39" s="24"/>
      <c r="AB39" s="18">
        <f t="shared" si="1"/>
        <v>0</v>
      </c>
      <c r="AC39" s="18">
        <f>SUM(H39:X39)</f>
        <v>3000</v>
      </c>
      <c r="AD39" s="20"/>
    </row>
    <row r="40" ht="14.25" customHeight="1">
      <c r="A40" s="25"/>
      <c r="B40" s="82" t="s">
        <v>155</v>
      </c>
      <c r="C40" s="27"/>
      <c r="D40" s="27" t="s">
        <v>20</v>
      </c>
      <c r="E40" s="27" t="s">
        <v>156</v>
      </c>
      <c r="F40" s="28">
        <v>1500.0</v>
      </c>
      <c r="G40" s="24"/>
      <c r="H40" s="24"/>
      <c r="I40" s="85"/>
      <c r="J40" s="24"/>
      <c r="K40" s="24"/>
      <c r="L40" s="24"/>
      <c r="M40" s="24"/>
      <c r="N40" s="24"/>
      <c r="O40" s="85"/>
      <c r="P40" s="24"/>
      <c r="Q40" s="24"/>
      <c r="R40" s="85"/>
      <c r="S40" s="24"/>
      <c r="T40" s="24"/>
      <c r="U40" s="85"/>
      <c r="V40" s="24"/>
      <c r="W40" s="24"/>
      <c r="X40" s="24"/>
      <c r="Y40" s="24"/>
      <c r="Z40" s="24"/>
      <c r="AA40" s="24"/>
      <c r="AB40" s="18">
        <f t="shared" si="1"/>
        <v>1500</v>
      </c>
      <c r="AC40" s="18">
        <f t="shared" ref="AC40:AC43" si="7">SUM(G40:X40)</f>
        <v>0</v>
      </c>
      <c r="AD40" s="20"/>
    </row>
    <row r="41" ht="14.25" customHeight="1">
      <c r="A41" s="25"/>
      <c r="B41" s="27"/>
      <c r="C41" s="27"/>
      <c r="D41" s="27" t="s">
        <v>20</v>
      </c>
      <c r="E41" s="27" t="s">
        <v>159</v>
      </c>
      <c r="F41" s="28">
        <v>1500.0</v>
      </c>
      <c r="G41" s="24"/>
      <c r="H41" s="24"/>
      <c r="I41" s="85"/>
      <c r="J41" s="24"/>
      <c r="K41" s="24"/>
      <c r="L41" s="24"/>
      <c r="M41" s="24"/>
      <c r="N41" s="24"/>
      <c r="O41" s="85"/>
      <c r="P41" s="24"/>
      <c r="Q41" s="24"/>
      <c r="R41" s="85"/>
      <c r="S41" s="24"/>
      <c r="T41" s="348">
        <v>1500.0</v>
      </c>
      <c r="U41" s="85" t="s">
        <v>499</v>
      </c>
      <c r="V41" s="24"/>
      <c r="W41" s="24"/>
      <c r="X41" s="24"/>
      <c r="Y41" s="24"/>
      <c r="Z41" s="24"/>
      <c r="AA41" s="24"/>
      <c r="AB41" s="18">
        <f t="shared" si="1"/>
        <v>0</v>
      </c>
      <c r="AC41" s="18">
        <f t="shared" si="7"/>
        <v>1500</v>
      </c>
      <c r="AD41" s="20"/>
    </row>
    <row r="42" ht="14.25" customHeight="1">
      <c r="A42" s="25"/>
      <c r="B42" s="27"/>
      <c r="C42" s="27"/>
      <c r="D42" s="27" t="s">
        <v>20</v>
      </c>
      <c r="E42" s="27" t="s">
        <v>164</v>
      </c>
      <c r="F42" s="28">
        <v>1500.0</v>
      </c>
      <c r="G42" s="24"/>
      <c r="H42" s="24"/>
      <c r="I42" s="85"/>
      <c r="J42" s="24"/>
      <c r="K42" s="24"/>
      <c r="L42" s="24"/>
      <c r="M42" s="24"/>
      <c r="N42" s="24"/>
      <c r="O42" s="85"/>
      <c r="P42" s="24"/>
      <c r="Q42" s="24"/>
      <c r="R42" s="85"/>
      <c r="S42" s="24"/>
      <c r="T42" s="24"/>
      <c r="U42" s="85"/>
      <c r="V42" s="24"/>
      <c r="W42" s="24"/>
      <c r="X42" s="24"/>
      <c r="Y42" s="24"/>
      <c r="Z42" s="24"/>
      <c r="AA42" s="24"/>
      <c r="AB42" s="18">
        <f t="shared" si="1"/>
        <v>1500</v>
      </c>
      <c r="AC42" s="18">
        <f t="shared" si="7"/>
        <v>0</v>
      </c>
      <c r="AD42" s="20"/>
    </row>
    <row r="43" ht="14.25" customHeight="1">
      <c r="A43" s="25"/>
      <c r="B43" s="27" t="s">
        <v>500</v>
      </c>
      <c r="C43" s="27"/>
      <c r="D43" s="27"/>
      <c r="E43" s="27" t="s">
        <v>33</v>
      </c>
      <c r="F43" s="28">
        <v>800.0</v>
      </c>
      <c r="G43" s="24"/>
      <c r="H43" s="24"/>
      <c r="I43" s="85"/>
      <c r="J43" s="24"/>
      <c r="K43" s="24"/>
      <c r="L43" s="24"/>
      <c r="M43" s="62">
        <v>800.0</v>
      </c>
      <c r="N43" s="24"/>
      <c r="O43" s="85"/>
      <c r="P43" s="24"/>
      <c r="Q43" s="24"/>
      <c r="R43" s="85"/>
      <c r="S43" s="24"/>
      <c r="T43" s="24"/>
      <c r="U43" s="85"/>
      <c r="V43" s="24"/>
      <c r="W43" s="24"/>
      <c r="X43" s="24"/>
      <c r="Y43" s="24"/>
      <c r="Z43" s="24"/>
      <c r="AA43" s="24"/>
      <c r="AB43" s="18">
        <f t="shared" si="1"/>
        <v>0</v>
      </c>
      <c r="AC43" s="18">
        <f t="shared" si="7"/>
        <v>800</v>
      </c>
      <c r="AD43" s="20"/>
    </row>
    <row r="44" ht="14.25" customHeight="1">
      <c r="A44" s="68" t="s">
        <v>122</v>
      </c>
      <c r="B44" s="2"/>
      <c r="C44" s="2"/>
      <c r="D44" s="2"/>
      <c r="E44" s="3"/>
      <c r="F44" s="69">
        <f t="shared" ref="F44:AA44" si="8">SUM(F4:F43)</f>
        <v>57500</v>
      </c>
      <c r="G44" s="70">
        <f t="shared" si="8"/>
        <v>15567.66</v>
      </c>
      <c r="H44" s="70">
        <f t="shared" si="8"/>
        <v>5700</v>
      </c>
      <c r="I44" s="70">
        <f t="shared" si="8"/>
        <v>0</v>
      </c>
      <c r="J44" s="70">
        <f t="shared" si="8"/>
        <v>3508.94</v>
      </c>
      <c r="K44" s="70">
        <f t="shared" si="8"/>
        <v>0</v>
      </c>
      <c r="L44" s="70">
        <f t="shared" si="8"/>
        <v>0</v>
      </c>
      <c r="M44" s="70">
        <f t="shared" si="8"/>
        <v>7653.77</v>
      </c>
      <c r="N44" s="70">
        <f t="shared" si="8"/>
        <v>1800</v>
      </c>
      <c r="O44" s="70">
        <f t="shared" si="8"/>
        <v>0</v>
      </c>
      <c r="P44" s="70">
        <f t="shared" si="8"/>
        <v>3299.04</v>
      </c>
      <c r="Q44" s="70">
        <f t="shared" si="8"/>
        <v>2500</v>
      </c>
      <c r="R44" s="70">
        <f t="shared" si="8"/>
        <v>0</v>
      </c>
      <c r="S44" s="70">
        <f t="shared" si="8"/>
        <v>700</v>
      </c>
      <c r="T44" s="70">
        <f t="shared" si="8"/>
        <v>2000</v>
      </c>
      <c r="U44" s="70">
        <f t="shared" si="8"/>
        <v>0</v>
      </c>
      <c r="V44" s="70">
        <f t="shared" si="8"/>
        <v>3572.74</v>
      </c>
      <c r="W44" s="70">
        <f t="shared" si="8"/>
        <v>0</v>
      </c>
      <c r="X44" s="70">
        <f t="shared" si="8"/>
        <v>0</v>
      </c>
      <c r="Y44" s="70">
        <f t="shared" si="8"/>
        <v>0</v>
      </c>
      <c r="Z44" s="70">
        <f t="shared" si="8"/>
        <v>0</v>
      </c>
      <c r="AA44" s="70">
        <f t="shared" si="8"/>
        <v>0</v>
      </c>
      <c r="AB44" s="70">
        <f>SUM(AB4:AB42)</f>
        <v>11197.85</v>
      </c>
      <c r="AC44" s="70">
        <f>SUM(AC4:AC39)</f>
        <v>42341.88</v>
      </c>
    </row>
    <row r="45" ht="14.25" customHeight="1">
      <c r="A45" s="73"/>
      <c r="B45" s="73"/>
      <c r="C45" s="73"/>
      <c r="D45" s="73"/>
      <c r="E45" s="73"/>
      <c r="F45" s="72"/>
      <c r="H45" s="34">
        <v>14.0</v>
      </c>
      <c r="J45" s="34">
        <v>3.0</v>
      </c>
      <c r="M45" s="34">
        <v>9.0</v>
      </c>
      <c r="P45" s="34">
        <v>6.0</v>
      </c>
      <c r="T45" s="34">
        <v>4.0</v>
      </c>
      <c r="V45" s="34">
        <v>4.0</v>
      </c>
      <c r="AB45" s="20">
        <f>F44-AC44</f>
        <v>15158.12</v>
      </c>
      <c r="AC45" s="20">
        <f>G44+H44+J44+K44+M44+N44+O44+P44+Q44+R44+S44+T44+U44+V44+W44</f>
        <v>46302.15</v>
      </c>
    </row>
    <row r="46" ht="14.25" customHeight="1">
      <c r="A46" s="73"/>
      <c r="B46" s="73"/>
      <c r="C46" s="73"/>
      <c r="D46" s="73"/>
      <c r="E46" s="73"/>
      <c r="F46" s="72"/>
    </row>
    <row r="47" ht="14.25" customHeight="1">
      <c r="A47" s="77" t="s">
        <v>177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9"/>
    </row>
    <row r="48" ht="28.5" customHeight="1">
      <c r="A48" s="4" t="s">
        <v>2</v>
      </c>
      <c r="B48" s="5"/>
      <c r="C48" s="6" t="s">
        <v>3</v>
      </c>
      <c r="D48" s="6" t="s">
        <v>4</v>
      </c>
      <c r="E48" s="6" t="s">
        <v>5</v>
      </c>
      <c r="F48" s="7" t="s">
        <v>134</v>
      </c>
      <c r="G48" s="8">
        <f>G2</f>
        <v>46223</v>
      </c>
      <c r="H48" s="2"/>
      <c r="I48" s="3"/>
      <c r="J48" s="8">
        <f>J2</f>
        <v>46224</v>
      </c>
      <c r="K48" s="2"/>
      <c r="L48" s="3"/>
      <c r="M48" s="8">
        <f>M2</f>
        <v>46225</v>
      </c>
      <c r="N48" s="2"/>
      <c r="O48" s="3"/>
      <c r="P48" s="8">
        <f>P2</f>
        <v>46226</v>
      </c>
      <c r="Q48" s="2"/>
      <c r="R48" s="3"/>
      <c r="S48" s="8">
        <f>S2</f>
        <v>46227</v>
      </c>
      <c r="T48" s="2"/>
      <c r="U48" s="3"/>
      <c r="V48" s="8">
        <f>V2</f>
        <v>46228</v>
      </c>
      <c r="W48" s="2"/>
      <c r="X48" s="3"/>
      <c r="Y48" s="8">
        <f>Y2</f>
        <v>46229</v>
      </c>
      <c r="Z48" s="2"/>
      <c r="AA48" s="3"/>
      <c r="AB48" s="9" t="s">
        <v>7</v>
      </c>
      <c r="AC48" s="7" t="s">
        <v>8</v>
      </c>
    </row>
    <row r="49" ht="14.25" customHeight="1">
      <c r="A49" s="10"/>
      <c r="B49" s="11"/>
      <c r="C49" s="12"/>
      <c r="D49" s="12"/>
      <c r="E49" s="12"/>
      <c r="F49" s="12"/>
      <c r="G49" s="13" t="s">
        <v>9</v>
      </c>
      <c r="H49" s="13" t="s">
        <v>10</v>
      </c>
      <c r="I49" s="13" t="s">
        <v>12</v>
      </c>
      <c r="J49" s="13" t="s">
        <v>9</v>
      </c>
      <c r="K49" s="13" t="s">
        <v>10</v>
      </c>
      <c r="L49" s="13" t="s">
        <v>12</v>
      </c>
      <c r="M49" s="13" t="s">
        <v>9</v>
      </c>
      <c r="N49" s="13" t="s">
        <v>10</v>
      </c>
      <c r="O49" s="13" t="s">
        <v>12</v>
      </c>
      <c r="P49" s="13" t="s">
        <v>9</v>
      </c>
      <c r="Q49" s="13" t="s">
        <v>10</v>
      </c>
      <c r="R49" s="13" t="s">
        <v>12</v>
      </c>
      <c r="S49" s="13" t="s">
        <v>9</v>
      </c>
      <c r="T49" s="13" t="s">
        <v>10</v>
      </c>
      <c r="U49" s="13" t="s">
        <v>12</v>
      </c>
      <c r="V49" s="13" t="s">
        <v>9</v>
      </c>
      <c r="W49" s="13" t="s">
        <v>10</v>
      </c>
      <c r="X49" s="13" t="s">
        <v>12</v>
      </c>
      <c r="Y49" s="13" t="s">
        <v>9</v>
      </c>
      <c r="Z49" s="13" t="s">
        <v>10</v>
      </c>
      <c r="AA49" s="13" t="s">
        <v>12</v>
      </c>
      <c r="AB49" s="12"/>
      <c r="AC49" s="12"/>
    </row>
    <row r="50" ht="14.25" customHeight="1">
      <c r="A50" s="25">
        <v>1.0</v>
      </c>
      <c r="B50" s="27" t="s">
        <v>138</v>
      </c>
      <c r="C50" s="27" t="s">
        <v>139</v>
      </c>
      <c r="D50" s="27" t="s">
        <v>140</v>
      </c>
      <c r="E50" s="27" t="s">
        <v>141</v>
      </c>
      <c r="F50" s="28">
        <v>2500.0</v>
      </c>
      <c r="G50" s="348">
        <v>2149.96</v>
      </c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348">
        <v>386.67</v>
      </c>
      <c r="T50" s="24"/>
      <c r="U50" s="24"/>
      <c r="V50" s="24"/>
      <c r="W50" s="24"/>
      <c r="X50" s="23"/>
      <c r="Y50" s="24"/>
      <c r="Z50" s="24"/>
      <c r="AA50" s="24"/>
      <c r="AB50" s="24">
        <f t="shared" ref="AB50:AB57" si="9">F50-(SUM(G50:AA50))</f>
        <v>-36.63</v>
      </c>
      <c r="AC50" s="24">
        <f t="shared" ref="AC50:AC57" si="10">SUM(G50:AA50)</f>
        <v>2536.63</v>
      </c>
    </row>
    <row r="51" ht="14.25" customHeight="1">
      <c r="A51" s="25">
        <v>2.0</v>
      </c>
      <c r="B51" s="27" t="s">
        <v>147</v>
      </c>
      <c r="C51" s="27" t="s">
        <v>139</v>
      </c>
      <c r="D51" s="27" t="s">
        <v>119</v>
      </c>
      <c r="E51" s="27" t="s">
        <v>148</v>
      </c>
      <c r="F51" s="28">
        <v>1500.0</v>
      </c>
      <c r="G51" s="24"/>
      <c r="H51" s="24"/>
      <c r="I51" s="24"/>
      <c r="J51" s="24"/>
      <c r="K51" s="24"/>
      <c r="L51" s="24"/>
      <c r="M51" s="62">
        <v>1500.0</v>
      </c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>
        <f t="shared" si="9"/>
        <v>0</v>
      </c>
      <c r="AC51" s="24">
        <f t="shared" si="10"/>
        <v>1500</v>
      </c>
      <c r="AD51" s="34">
        <v>8.0</v>
      </c>
      <c r="AF51" s="31" t="s">
        <v>22</v>
      </c>
      <c r="AG51" s="2"/>
      <c r="AH51" s="2"/>
      <c r="AI51" s="3"/>
    </row>
    <row r="52" ht="14.25" customHeight="1">
      <c r="A52" s="84">
        <v>3.0</v>
      </c>
      <c r="B52" s="132" t="s">
        <v>157</v>
      </c>
      <c r="C52" s="132" t="s">
        <v>139</v>
      </c>
      <c r="D52" s="27" t="s">
        <v>158</v>
      </c>
      <c r="E52" s="27" t="s">
        <v>16</v>
      </c>
      <c r="F52" s="28">
        <v>2000.0</v>
      </c>
      <c r="G52" s="24"/>
      <c r="H52" s="24"/>
      <c r="I52" s="24"/>
      <c r="J52" s="348">
        <v>1121.34</v>
      </c>
      <c r="K52" s="24"/>
      <c r="L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>
        <f t="shared" si="9"/>
        <v>878.66</v>
      </c>
      <c r="AC52" s="24">
        <f t="shared" si="10"/>
        <v>1121.34</v>
      </c>
      <c r="AF52" s="35" t="s">
        <v>25</v>
      </c>
      <c r="AG52" s="35" t="s">
        <v>26</v>
      </c>
      <c r="AH52" s="35" t="s">
        <v>27</v>
      </c>
      <c r="AI52" s="35" t="s">
        <v>28</v>
      </c>
    </row>
    <row r="53" ht="14.25" customHeight="1">
      <c r="A53" s="12"/>
      <c r="B53" s="132" t="s">
        <v>157</v>
      </c>
      <c r="C53" s="132" t="s">
        <v>139</v>
      </c>
      <c r="D53" s="27" t="s">
        <v>17</v>
      </c>
      <c r="E53" s="27"/>
      <c r="F53" s="28">
        <v>300.0</v>
      </c>
      <c r="G53" s="24"/>
      <c r="H53" s="24"/>
      <c r="I53" s="24"/>
      <c r="J53" s="348">
        <v>228.9</v>
      </c>
      <c r="K53" s="24"/>
      <c r="L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>
        <f t="shared" si="9"/>
        <v>71.1</v>
      </c>
      <c r="AC53" s="24">
        <f t="shared" si="10"/>
        <v>228.9</v>
      </c>
      <c r="AF53" s="37" t="s">
        <v>9</v>
      </c>
      <c r="AG53" s="85"/>
      <c r="AH53" s="85"/>
      <c r="AI53" s="24">
        <f>(G58+J58+M58+P58+S58+V58)</f>
        <v>9687.21</v>
      </c>
    </row>
    <row r="54" ht="14.25" customHeight="1">
      <c r="A54" s="25">
        <v>4.0</v>
      </c>
      <c r="B54" s="27" t="s">
        <v>165</v>
      </c>
      <c r="C54" s="27" t="s">
        <v>166</v>
      </c>
      <c r="D54" s="27" t="s">
        <v>119</v>
      </c>
      <c r="E54" s="27" t="s">
        <v>167</v>
      </c>
      <c r="F54" s="28">
        <v>1500.0</v>
      </c>
      <c r="G54" s="348">
        <v>1500.0</v>
      </c>
      <c r="H54" s="24"/>
      <c r="I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>
        <f t="shared" si="9"/>
        <v>0</v>
      </c>
      <c r="AC54" s="24">
        <f t="shared" si="10"/>
        <v>1500</v>
      </c>
      <c r="AF54" s="37" t="s">
        <v>10</v>
      </c>
      <c r="AG54" s="85"/>
      <c r="AH54" s="85"/>
      <c r="AI54" s="24">
        <f>H58+K58+N58+Q58+T58+W58</f>
        <v>0</v>
      </c>
    </row>
    <row r="55" ht="14.25" customHeight="1">
      <c r="A55" s="25">
        <v>5.0</v>
      </c>
      <c r="B55" s="27" t="s">
        <v>168</v>
      </c>
      <c r="C55" s="27" t="s">
        <v>166</v>
      </c>
      <c r="D55" s="27" t="s">
        <v>119</v>
      </c>
      <c r="E55" s="27" t="s">
        <v>169</v>
      </c>
      <c r="F55" s="28">
        <v>1500.0</v>
      </c>
      <c r="G55" s="351">
        <v>1500.28</v>
      </c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>
        <f t="shared" si="9"/>
        <v>-0.28</v>
      </c>
      <c r="AC55" s="24">
        <f t="shared" si="10"/>
        <v>1500.28</v>
      </c>
      <c r="AF55" s="37" t="s">
        <v>12</v>
      </c>
      <c r="AG55" s="85"/>
      <c r="AH55" s="85"/>
      <c r="AI55" s="85"/>
    </row>
    <row r="56" ht="14.25" customHeight="1">
      <c r="A56" s="25">
        <v>6.0</v>
      </c>
      <c r="B56" s="27" t="s">
        <v>170</v>
      </c>
      <c r="C56" s="27" t="s">
        <v>171</v>
      </c>
      <c r="D56" s="27" t="s">
        <v>158</v>
      </c>
      <c r="E56" s="27" t="s">
        <v>172</v>
      </c>
      <c r="F56" s="28">
        <v>2000.0</v>
      </c>
      <c r="G56" s="24"/>
      <c r="H56" s="24"/>
      <c r="I56" s="24"/>
      <c r="J56" s="348">
        <v>1300.06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>
        <f t="shared" si="9"/>
        <v>699.94</v>
      </c>
      <c r="AC56" s="24">
        <f t="shared" si="10"/>
        <v>1300.06</v>
      </c>
    </row>
    <row r="57" ht="14.25" customHeight="1">
      <c r="A57" s="25"/>
      <c r="B57" s="27" t="s">
        <v>139</v>
      </c>
      <c r="C57" s="27"/>
      <c r="D57" s="27" t="s">
        <v>17</v>
      </c>
      <c r="E57" s="27"/>
      <c r="F57" s="28"/>
      <c r="G57" s="24"/>
      <c r="H57" s="24"/>
      <c r="I57" s="24"/>
      <c r="J57" s="24"/>
      <c r="K57" s="24"/>
      <c r="L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>
        <f t="shared" si="9"/>
        <v>0</v>
      </c>
      <c r="AC57" s="24">
        <f t="shared" si="10"/>
        <v>0</v>
      </c>
    </row>
    <row r="58" ht="14.25" customHeight="1">
      <c r="A58" s="68" t="s">
        <v>122</v>
      </c>
      <c r="B58" s="2"/>
      <c r="C58" s="2"/>
      <c r="D58" s="2"/>
      <c r="E58" s="3"/>
      <c r="F58" s="69">
        <f t="shared" ref="F58:H58" si="11">SUM(F50:F56)</f>
        <v>11300</v>
      </c>
      <c r="G58" s="86">
        <f t="shared" si="11"/>
        <v>5150.24</v>
      </c>
      <c r="H58" s="86">
        <f t="shared" si="11"/>
        <v>0</v>
      </c>
      <c r="I58" s="86"/>
      <c r="J58" s="86">
        <f t="shared" ref="J58:K58" si="12">SUM(J50:J56)</f>
        <v>2650.3</v>
      </c>
      <c r="K58" s="86">
        <f t="shared" si="12"/>
        <v>0</v>
      </c>
      <c r="L58" s="86"/>
      <c r="M58" s="86">
        <f t="shared" ref="M58:N58" si="13">SUM(M50:M56)</f>
        <v>1500</v>
      </c>
      <c r="N58" s="86">
        <f t="shared" si="13"/>
        <v>0</v>
      </c>
      <c r="O58" s="86"/>
      <c r="P58" s="86">
        <f t="shared" ref="P58:T58" si="14">SUM(P50:P56)</f>
        <v>0</v>
      </c>
      <c r="Q58" s="86">
        <f t="shared" si="14"/>
        <v>0</v>
      </c>
      <c r="R58" s="86">
        <f t="shared" si="14"/>
        <v>0</v>
      </c>
      <c r="S58" s="86">
        <f t="shared" si="14"/>
        <v>386.67</v>
      </c>
      <c r="T58" s="86">
        <f t="shared" si="14"/>
        <v>0</v>
      </c>
      <c r="U58" s="86"/>
      <c r="V58" s="86">
        <f t="shared" ref="V58:W58" si="15">SUM(V50:V56)</f>
        <v>0</v>
      </c>
      <c r="W58" s="86">
        <f t="shared" si="15"/>
        <v>0</v>
      </c>
      <c r="X58" s="86"/>
      <c r="Y58" s="86"/>
      <c r="Z58" s="86"/>
      <c r="AA58" s="86"/>
      <c r="AB58" s="70">
        <f t="shared" ref="AB58:AC58" si="16">SUM(AB50:AB56)</f>
        <v>1612.79</v>
      </c>
      <c r="AC58" s="70">
        <f t="shared" si="16"/>
        <v>9687.21</v>
      </c>
    </row>
    <row r="59" ht="14.25" customHeight="1">
      <c r="A59" s="73"/>
      <c r="B59" s="73"/>
      <c r="C59" s="73"/>
      <c r="D59" s="73"/>
      <c r="E59" s="73"/>
      <c r="F59" s="72"/>
      <c r="G59" s="105">
        <f>G58+G44</f>
        <v>20717.9</v>
      </c>
      <c r="J59" s="105">
        <f>J44+J58</f>
        <v>6159.24</v>
      </c>
      <c r="M59" s="105">
        <f>M44+M58</f>
        <v>9153.77</v>
      </c>
      <c r="P59" s="105">
        <f>P44+P58</f>
        <v>3299.04</v>
      </c>
      <c r="S59" s="105">
        <f>S44+S58</f>
        <v>1086.67</v>
      </c>
      <c r="V59" s="105">
        <f>V44+V58</f>
        <v>3572.74</v>
      </c>
    </row>
    <row r="60" ht="14.25" customHeight="1">
      <c r="A60" s="73"/>
      <c r="B60" s="73"/>
      <c r="C60" s="73"/>
      <c r="D60" s="73"/>
      <c r="E60" s="73"/>
      <c r="F60" s="72"/>
    </row>
    <row r="61" ht="14.25" customHeight="1">
      <c r="A61" s="73"/>
      <c r="B61" s="73"/>
      <c r="C61" s="73"/>
      <c r="D61" s="73"/>
      <c r="E61" s="73"/>
      <c r="F61" s="72"/>
    </row>
    <row r="62" ht="14.25" customHeight="1">
      <c r="A62" s="1" t="s">
        <v>211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</row>
    <row r="63" ht="28.5" customHeight="1">
      <c r="A63" s="4" t="s">
        <v>2</v>
      </c>
      <c r="B63" s="5"/>
      <c r="C63" s="6" t="s">
        <v>3</v>
      </c>
      <c r="D63" s="6" t="s">
        <v>4</v>
      </c>
      <c r="E63" s="6" t="s">
        <v>5</v>
      </c>
      <c r="F63" s="7" t="s">
        <v>134</v>
      </c>
      <c r="G63" s="109">
        <v>46216.0</v>
      </c>
      <c r="H63" s="109">
        <v>46217.0</v>
      </c>
      <c r="I63" s="109">
        <v>46218.0</v>
      </c>
      <c r="J63" s="109">
        <v>46219.0</v>
      </c>
      <c r="K63" s="109">
        <v>46220.0</v>
      </c>
      <c r="L63" s="109">
        <v>46221.0</v>
      </c>
      <c r="M63" s="109">
        <v>46222.0</v>
      </c>
      <c r="N63" s="9" t="s">
        <v>7</v>
      </c>
      <c r="O63" s="7" t="s">
        <v>8</v>
      </c>
      <c r="R63" s="111"/>
      <c r="T63" s="111"/>
      <c r="U63" s="111"/>
      <c r="W63" s="111"/>
      <c r="X63" s="111"/>
      <c r="Y63" s="111"/>
      <c r="Z63" s="111"/>
      <c r="AA63" s="111"/>
    </row>
    <row r="64" ht="14.25" customHeight="1">
      <c r="A64" s="10"/>
      <c r="B64" s="11"/>
      <c r="C64" s="12"/>
      <c r="D64" s="12"/>
      <c r="E64" s="12"/>
      <c r="F64" s="12"/>
      <c r="G64" s="13" t="s">
        <v>9</v>
      </c>
      <c r="H64" s="13" t="s">
        <v>9</v>
      </c>
      <c r="I64" s="13" t="s">
        <v>9</v>
      </c>
      <c r="J64" s="13" t="s">
        <v>9</v>
      </c>
      <c r="K64" s="13" t="s">
        <v>9</v>
      </c>
      <c r="L64" s="13" t="s">
        <v>9</v>
      </c>
      <c r="M64" s="13" t="s">
        <v>9</v>
      </c>
      <c r="N64" s="12"/>
      <c r="O64" s="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</row>
    <row r="65" ht="14.25" customHeight="1">
      <c r="A65" s="25">
        <v>1.0</v>
      </c>
      <c r="B65" s="89" t="s">
        <v>178</v>
      </c>
      <c r="C65" s="84" t="s">
        <v>179</v>
      </c>
      <c r="D65" s="27"/>
      <c r="E65" s="90" t="s">
        <v>180</v>
      </c>
      <c r="F65" s="28"/>
      <c r="G65" s="85"/>
      <c r="H65" s="85"/>
      <c r="I65" s="85"/>
      <c r="J65" s="85"/>
      <c r="K65" s="85"/>
      <c r="L65" s="85"/>
      <c r="M65" s="85"/>
      <c r="N65" s="85"/>
      <c r="O65" s="24">
        <f t="shared" ref="O65:O71" si="17">SUM(G65:N65)</f>
        <v>0</v>
      </c>
      <c r="V65" s="113"/>
    </row>
    <row r="66" ht="14.25" customHeight="1">
      <c r="A66" s="25">
        <v>2.0</v>
      </c>
      <c r="B66" s="89" t="s">
        <v>183</v>
      </c>
      <c r="C66" s="44"/>
      <c r="D66" s="27"/>
      <c r="E66" s="90" t="s">
        <v>184</v>
      </c>
      <c r="F66" s="28"/>
      <c r="G66" s="85"/>
      <c r="H66" s="85"/>
      <c r="I66" s="85"/>
      <c r="J66" s="85"/>
      <c r="K66" s="85"/>
      <c r="L66" s="85"/>
      <c r="M66" s="85"/>
      <c r="N66" s="85"/>
      <c r="O66" s="24">
        <f t="shared" si="17"/>
        <v>0</v>
      </c>
      <c r="V66" s="113"/>
      <c r="W66" s="113"/>
      <c r="X66" s="113"/>
      <c r="Y66" s="113"/>
      <c r="Z66" s="113"/>
      <c r="AA66" s="113"/>
      <c r="AB66" s="113"/>
    </row>
    <row r="67" ht="14.25" customHeight="1">
      <c r="A67" s="25">
        <v>3.0</v>
      </c>
      <c r="B67" s="89" t="s">
        <v>185</v>
      </c>
      <c r="C67" s="44"/>
      <c r="D67" s="27"/>
      <c r="E67" s="90" t="s">
        <v>186</v>
      </c>
      <c r="F67" s="28"/>
      <c r="G67" s="85"/>
      <c r="H67" s="85"/>
      <c r="I67" s="85"/>
      <c r="J67" s="85"/>
      <c r="K67" s="85"/>
      <c r="L67" s="85"/>
      <c r="M67" s="85"/>
      <c r="N67" s="85"/>
      <c r="O67" s="24">
        <f t="shared" si="17"/>
        <v>0</v>
      </c>
      <c r="V67" s="73"/>
      <c r="W67" s="73"/>
      <c r="X67" s="73"/>
      <c r="Y67" s="73"/>
      <c r="Z67" s="73"/>
      <c r="AA67" s="73"/>
      <c r="AB67" s="72"/>
    </row>
    <row r="68" ht="14.25" customHeight="1">
      <c r="A68" s="25">
        <v>4.0</v>
      </c>
      <c r="B68" s="89" t="s">
        <v>185</v>
      </c>
      <c r="C68" s="44"/>
      <c r="D68" s="27"/>
      <c r="E68" s="90" t="s">
        <v>186</v>
      </c>
      <c r="F68" s="28"/>
      <c r="G68" s="85"/>
      <c r="H68" s="85"/>
      <c r="I68" s="85"/>
      <c r="J68" s="85"/>
      <c r="K68" s="85"/>
      <c r="L68" s="85"/>
      <c r="M68" s="85"/>
      <c r="N68" s="85"/>
      <c r="O68" s="24">
        <f t="shared" si="17"/>
        <v>0</v>
      </c>
      <c r="V68" s="73"/>
      <c r="W68" s="73"/>
      <c r="X68" s="73"/>
      <c r="Y68" s="73"/>
      <c r="Z68" s="73"/>
      <c r="AA68" s="73"/>
      <c r="AB68" s="73"/>
    </row>
    <row r="69" ht="14.25" customHeight="1">
      <c r="A69" s="25">
        <v>5.0</v>
      </c>
      <c r="B69" s="89" t="s">
        <v>187</v>
      </c>
      <c r="C69" s="44"/>
      <c r="D69" s="27"/>
      <c r="E69" s="90" t="s">
        <v>188</v>
      </c>
      <c r="F69" s="28"/>
      <c r="G69" s="85"/>
      <c r="H69" s="85"/>
      <c r="I69" s="85"/>
      <c r="J69" s="85"/>
      <c r="K69" s="85"/>
      <c r="L69" s="85"/>
      <c r="M69" s="85"/>
      <c r="N69" s="85"/>
      <c r="O69" s="24">
        <f t="shared" si="17"/>
        <v>0</v>
      </c>
      <c r="V69" s="73"/>
      <c r="W69" s="73"/>
      <c r="X69" s="73"/>
      <c r="Y69" s="73"/>
      <c r="Z69" s="73"/>
      <c r="AA69" s="73"/>
      <c r="AB69" s="73"/>
    </row>
    <row r="70" ht="14.25" customHeight="1">
      <c r="A70" s="25">
        <v>6.0</v>
      </c>
      <c r="B70" s="89" t="s">
        <v>189</v>
      </c>
      <c r="C70" s="44"/>
      <c r="D70" s="27"/>
      <c r="E70" s="90" t="s">
        <v>190</v>
      </c>
      <c r="F70" s="28"/>
      <c r="G70" s="85"/>
      <c r="H70" s="24"/>
      <c r="I70" s="85"/>
      <c r="J70" s="85"/>
      <c r="K70" s="85"/>
      <c r="L70" s="85"/>
      <c r="M70" s="85"/>
      <c r="N70" s="85"/>
      <c r="O70" s="24">
        <f t="shared" si="17"/>
        <v>0</v>
      </c>
    </row>
    <row r="71" ht="14.25" customHeight="1">
      <c r="A71" s="25">
        <v>7.0</v>
      </c>
      <c r="B71" s="89" t="s">
        <v>191</v>
      </c>
      <c r="C71" s="12"/>
      <c r="D71" s="27"/>
      <c r="E71" s="90" t="s">
        <v>192</v>
      </c>
      <c r="F71" s="28"/>
      <c r="G71" s="85"/>
      <c r="H71" s="85"/>
      <c r="I71" s="85"/>
      <c r="J71" s="85"/>
      <c r="K71" s="85"/>
      <c r="L71" s="85"/>
      <c r="M71" s="85"/>
      <c r="N71" s="85"/>
      <c r="O71" s="24">
        <f t="shared" si="17"/>
        <v>0</v>
      </c>
    </row>
    <row r="72" ht="14.25" customHeight="1">
      <c r="A72" s="68" t="s">
        <v>122</v>
      </c>
      <c r="B72" s="2"/>
      <c r="C72" s="2"/>
      <c r="D72" s="2"/>
      <c r="E72" s="3"/>
      <c r="F72" s="93"/>
      <c r="G72" s="85">
        <f t="shared" ref="G72:O72" si="18">SUM(G65:G71)</f>
        <v>0</v>
      </c>
      <c r="H72" s="24">
        <f t="shared" si="18"/>
        <v>0</v>
      </c>
      <c r="I72" s="85">
        <f t="shared" si="18"/>
        <v>0</v>
      </c>
      <c r="J72" s="85">
        <f t="shared" si="18"/>
        <v>0</v>
      </c>
      <c r="K72" s="85">
        <f t="shared" si="18"/>
        <v>0</v>
      </c>
      <c r="L72" s="85">
        <f t="shared" si="18"/>
        <v>0</v>
      </c>
      <c r="M72" s="85">
        <f t="shared" si="18"/>
        <v>0</v>
      </c>
      <c r="N72" s="85">
        <f t="shared" si="18"/>
        <v>0</v>
      </c>
      <c r="O72" s="24">
        <f t="shared" si="18"/>
        <v>0</v>
      </c>
    </row>
    <row r="73" ht="14.25" customHeight="1">
      <c r="A73" s="73"/>
      <c r="B73" s="73"/>
      <c r="C73" s="73"/>
      <c r="D73" s="73"/>
      <c r="E73" s="73"/>
      <c r="F73" s="72"/>
    </row>
    <row r="74" ht="14.25" customHeight="1">
      <c r="A74" s="73"/>
      <c r="B74" s="73"/>
      <c r="C74" s="73"/>
      <c r="D74" s="73"/>
      <c r="E74" s="73"/>
      <c r="F74" s="72"/>
    </row>
    <row r="75" ht="14.25" customHeight="1">
      <c r="A75" s="1" t="s">
        <v>502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3"/>
      <c r="S75" s="20"/>
      <c r="U75" s="20"/>
    </row>
    <row r="76" ht="14.25" customHeight="1">
      <c r="A76" s="4" t="s">
        <v>220</v>
      </c>
      <c r="B76" s="5"/>
      <c r="C76" s="8">
        <v>46223.0</v>
      </c>
      <c r="D76" s="3"/>
      <c r="E76" s="8">
        <v>46224.0</v>
      </c>
      <c r="F76" s="3"/>
      <c r="G76" s="8">
        <v>46225.0</v>
      </c>
      <c r="H76" s="3"/>
      <c r="I76" s="8">
        <v>46226.0</v>
      </c>
      <c r="J76" s="3"/>
      <c r="K76" s="8">
        <v>46227.0</v>
      </c>
      <c r="L76" s="3"/>
      <c r="M76" s="8">
        <v>46228.0</v>
      </c>
      <c r="N76" s="3"/>
      <c r="O76" s="8">
        <v>46229.0</v>
      </c>
      <c r="P76" s="3"/>
      <c r="Q76" s="85"/>
      <c r="R76" s="85"/>
      <c r="S76" s="20"/>
      <c r="U76" s="20"/>
    </row>
    <row r="77" ht="14.25" customHeight="1">
      <c r="A77" s="10"/>
      <c r="B77" s="11"/>
      <c r="C77" s="13" t="s">
        <v>26</v>
      </c>
      <c r="D77" s="13" t="s">
        <v>197</v>
      </c>
      <c r="E77" s="13" t="s">
        <v>26</v>
      </c>
      <c r="F77" s="13" t="s">
        <v>197</v>
      </c>
      <c r="G77" s="13" t="s">
        <v>26</v>
      </c>
      <c r="H77" s="13" t="s">
        <v>197</v>
      </c>
      <c r="I77" s="13" t="s">
        <v>26</v>
      </c>
      <c r="J77" s="13" t="s">
        <v>197</v>
      </c>
      <c r="K77" s="13" t="s">
        <v>26</v>
      </c>
      <c r="L77" s="13" t="s">
        <v>197</v>
      </c>
      <c r="M77" s="13" t="s">
        <v>26</v>
      </c>
      <c r="N77" s="13" t="s">
        <v>197</v>
      </c>
      <c r="O77" s="13" t="s">
        <v>26</v>
      </c>
      <c r="P77" s="13" t="s">
        <v>197</v>
      </c>
      <c r="Q77" s="120" t="s">
        <v>224</v>
      </c>
      <c r="R77" s="104">
        <v>27.0</v>
      </c>
      <c r="S77" s="20"/>
      <c r="U77" s="20"/>
    </row>
    <row r="78" ht="14.25" customHeight="1">
      <c r="A78" s="25">
        <v>1.0</v>
      </c>
      <c r="B78" s="37" t="s">
        <v>225</v>
      </c>
      <c r="C78" s="39"/>
      <c r="D78" s="256"/>
      <c r="E78" s="27">
        <v>960.0</v>
      </c>
      <c r="F78" s="27" t="s">
        <v>503</v>
      </c>
      <c r="G78" s="27"/>
      <c r="H78" s="27"/>
      <c r="I78" s="27">
        <v>950.0</v>
      </c>
      <c r="J78" s="27" t="s">
        <v>504</v>
      </c>
      <c r="K78" s="27">
        <v>40.0</v>
      </c>
      <c r="L78" s="27" t="s">
        <v>505</v>
      </c>
      <c r="M78" s="27">
        <v>920.0</v>
      </c>
      <c r="N78" s="27" t="s">
        <v>506</v>
      </c>
      <c r="O78" s="27"/>
      <c r="P78" s="27"/>
      <c r="Q78" s="27">
        <f t="shared" ref="Q78:Q87" si="19">O78+M78+K78+I78+G78+E78+C78</f>
        <v>2870</v>
      </c>
      <c r="R78" s="131"/>
      <c r="S78" s="20"/>
      <c r="U78" s="20"/>
    </row>
    <row r="79" ht="14.25" customHeight="1">
      <c r="A79" s="25">
        <v>2.0</v>
      </c>
      <c r="B79" s="37" t="s">
        <v>235</v>
      </c>
      <c r="C79" s="27">
        <v>545.0</v>
      </c>
      <c r="D79" s="27" t="s">
        <v>507</v>
      </c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>
        <f t="shared" si="19"/>
        <v>545</v>
      </c>
      <c r="R79" s="44"/>
      <c r="S79" s="20"/>
      <c r="U79" s="20"/>
    </row>
    <row r="80" ht="14.25" customHeight="1">
      <c r="A80" s="25">
        <v>3.0</v>
      </c>
      <c r="B80" s="37" t="s">
        <v>241</v>
      </c>
      <c r="C80" s="27">
        <v>800.0</v>
      </c>
      <c r="D80" s="27" t="s">
        <v>508</v>
      </c>
      <c r="E80" s="27"/>
      <c r="F80" s="27"/>
      <c r="G80" s="27">
        <v>800.0</v>
      </c>
      <c r="H80" s="27" t="s">
        <v>509</v>
      </c>
      <c r="I80" s="27"/>
      <c r="J80" s="27"/>
      <c r="K80" s="27"/>
      <c r="L80" s="27"/>
      <c r="M80" s="27"/>
      <c r="N80" s="27"/>
      <c r="O80" s="27"/>
      <c r="P80" s="27"/>
      <c r="Q80" s="27">
        <f t="shared" si="19"/>
        <v>1600</v>
      </c>
      <c r="R80" s="44"/>
      <c r="S80" s="20"/>
      <c r="U80" s="20"/>
    </row>
    <row r="81" ht="14.25" customHeight="1">
      <c r="A81" s="25">
        <v>4.0</v>
      </c>
      <c r="B81" s="37" t="s">
        <v>253</v>
      </c>
      <c r="C81" s="27">
        <v>500.0</v>
      </c>
      <c r="D81" s="27" t="s">
        <v>510</v>
      </c>
      <c r="E81" s="27"/>
      <c r="F81" s="27"/>
      <c r="G81" s="27"/>
      <c r="H81" s="27"/>
      <c r="I81" s="27">
        <v>270.0</v>
      </c>
      <c r="J81" s="27" t="s">
        <v>511</v>
      </c>
      <c r="K81" s="27"/>
      <c r="L81" s="27"/>
      <c r="M81" s="27"/>
      <c r="N81" s="27"/>
      <c r="O81" s="27"/>
      <c r="P81" s="27"/>
      <c r="Q81" s="27">
        <f t="shared" si="19"/>
        <v>770</v>
      </c>
      <c r="R81" s="44"/>
      <c r="S81" s="20"/>
      <c r="U81" s="20"/>
    </row>
    <row r="82" ht="14.25" customHeight="1">
      <c r="A82" s="25">
        <v>5.0</v>
      </c>
      <c r="B82" s="37" t="s">
        <v>257</v>
      </c>
      <c r="C82" s="27">
        <v>455.0</v>
      </c>
      <c r="D82" s="27" t="s">
        <v>512</v>
      </c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>
        <f t="shared" si="19"/>
        <v>455</v>
      </c>
      <c r="R82" s="44"/>
      <c r="S82" s="20"/>
      <c r="U82" s="20"/>
    </row>
    <row r="83" ht="14.25" customHeight="1">
      <c r="A83" s="25">
        <v>6.0</v>
      </c>
      <c r="B83" s="37" t="s">
        <v>264</v>
      </c>
      <c r="C83" s="27"/>
      <c r="D83" s="27"/>
      <c r="E83" s="27">
        <v>400.0</v>
      </c>
      <c r="F83" s="27" t="s">
        <v>513</v>
      </c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>
        <f t="shared" si="19"/>
        <v>400</v>
      </c>
      <c r="R83" s="44"/>
      <c r="S83" s="20"/>
      <c r="U83" s="20"/>
    </row>
    <row r="84" ht="14.25" customHeight="1">
      <c r="A84" s="25">
        <v>7.0</v>
      </c>
      <c r="B84" s="139" t="s">
        <v>273</v>
      </c>
      <c r="C84" s="27">
        <v>450.0</v>
      </c>
      <c r="D84" s="27" t="s">
        <v>514</v>
      </c>
      <c r="E84" s="27"/>
      <c r="F84" s="27"/>
      <c r="G84" s="27">
        <v>300.0</v>
      </c>
      <c r="H84" s="27" t="s">
        <v>515</v>
      </c>
      <c r="I84" s="27">
        <v>400.0</v>
      </c>
      <c r="J84" s="27" t="s">
        <v>516</v>
      </c>
      <c r="K84" s="27">
        <v>800.0</v>
      </c>
      <c r="L84" s="27" t="s">
        <v>517</v>
      </c>
      <c r="M84" s="27"/>
      <c r="N84" s="27"/>
      <c r="O84" s="27"/>
      <c r="P84" s="27"/>
      <c r="Q84" s="27">
        <f t="shared" si="19"/>
        <v>1950</v>
      </c>
      <c r="R84" s="44"/>
      <c r="S84" s="20"/>
      <c r="U84" s="20"/>
    </row>
    <row r="85" ht="14.25" customHeight="1">
      <c r="A85" s="25">
        <v>8.0</v>
      </c>
      <c r="B85" s="139" t="s">
        <v>281</v>
      </c>
      <c r="C85" s="27">
        <v>600.0</v>
      </c>
      <c r="D85" s="27" t="s">
        <v>518</v>
      </c>
      <c r="E85" s="27">
        <v>800.0</v>
      </c>
      <c r="F85" s="27" t="s">
        <v>519</v>
      </c>
      <c r="G85" s="27">
        <v>800.0</v>
      </c>
      <c r="H85" s="27" t="s">
        <v>520</v>
      </c>
      <c r="I85" s="27">
        <v>180.0</v>
      </c>
      <c r="J85" s="27" t="s">
        <v>521</v>
      </c>
      <c r="K85" s="27">
        <v>532.0</v>
      </c>
      <c r="L85" s="27" t="s">
        <v>522</v>
      </c>
      <c r="M85" s="27"/>
      <c r="N85" s="27"/>
      <c r="O85" s="27"/>
      <c r="P85" s="27"/>
      <c r="Q85" s="27">
        <f t="shared" si="19"/>
        <v>2912</v>
      </c>
      <c r="R85" s="44"/>
      <c r="S85" s="20"/>
      <c r="U85" s="20"/>
    </row>
    <row r="86" ht="14.25" customHeight="1">
      <c r="A86" s="25">
        <v>9.0</v>
      </c>
      <c r="B86" s="139" t="s">
        <v>295</v>
      </c>
      <c r="C86" s="73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>
        <f t="shared" si="19"/>
        <v>0</v>
      </c>
      <c r="R86" s="44"/>
      <c r="S86" s="20"/>
      <c r="U86" s="20"/>
    </row>
    <row r="87" ht="14.25" customHeight="1">
      <c r="A87" s="25">
        <v>10.0</v>
      </c>
      <c r="B87" s="139" t="s">
        <v>300</v>
      </c>
      <c r="C87" s="27">
        <v>400.0</v>
      </c>
      <c r="D87" s="27" t="s">
        <v>523</v>
      </c>
      <c r="E87" s="27">
        <v>200.0</v>
      </c>
      <c r="F87" s="27" t="s">
        <v>524</v>
      </c>
      <c r="G87" s="27"/>
      <c r="H87" s="27"/>
      <c r="I87" s="27">
        <v>550.0</v>
      </c>
      <c r="J87" s="27" t="s">
        <v>525</v>
      </c>
      <c r="K87" s="27">
        <v>2040.0</v>
      </c>
      <c r="L87" s="27" t="s">
        <v>526</v>
      </c>
      <c r="M87" s="27"/>
      <c r="N87" s="27"/>
      <c r="O87" s="27"/>
      <c r="P87" s="27"/>
      <c r="Q87" s="27">
        <f t="shared" si="19"/>
        <v>3190</v>
      </c>
      <c r="R87" s="12"/>
      <c r="S87" s="20"/>
      <c r="U87" s="20"/>
    </row>
    <row r="88" ht="14.25" customHeight="1">
      <c r="A88" s="150" t="s">
        <v>122</v>
      </c>
      <c r="B88" s="5"/>
      <c r="C88" s="151">
        <f>SUM(C78:C87)</f>
        <v>3750</v>
      </c>
      <c r="D88" s="151"/>
      <c r="E88" s="151">
        <f>SUM(E78:E87)</f>
        <v>2360</v>
      </c>
      <c r="F88" s="151"/>
      <c r="G88" s="151">
        <f>SUM(G78:G87)</f>
        <v>1900</v>
      </c>
      <c r="H88" s="151"/>
      <c r="I88" s="151">
        <f>SUM(I78:I87)</f>
        <v>2350</v>
      </c>
      <c r="J88" s="151"/>
      <c r="K88" s="151">
        <f>SUM(K78:K87)</f>
        <v>3412</v>
      </c>
      <c r="L88" s="151"/>
      <c r="M88" s="151">
        <f>SUM(M78:M87)</f>
        <v>920</v>
      </c>
      <c r="N88" s="151"/>
      <c r="O88" s="151">
        <f>SUM(O78:O87)</f>
        <v>0</v>
      </c>
      <c r="P88" s="151"/>
      <c r="Q88" s="135">
        <f>SUM(Q78:Q87)</f>
        <v>14692</v>
      </c>
      <c r="R88" s="158">
        <f>Q88*R77</f>
        <v>396684</v>
      </c>
      <c r="S88" s="20"/>
      <c r="U88" s="20"/>
    </row>
    <row r="89" ht="14.25" customHeight="1">
      <c r="A89" s="10"/>
      <c r="B89" s="11"/>
      <c r="C89" s="86">
        <f>C88*27</f>
        <v>101250</v>
      </c>
      <c r="D89" s="41">
        <v>101251.46</v>
      </c>
      <c r="E89" s="86">
        <f>E88*27</f>
        <v>63720</v>
      </c>
      <c r="F89" s="41">
        <v>63725.33</v>
      </c>
      <c r="G89" s="86">
        <f>G88*27</f>
        <v>51300</v>
      </c>
      <c r="H89" s="41">
        <v>51300.3</v>
      </c>
      <c r="I89" s="86">
        <f>I88*27</f>
        <v>63450</v>
      </c>
      <c r="J89" s="41">
        <v>63450.41</v>
      </c>
      <c r="K89" s="86">
        <f>K88*27</f>
        <v>92124</v>
      </c>
      <c r="L89" s="41">
        <v>93744.5</v>
      </c>
      <c r="M89" s="86">
        <f>M88*27</f>
        <v>24840</v>
      </c>
      <c r="N89" s="41">
        <v>24840.1</v>
      </c>
      <c r="O89" s="86">
        <f>O88*27</f>
        <v>0</v>
      </c>
      <c r="P89" s="136"/>
      <c r="Q89" s="24">
        <f>O89+M89+K89+I89+G89+E89+C89</f>
        <v>396684</v>
      </c>
      <c r="R89" s="85"/>
      <c r="S89" s="20"/>
      <c r="U89" s="20"/>
    </row>
    <row r="90" ht="14.25" customHeight="1"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158"/>
      <c r="P90" s="164" t="s">
        <v>314</v>
      </c>
      <c r="Q90" s="47">
        <f>P89+N89+L89+J89+H89+F89+D89</f>
        <v>398312.1</v>
      </c>
      <c r="R90" s="85"/>
      <c r="S90" s="20"/>
      <c r="U90" s="20"/>
    </row>
    <row r="91" ht="14.25" customHeight="1">
      <c r="A91" s="73"/>
      <c r="B91" s="73"/>
      <c r="C91" s="73"/>
      <c r="D91" s="73"/>
      <c r="E91" s="73"/>
      <c r="F91" s="72"/>
      <c r="S91" s="20"/>
      <c r="U91" s="20"/>
    </row>
    <row r="92" ht="14.25" customHeight="1">
      <c r="A92" s="73"/>
      <c r="B92" s="73"/>
      <c r="C92" s="73"/>
      <c r="D92" s="73"/>
      <c r="E92" s="73"/>
      <c r="F92" s="72"/>
      <c r="S92" s="20"/>
      <c r="U92" s="20"/>
    </row>
    <row r="93" ht="14.25" customHeight="1">
      <c r="A93" s="73"/>
      <c r="B93" s="73"/>
      <c r="C93" s="73"/>
      <c r="D93" s="73"/>
      <c r="E93" s="73"/>
      <c r="F93" s="72"/>
      <c r="S93" s="20"/>
      <c r="U93" s="20"/>
    </row>
    <row r="94" ht="14.25" customHeight="1">
      <c r="A94" s="73"/>
      <c r="B94" s="169" t="s">
        <v>527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S94" s="20"/>
      <c r="U94" s="20"/>
    </row>
    <row r="95" ht="14.25" customHeight="1">
      <c r="A95" s="73"/>
      <c r="B95" s="170">
        <v>46223.0</v>
      </c>
      <c r="C95" s="5"/>
      <c r="D95" s="170">
        <v>46224.0</v>
      </c>
      <c r="E95" s="5"/>
      <c r="F95" s="170">
        <v>46225.0</v>
      </c>
      <c r="G95" s="5"/>
      <c r="H95" s="170">
        <v>46226.0</v>
      </c>
      <c r="I95" s="5"/>
      <c r="J95" s="170">
        <v>46227.0</v>
      </c>
      <c r="K95" s="5"/>
      <c r="L95" s="170">
        <v>46228.0</v>
      </c>
      <c r="M95" s="5"/>
      <c r="N95" s="170">
        <v>46229.0</v>
      </c>
      <c r="O95" s="5"/>
      <c r="P95" s="84" t="s">
        <v>326</v>
      </c>
      <c r="S95" s="20"/>
      <c r="U95" s="20"/>
    </row>
    <row r="96" ht="14.25" customHeight="1">
      <c r="A96" s="73"/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44"/>
      <c r="S96" s="20"/>
      <c r="U96" s="20"/>
    </row>
    <row r="97" ht="14.25" customHeight="1">
      <c r="A97" s="73"/>
      <c r="B97" s="178" t="s">
        <v>322</v>
      </c>
      <c r="C97" s="178" t="s">
        <v>332</v>
      </c>
      <c r="D97" s="178" t="s">
        <v>322</v>
      </c>
      <c r="E97" s="178" t="s">
        <v>332</v>
      </c>
      <c r="F97" s="178" t="s">
        <v>322</v>
      </c>
      <c r="G97" s="178" t="s">
        <v>332</v>
      </c>
      <c r="H97" s="178" t="s">
        <v>322</v>
      </c>
      <c r="I97" s="178" t="s">
        <v>332</v>
      </c>
      <c r="J97" s="178" t="s">
        <v>322</v>
      </c>
      <c r="K97" s="178" t="s">
        <v>332</v>
      </c>
      <c r="L97" s="178" t="s">
        <v>322</v>
      </c>
      <c r="M97" s="178" t="s">
        <v>332</v>
      </c>
      <c r="N97" s="178" t="s">
        <v>322</v>
      </c>
      <c r="O97" s="178" t="s">
        <v>332</v>
      </c>
      <c r="P97" s="44"/>
    </row>
    <row r="98" ht="14.25" customHeight="1">
      <c r="A98" s="73"/>
      <c r="B98" s="24">
        <v>2000.0</v>
      </c>
      <c r="C98" s="57" t="s">
        <v>491</v>
      </c>
      <c r="D98" s="24"/>
      <c r="E98" s="132"/>
      <c r="F98" s="24">
        <v>1000.0</v>
      </c>
      <c r="G98" s="24" t="s">
        <v>494</v>
      </c>
      <c r="H98" s="24">
        <v>1500.0</v>
      </c>
      <c r="I98" s="56" t="s">
        <v>493</v>
      </c>
      <c r="J98" s="24">
        <v>500.0</v>
      </c>
      <c r="K98" s="24" t="s">
        <v>495</v>
      </c>
      <c r="L98" s="24"/>
      <c r="M98" s="24"/>
      <c r="N98" s="85"/>
      <c r="O98" s="85"/>
      <c r="P98" s="44"/>
    </row>
    <row r="99" ht="14.25" customHeight="1">
      <c r="A99" s="73"/>
      <c r="B99" s="24">
        <v>2500.0</v>
      </c>
      <c r="C99" s="57" t="s">
        <v>492</v>
      </c>
      <c r="D99" s="24"/>
      <c r="E99" s="132"/>
      <c r="F99" s="24">
        <v>800.0</v>
      </c>
      <c r="G99" s="24" t="s">
        <v>497</v>
      </c>
      <c r="H99" s="85">
        <v>1000.0</v>
      </c>
      <c r="I99" s="85" t="s">
        <v>498</v>
      </c>
      <c r="J99" s="24">
        <v>1500.0</v>
      </c>
      <c r="K99" s="24" t="s">
        <v>499</v>
      </c>
      <c r="L99" s="24"/>
      <c r="M99" s="85"/>
      <c r="N99" s="85"/>
      <c r="O99" s="85"/>
      <c r="P99" s="44"/>
    </row>
    <row r="100" ht="14.25" customHeight="1">
      <c r="A100" s="73"/>
      <c r="B100" s="24">
        <v>1200.0</v>
      </c>
      <c r="C100" s="24" t="s">
        <v>496</v>
      </c>
      <c r="D100" s="24"/>
      <c r="E100" s="132"/>
      <c r="F100" s="24"/>
      <c r="G100" s="24"/>
      <c r="H100" s="85"/>
      <c r="I100" s="85"/>
      <c r="J100" s="85"/>
      <c r="K100" s="85"/>
      <c r="L100" s="24"/>
      <c r="M100" s="24"/>
      <c r="N100" s="85"/>
      <c r="O100" s="85"/>
      <c r="P100" s="44"/>
    </row>
    <row r="101" ht="14.25" customHeight="1">
      <c r="A101" s="73"/>
      <c r="B101" s="85"/>
      <c r="C101" s="85"/>
      <c r="D101" s="85"/>
      <c r="E101" s="85"/>
      <c r="F101" s="24"/>
      <c r="G101" s="24"/>
      <c r="H101" s="85"/>
      <c r="I101" s="85"/>
      <c r="J101" s="85"/>
      <c r="K101" s="85"/>
      <c r="L101" s="24"/>
      <c r="M101" s="24"/>
      <c r="N101" s="85"/>
      <c r="O101" s="85"/>
      <c r="P101" s="12"/>
    </row>
    <row r="102" ht="14.25" customHeight="1">
      <c r="A102" s="73"/>
      <c r="B102" s="191">
        <f>SUM(B98:B101)</f>
        <v>5700</v>
      </c>
      <c r="C102" s="193"/>
      <c r="D102" s="191">
        <f>SUM(D98:D101)</f>
        <v>0</v>
      </c>
      <c r="E102" s="193"/>
      <c r="F102" s="191">
        <f>SUM(F98:F101)</f>
        <v>1800</v>
      </c>
      <c r="G102" s="193"/>
      <c r="H102" s="191">
        <f>SUM(H98:H101)</f>
        <v>2500</v>
      </c>
      <c r="I102" s="193"/>
      <c r="J102" s="191">
        <f>SUM(J98:J101)</f>
        <v>2000</v>
      </c>
      <c r="K102" s="193"/>
      <c r="L102" s="191">
        <f>SUM(L98:L101)</f>
        <v>0</v>
      </c>
      <c r="M102" s="201"/>
      <c r="N102" s="201"/>
      <c r="O102" s="201"/>
      <c r="P102" s="158">
        <f>SUM(B102:O102)</f>
        <v>12000</v>
      </c>
    </row>
    <row r="103" ht="14.25" customHeight="1">
      <c r="A103" s="73"/>
      <c r="B103" s="73"/>
      <c r="C103" s="73"/>
      <c r="D103" s="73"/>
      <c r="E103" s="73"/>
      <c r="F103" s="72"/>
    </row>
    <row r="104" ht="14.25" customHeight="1">
      <c r="A104" s="73"/>
      <c r="B104" s="73"/>
      <c r="C104" s="73"/>
      <c r="D104" s="73"/>
      <c r="E104" s="73"/>
      <c r="F104" s="72"/>
    </row>
    <row r="105" ht="14.25" customHeight="1">
      <c r="A105" s="73"/>
      <c r="B105" s="73"/>
      <c r="C105" s="73"/>
      <c r="D105" s="73"/>
      <c r="E105" s="73"/>
      <c r="F105" s="72"/>
      <c r="S105" s="20"/>
    </row>
    <row r="106" ht="14.25" customHeight="1">
      <c r="A106" s="73"/>
      <c r="B106" s="73"/>
      <c r="C106" s="73"/>
      <c r="D106" s="73"/>
      <c r="E106" s="73"/>
      <c r="F106" s="72"/>
      <c r="S106" s="20"/>
    </row>
    <row r="107" ht="14.25" customHeight="1">
      <c r="A107" s="73"/>
      <c r="B107" s="165" t="s">
        <v>357</v>
      </c>
      <c r="C107" s="2"/>
      <c r="D107" s="2"/>
      <c r="E107" s="2"/>
      <c r="F107" s="3"/>
    </row>
    <row r="108" ht="14.25" customHeight="1">
      <c r="A108" s="73"/>
      <c r="B108" s="167" t="s">
        <v>317</v>
      </c>
      <c r="C108" s="165"/>
      <c r="D108" s="2"/>
      <c r="E108" s="2"/>
      <c r="F108" s="3"/>
    </row>
    <row r="109" ht="42.75" customHeight="1">
      <c r="A109" s="73"/>
      <c r="B109" s="168" t="s">
        <v>530</v>
      </c>
      <c r="C109" s="161">
        <f>G44+J44+M44+P44+S44+V44+G58+J58+M58+P58+S58+V58+Y58</f>
        <v>43989.36</v>
      </c>
      <c r="D109" s="132"/>
      <c r="E109" s="132"/>
      <c r="F109" s="28"/>
      <c r="G109" s="72"/>
      <c r="K109" s="73"/>
      <c r="L109" s="73"/>
    </row>
    <row r="110" ht="42.75" customHeight="1">
      <c r="A110" s="73"/>
      <c r="B110" s="12"/>
      <c r="C110" s="12"/>
      <c r="D110" s="132"/>
      <c r="E110" s="132"/>
      <c r="F110" s="28"/>
      <c r="G110" s="72"/>
      <c r="H110" s="171" t="s">
        <v>531</v>
      </c>
      <c r="I110" s="3"/>
      <c r="K110" s="185" t="s">
        <v>337</v>
      </c>
      <c r="L110" s="2"/>
      <c r="M110" s="3"/>
    </row>
    <row r="111" ht="14.25" customHeight="1">
      <c r="A111" s="73"/>
      <c r="B111" s="173" t="s">
        <v>327</v>
      </c>
      <c r="C111" s="176">
        <f>G72+H72+I72+J72+K72+L72+M72</f>
        <v>0</v>
      </c>
      <c r="D111" s="177"/>
      <c r="E111" s="180">
        <f>C111</f>
        <v>0</v>
      </c>
      <c r="F111" s="28"/>
      <c r="H111" s="194" t="s">
        <v>9</v>
      </c>
      <c r="I111" s="197">
        <f>F113</f>
        <v>43989.36</v>
      </c>
      <c r="K111" s="132" t="s">
        <v>345</v>
      </c>
      <c r="L111" s="57">
        <f>C110+E112+C118</f>
        <v>12000</v>
      </c>
      <c r="M111" s="57"/>
    </row>
    <row r="112" ht="14.25" customHeight="1">
      <c r="A112" s="73"/>
      <c r="B112" s="174" t="s">
        <v>339</v>
      </c>
      <c r="C112" s="175"/>
      <c r="D112" s="140"/>
      <c r="E112" s="187"/>
      <c r="F112" s="188"/>
      <c r="H112" s="194" t="s">
        <v>344</v>
      </c>
      <c r="I112" s="197">
        <f>C120</f>
        <v>410312.1</v>
      </c>
      <c r="K112" s="132" t="s">
        <v>350</v>
      </c>
      <c r="L112" s="202" t="str">
        <f>#REF!</f>
        <v>#REF!</v>
      </c>
      <c r="M112" s="132"/>
      <c r="W112" s="73"/>
    </row>
    <row r="113" ht="15.0" customHeight="1">
      <c r="A113" s="73"/>
      <c r="B113" s="192" t="s">
        <v>326</v>
      </c>
      <c r="C113" s="148"/>
      <c r="D113" s="148"/>
      <c r="E113" s="5"/>
      <c r="F113" s="196">
        <f>C112+C109</f>
        <v>43989.36</v>
      </c>
      <c r="H113" s="208" t="s">
        <v>210</v>
      </c>
      <c r="I113" s="200">
        <f>SUM(I111:I112)</f>
        <v>454301.46</v>
      </c>
      <c r="K113" s="53" t="s">
        <v>354</v>
      </c>
      <c r="L113" s="24" t="str">
        <f>L111+L112</f>
        <v>#REF!</v>
      </c>
      <c r="M113" s="85"/>
      <c r="W113" s="73"/>
    </row>
    <row r="114" ht="15.0" customHeight="1">
      <c r="A114" s="73"/>
      <c r="B114" s="10"/>
      <c r="C114" s="156"/>
      <c r="D114" s="156"/>
      <c r="E114" s="11"/>
      <c r="F114" s="12"/>
      <c r="H114" s="12"/>
      <c r="I114" s="12"/>
      <c r="K114" s="73"/>
      <c r="L114" s="73"/>
      <c r="W114" s="73"/>
    </row>
    <row r="115" ht="14.25" customHeight="1">
      <c r="A115" s="73"/>
      <c r="B115" s="73"/>
      <c r="C115" s="73"/>
      <c r="D115" s="73"/>
      <c r="E115" s="73"/>
      <c r="F115" s="72"/>
      <c r="I115" s="20"/>
      <c r="K115" s="73"/>
      <c r="L115" s="73"/>
      <c r="W115" s="73"/>
    </row>
    <row r="116" ht="14.25" customHeight="1">
      <c r="A116" s="73"/>
      <c r="B116" s="195" t="s">
        <v>535</v>
      </c>
      <c r="C116" s="2"/>
      <c r="D116" s="2"/>
      <c r="E116" s="2"/>
      <c r="F116" s="3"/>
      <c r="I116" s="20"/>
      <c r="K116" s="73"/>
      <c r="L116" s="73"/>
      <c r="W116" s="73"/>
    </row>
    <row r="117" ht="14.25" customHeight="1">
      <c r="A117" s="73"/>
      <c r="B117" s="199" t="s">
        <v>347</v>
      </c>
      <c r="C117" s="199" t="s">
        <v>322</v>
      </c>
      <c r="D117" s="195" t="s">
        <v>362</v>
      </c>
      <c r="E117" s="2"/>
      <c r="F117" s="3"/>
      <c r="I117" s="20"/>
      <c r="W117" s="73"/>
    </row>
    <row r="118" ht="14.25" customHeight="1">
      <c r="A118" s="73"/>
      <c r="B118" s="218" t="s">
        <v>536</v>
      </c>
      <c r="C118" s="175">
        <f>H44+K44+N44+Q44+T44+W44+H58+K58+N58+Q58+T58+W58+Z58</f>
        <v>12000</v>
      </c>
      <c r="D118" s="140" t="s">
        <v>537</v>
      </c>
      <c r="E118" s="140">
        <v>9.0</v>
      </c>
      <c r="F118" s="28"/>
    </row>
    <row r="119" ht="117.0" customHeight="1">
      <c r="A119" s="73"/>
      <c r="B119" s="175" t="s">
        <v>538</v>
      </c>
      <c r="C119" s="358">
        <f>D89+F89+H892+H89+J89+L89+N89+P89</f>
        <v>398312.1</v>
      </c>
      <c r="D119" s="268" t="s">
        <v>539</v>
      </c>
      <c r="E119" s="140">
        <v>27.0</v>
      </c>
      <c r="F119" s="28"/>
    </row>
    <row r="120" ht="14.25" customHeight="1">
      <c r="A120" s="73"/>
      <c r="B120" s="232" t="s">
        <v>326</v>
      </c>
      <c r="C120" s="190">
        <f>C118+C119</f>
        <v>410312.1</v>
      </c>
      <c r="D120" s="209"/>
      <c r="E120" s="3"/>
      <c r="F120" s="28"/>
      <c r="K120" s="217"/>
      <c r="W120" s="215"/>
    </row>
    <row r="121" ht="14.25" customHeight="1">
      <c r="A121" s="73"/>
      <c r="B121" s="73"/>
      <c r="C121" s="73"/>
      <c r="D121" s="73"/>
      <c r="E121" s="73"/>
      <c r="F121" s="72"/>
    </row>
    <row r="122" ht="14.25" customHeight="1">
      <c r="A122" s="73"/>
      <c r="B122" s="73"/>
      <c r="C122" s="73"/>
      <c r="D122" s="73"/>
      <c r="E122" s="73"/>
      <c r="F122" s="72"/>
    </row>
    <row r="123" ht="14.25" customHeight="1">
      <c r="A123" s="73"/>
      <c r="B123" s="73"/>
      <c r="C123" s="73"/>
      <c r="D123" s="73"/>
      <c r="E123" s="73"/>
      <c r="F123" s="72"/>
    </row>
    <row r="124" ht="14.25" customHeight="1">
      <c r="A124" s="73"/>
      <c r="B124" s="249" t="s">
        <v>540</v>
      </c>
      <c r="C124" s="78"/>
      <c r="D124" s="78"/>
      <c r="E124" s="78"/>
      <c r="F124" s="78"/>
      <c r="G124" s="78"/>
      <c r="H124" s="79"/>
    </row>
    <row r="125" ht="14.25" customHeight="1">
      <c r="A125" s="73"/>
      <c r="B125" s="251" t="s">
        <v>402</v>
      </c>
      <c r="C125" s="251" t="s">
        <v>3</v>
      </c>
      <c r="D125" s="251" t="s">
        <v>403</v>
      </c>
      <c r="E125" s="252" t="s">
        <v>404</v>
      </c>
      <c r="F125" s="251" t="s">
        <v>405</v>
      </c>
      <c r="G125" s="251" t="s">
        <v>8</v>
      </c>
      <c r="H125" s="251" t="s">
        <v>406</v>
      </c>
    </row>
    <row r="126" ht="14.25" customHeight="1">
      <c r="A126" s="73"/>
      <c r="B126" s="359" t="str">
        <f>IFERROR(__xludf.DUMMYFUNCTION("IFERROR(FILTER({B3:F43, AC3:AC43, AB3:AB43; B50:F100, AC50:AC100, AB50:AB100}, {AB3:AB43; AB50:AB100} &lt; 0), ""Sin excedidos"")"),"JUAN CARLOS NAZAR CHAVEZ")</f>
        <v>JUAN CARLOS NAZAR CHAVEZ</v>
      </c>
      <c r="C126" s="140" t="str">
        <f>IFERROR(__xludf.DUMMYFUNCTION("""COMPUTED_VALUE"""),"MAQUINARIA ")</f>
        <v>MAQUINARIA </v>
      </c>
      <c r="D126" s="140" t="str">
        <f>IFERROR(__xludf.DUMMYFUNCTION("""COMPUTED_VALUE"""),"DODGE RAM 700")</f>
        <v>DODGE RAM 700</v>
      </c>
      <c r="E126" s="140" t="str">
        <f>IFERROR(__xludf.DUMMYFUNCTION("""COMPUTED_VALUE"""),"PCW9238")</f>
        <v>PCW9238</v>
      </c>
      <c r="F126" s="54">
        <f>IFERROR(__xludf.DUMMYFUNCTION("""COMPUTED_VALUE"""),1500.0)</f>
        <v>1500</v>
      </c>
      <c r="G126" s="256">
        <f>IFERROR(__xludf.DUMMYFUNCTION("""COMPUTED_VALUE"""),2008.12)</f>
        <v>2008.12</v>
      </c>
      <c r="H126" s="257">
        <f>IFERROR(__xludf.DUMMYFUNCTION("""COMPUTED_VALUE"""),-508.1199999999999)</f>
        <v>-508.12</v>
      </c>
    </row>
    <row r="127" ht="14.25" customHeight="1">
      <c r="A127" s="73"/>
      <c r="B127" s="359" t="str">
        <f>IFERROR(__xludf.DUMMYFUNCTION("""COMPUTED_VALUE"""),"DIEGO CARREOLA")</f>
        <v>DIEGO CARREOLA</v>
      </c>
      <c r="C127" s="140" t="str">
        <f>IFERROR(__xludf.DUMMYFUNCTION("""COMPUTED_VALUE"""),"BACHEO TOLUCA Y C. VICENTE LOMBARDO")</f>
        <v>BACHEO TOLUCA Y C. VICENTE LOMBARDO</v>
      </c>
      <c r="D127" s="140" t="str">
        <f>IFERROR(__xludf.DUMMYFUNCTION("""COMPUTED_VALUE""")," MITSUBISHI L1200")</f>
        <v> MITSUBISHI L1200</v>
      </c>
      <c r="E127" s="140" t="str">
        <f>IFERROR(__xludf.DUMMYFUNCTION("""COMPUTED_VALUE"""),"NYZ829C")</f>
        <v>NYZ829C</v>
      </c>
      <c r="F127" s="54">
        <f>IFERROR(__xludf.DUMMYFUNCTION("""COMPUTED_VALUE"""),1500.0)</f>
        <v>1500</v>
      </c>
      <c r="G127" s="256">
        <f>IFERROR(__xludf.DUMMYFUNCTION("""COMPUTED_VALUE"""),2422.74)</f>
        <v>2422.74</v>
      </c>
      <c r="H127" s="257">
        <f>IFERROR(__xludf.DUMMYFUNCTION("""COMPUTED_VALUE"""),-922.7399999999998)</f>
        <v>-922.74</v>
      </c>
    </row>
    <row r="128" ht="14.25" customHeight="1">
      <c r="A128" s="73"/>
      <c r="B128" s="359" t="str">
        <f>IFERROR(__xludf.DUMMYFUNCTION("""COMPUTED_VALUE"""),"TOMAS ARANDA PROSPERO")</f>
        <v>TOMAS ARANDA PROSPERO</v>
      </c>
      <c r="C128" s="140" t="str">
        <f>IFERROR(__xludf.DUMMYFUNCTION("""COMPUTED_VALUE"""),"BACHEO TOLUCA Y C. VICENTE LOMBARDO")</f>
        <v>BACHEO TOLUCA Y C. VICENTE LOMBARDO</v>
      </c>
      <c r="D128" s="140" t="str">
        <f>IFERROR(__xludf.DUMMYFUNCTION("""COMPUTED_VALUE"""),"DODGE RAM 4000 (3/2)")</f>
        <v>DODGE RAM 4000 (3/2)</v>
      </c>
      <c r="E128" s="140" t="str">
        <f>IFERROR(__xludf.DUMMYFUNCTION("""COMPUTED_VALUE"""),"LF05470")</f>
        <v>LF05470</v>
      </c>
      <c r="F128" s="54">
        <f>IFERROR(__xludf.DUMMYFUNCTION("""COMPUTED_VALUE"""),1500.0)</f>
        <v>1500</v>
      </c>
      <c r="G128" s="256">
        <f>IFERROR(__xludf.DUMMYFUNCTION("""COMPUTED_VALUE"""),3500.0)</f>
        <v>3500</v>
      </c>
      <c r="H128" s="257">
        <f>IFERROR(__xludf.DUMMYFUNCTION("""COMPUTED_VALUE"""),-2000.0)</f>
        <v>-2000</v>
      </c>
    </row>
    <row r="129" ht="15.0" customHeight="1">
      <c r="A129" s="73"/>
      <c r="B129" s="360" t="str">
        <f>IFERROR(__xludf.DUMMYFUNCTION("""COMPUTED_VALUE"""),"JAVIER PEREZ DÍAZ")</f>
        <v>JAVIER PEREZ DÍAZ</v>
      </c>
      <c r="C129" s="27" t="str">
        <f>IFERROR(__xludf.DUMMYFUNCTION("""COMPUTED_VALUE"""),"OBRA MÉXICO TOLUCA")</f>
        <v>OBRA MÉXICO TOLUCA</v>
      </c>
      <c r="D129" s="27" t="str">
        <f>IFERROR(__xludf.DUMMYFUNCTION("""COMPUTED_VALUE"""),"MITSUBISHI 1200")</f>
        <v>MITSUBISHI 1200</v>
      </c>
      <c r="E129" s="27" t="str">
        <f>IFERROR(__xludf.DUMMYFUNCTION("""COMPUTED_VALUE"""),"MHL758A")</f>
        <v>MHL758A</v>
      </c>
      <c r="F129" s="28">
        <f>IFERROR(__xludf.DUMMYFUNCTION("""COMPUTED_VALUE"""),2500.0)</f>
        <v>2500</v>
      </c>
      <c r="G129" s="256">
        <f>IFERROR(__xludf.DUMMYFUNCTION("""COMPUTED_VALUE"""),2594.1)</f>
        <v>2594.1</v>
      </c>
      <c r="H129" s="264">
        <f>IFERROR(__xludf.DUMMYFUNCTION("""COMPUTED_VALUE"""),-94.09999999999991)</f>
        <v>-94.1</v>
      </c>
    </row>
    <row r="130" ht="14.25" customHeight="1">
      <c r="A130" s="73"/>
      <c r="B130" s="359" t="str">
        <f>IFERROR(__xludf.DUMMYFUNCTION("""COMPUTED_VALUE"""),"CARMELO ALVAREZ ANICETO")</f>
        <v>CARMELO ALVAREZ ANICETO</v>
      </c>
      <c r="C130" s="140" t="str">
        <f>IFERROR(__xludf.DUMMYFUNCTION("""COMPUTED_VALUE"""),"LERMA TENANGO ")</f>
        <v>LERMA TENANGO </v>
      </c>
      <c r="D130" s="140" t="str">
        <f>IFERROR(__xludf.DUMMYFUNCTION("""COMPUTED_VALUE"""),"DODGE RAM 4000 (3/2)")</f>
        <v>DODGE RAM 4000 (3/2)</v>
      </c>
      <c r="E130" s="140" t="str">
        <f>IFERROR(__xludf.DUMMYFUNCTION("""COMPUTED_VALUE"""),"LH49746")</f>
        <v>LH49746</v>
      </c>
      <c r="F130" s="54">
        <f>IFERROR(__xludf.DUMMYFUNCTION("""COMPUTED_VALUE"""),3000.0)</f>
        <v>3000</v>
      </c>
      <c r="G130" s="256">
        <f>IFERROR(__xludf.DUMMYFUNCTION("""COMPUTED_VALUE"""),4000.0)</f>
        <v>4000</v>
      </c>
      <c r="H130" s="257">
        <f>IFERROR(__xludf.DUMMYFUNCTION("""COMPUTED_VALUE"""),-1000.0)</f>
        <v>-1000</v>
      </c>
    </row>
    <row r="131" ht="14.25" customHeight="1">
      <c r="A131" s="73"/>
      <c r="B131" s="359" t="str">
        <f>IFERROR(__xludf.DUMMYFUNCTION("""COMPUTED_VALUE"""),"CLEMENTE SANABRIA")</f>
        <v>CLEMENTE SANABRIA</v>
      </c>
      <c r="C131" s="140" t="str">
        <f>IFERROR(__xludf.DUMMYFUNCTION("""COMPUTED_VALUE"""),"TRANSPORTES FLOTILLA ")</f>
        <v>TRANSPORTES FLOTILLA </v>
      </c>
      <c r="D131" s="140" t="str">
        <f>IFERROR(__xludf.DUMMYFUNCTION("""COMPUTED_VALUE"""),"RAM 1200")</f>
        <v>RAM 1200</v>
      </c>
      <c r="E131" s="140" t="str">
        <f>IFERROR(__xludf.DUMMYFUNCTION("""COMPUTED_VALUE"""),"LHB184D")</f>
        <v>LHB184D</v>
      </c>
      <c r="F131" s="54">
        <f>IFERROR(__xludf.DUMMYFUNCTION("""COMPUTED_VALUE"""),2500.0)</f>
        <v>2500</v>
      </c>
      <c r="G131" s="256">
        <f>IFERROR(__xludf.DUMMYFUNCTION("""COMPUTED_VALUE"""),4034.45)</f>
        <v>4034.45</v>
      </c>
      <c r="H131" s="257">
        <f>IFERROR(__xludf.DUMMYFUNCTION("""COMPUTED_VALUE"""),-1534.4499999999998)</f>
        <v>-1534.45</v>
      </c>
    </row>
    <row r="132" ht="14.25" customHeight="1">
      <c r="A132" s="73"/>
      <c r="B132" s="359" t="str">
        <f>IFERROR(__xludf.DUMMYFUNCTION("""COMPUTED_VALUE"""),"BRYAN GABRIEL CHAVEZ ALVAREZ")</f>
        <v>BRYAN GABRIEL CHAVEZ ALVAREZ</v>
      </c>
      <c r="C132" s="140" t="str">
        <f>IFERROR(__xludf.DUMMYFUNCTION("""COMPUTED_VALUE"""),"TRANSPORTES FLOTILLA ")</f>
        <v>TRANSPORTES FLOTILLA </v>
      </c>
      <c r="D132" s="140" t="str">
        <f>IFERROR(__xludf.DUMMYFUNCTION("""COMPUTED_VALUE"""),"CHEVROLET TORNADO")</f>
        <v>CHEVROLET TORNADO</v>
      </c>
      <c r="E132" s="140" t="str">
        <f>IFERROR(__xludf.DUMMYFUNCTION("""COMPUTED_VALUE"""),"NUZ948C")</f>
        <v>NUZ948C</v>
      </c>
      <c r="F132" s="54">
        <f>IFERROR(__xludf.DUMMYFUNCTION("""COMPUTED_VALUE"""),1000.0)</f>
        <v>1000</v>
      </c>
      <c r="G132" s="256">
        <f>IFERROR(__xludf.DUMMYFUNCTION("""COMPUTED_VALUE"""),1200.0)</f>
        <v>1200</v>
      </c>
      <c r="H132" s="257">
        <f>IFERROR(__xludf.DUMMYFUNCTION("""COMPUTED_VALUE"""),-200.0)</f>
        <v>-200</v>
      </c>
    </row>
    <row r="133" ht="14.25" customHeight="1">
      <c r="A133" s="73"/>
      <c r="B133" s="359" t="str">
        <f>IFERROR(__xludf.DUMMYFUNCTION("""COMPUTED_VALUE"""),"JOSÉ CABELLO /JACK")</f>
        <v>JOSÉ CABELLO /JACK</v>
      </c>
      <c r="C133" s="140" t="str">
        <f>IFERROR(__xludf.DUMMYFUNCTION("""COMPUTED_VALUE"""),"ESTIMACIONES /PLANTA PEGASO")</f>
        <v>ESTIMACIONES /PLANTA PEGASO</v>
      </c>
      <c r="D133" s="140"/>
      <c r="E133" s="140" t="str">
        <f>IFERROR(__xludf.DUMMYFUNCTION("""COMPUTED_VALUE"""),"LHB176D")</f>
        <v>LHB176D</v>
      </c>
      <c r="F133" s="54">
        <f>IFERROR(__xludf.DUMMYFUNCTION("""COMPUTED_VALUE"""),1500.0)</f>
        <v>1500</v>
      </c>
      <c r="G133" s="256">
        <f>IFERROR(__xludf.DUMMYFUNCTION("""COMPUTED_VALUE"""),1500.8200000000002)</f>
        <v>1500.82</v>
      </c>
      <c r="H133" s="257">
        <f>IFERROR(__xludf.DUMMYFUNCTION("""COMPUTED_VALUE"""),-0.8200000000001637)</f>
        <v>-0.82</v>
      </c>
    </row>
    <row r="134" ht="14.25" customHeight="1">
      <c r="A134" s="73"/>
      <c r="B134" s="359" t="str">
        <f>IFERROR(__xludf.DUMMYFUNCTION("""COMPUTED_VALUE"""),"CARLOS REYES TRUJANO")</f>
        <v>CARLOS REYES TRUJANO</v>
      </c>
      <c r="C134" s="140" t="str">
        <f>IFERROR(__xludf.DUMMYFUNCTION("""COMPUTED_VALUE"""),"MINA TABERNILLAS")</f>
        <v>MINA TABERNILLAS</v>
      </c>
      <c r="D134" s="140" t="str">
        <f>IFERROR(__xludf.DUMMYFUNCTION("""COMPUTED_VALUE"""),"TOYOTA TACOMA")</f>
        <v>TOYOTA TACOMA</v>
      </c>
      <c r="E134" s="140" t="str">
        <f>IFERROR(__xludf.DUMMYFUNCTION("""COMPUTED_VALUE"""),"33K849")</f>
        <v>33K849</v>
      </c>
      <c r="F134" s="54">
        <f>IFERROR(__xludf.DUMMYFUNCTION("""COMPUTED_VALUE"""),2500.0)</f>
        <v>2500</v>
      </c>
      <c r="G134" s="256">
        <f>IFERROR(__xludf.DUMMYFUNCTION("""COMPUTED_VALUE"""),2536.63)</f>
        <v>2536.63</v>
      </c>
      <c r="H134" s="257">
        <f>IFERROR(__xludf.DUMMYFUNCTION("""COMPUTED_VALUE"""),-36.63000000000011)</f>
        <v>-36.63</v>
      </c>
    </row>
    <row r="135" ht="14.25" customHeight="1">
      <c r="A135" s="73"/>
      <c r="B135" s="359" t="str">
        <f>IFERROR(__xludf.DUMMYFUNCTION("""COMPUTED_VALUE"""),"ISAAC GONZALEZ GONZALEZ")</f>
        <v>ISAAC GONZALEZ GONZALEZ</v>
      </c>
      <c r="C135" s="140" t="str">
        <f>IFERROR(__xludf.DUMMYFUNCTION("""COMPUTED_VALUE"""),"MINA ZUMPAHUACAN")</f>
        <v>MINA ZUMPAHUACAN</v>
      </c>
      <c r="D135" s="140" t="str">
        <f>IFERROR(__xludf.DUMMYFUNCTION("""COMPUTED_VALUE"""),"MITSUBISHI L200")</f>
        <v>MITSUBISHI L200</v>
      </c>
      <c r="E135" s="140" t="str">
        <f>IFERROR(__xludf.DUMMYFUNCTION("""COMPUTED_VALUE"""),"NYZ839C")</f>
        <v>NYZ839C</v>
      </c>
      <c r="F135" s="54">
        <f>IFERROR(__xludf.DUMMYFUNCTION("""COMPUTED_VALUE"""),1500.0)</f>
        <v>1500</v>
      </c>
      <c r="G135" s="256">
        <f>IFERROR(__xludf.DUMMYFUNCTION("""COMPUTED_VALUE"""),1500.28)</f>
        <v>1500.28</v>
      </c>
      <c r="H135" s="257">
        <f>IFERROR(__xludf.DUMMYFUNCTION("""COMPUTED_VALUE"""),-0.2799999999999727)</f>
        <v>-0.28</v>
      </c>
    </row>
    <row r="136" ht="14.25" customHeight="1">
      <c r="A136" s="73"/>
      <c r="B136" s="359"/>
      <c r="C136" s="140"/>
      <c r="D136" s="140"/>
      <c r="E136" s="140"/>
      <c r="F136" s="54"/>
      <c r="G136" s="256"/>
      <c r="H136" s="257"/>
    </row>
    <row r="137" ht="14.25" customHeight="1">
      <c r="A137" s="73"/>
      <c r="B137" s="359"/>
      <c r="C137" s="268"/>
      <c r="D137" s="140"/>
      <c r="E137" s="140"/>
      <c r="F137" s="54"/>
      <c r="G137" s="256"/>
      <c r="H137" s="257"/>
    </row>
    <row r="138" ht="14.25" customHeight="1">
      <c r="A138" s="73"/>
      <c r="B138" s="359"/>
      <c r="C138" s="268"/>
      <c r="D138" s="140"/>
      <c r="E138" s="140"/>
      <c r="F138" s="54"/>
      <c r="G138" s="256"/>
      <c r="H138" s="257"/>
    </row>
    <row r="139" ht="14.25" customHeight="1">
      <c r="A139" s="73"/>
      <c r="B139" s="359"/>
      <c r="C139" s="140"/>
      <c r="D139" s="140"/>
      <c r="E139" s="140"/>
      <c r="F139" s="54"/>
      <c r="G139" s="256"/>
      <c r="H139" s="257"/>
    </row>
    <row r="140" ht="14.25" customHeight="1">
      <c r="A140" s="73"/>
      <c r="B140" s="359"/>
      <c r="C140" s="140"/>
      <c r="D140" s="140"/>
      <c r="E140" s="140"/>
      <c r="F140" s="54"/>
      <c r="G140" s="256"/>
      <c r="H140" s="257"/>
    </row>
    <row r="141" ht="14.25" customHeight="1">
      <c r="A141" s="73"/>
      <c r="B141" s="359"/>
      <c r="C141" s="140"/>
      <c r="D141" s="140"/>
      <c r="E141" s="140"/>
      <c r="F141" s="54"/>
      <c r="G141" s="256"/>
      <c r="H141" s="257"/>
    </row>
    <row r="142" ht="14.25" customHeight="1">
      <c r="A142" s="73"/>
      <c r="B142" s="359"/>
      <c r="C142" s="140"/>
      <c r="D142" s="140"/>
      <c r="E142" s="140"/>
      <c r="F142" s="54"/>
      <c r="G142" s="256"/>
      <c r="H142" s="257"/>
    </row>
    <row r="143" ht="14.25" customHeight="1">
      <c r="A143" s="73"/>
      <c r="B143" s="272" t="s">
        <v>210</v>
      </c>
      <c r="C143" s="2"/>
      <c r="D143" s="2"/>
      <c r="E143" s="2"/>
      <c r="F143" s="2"/>
      <c r="G143" s="3"/>
      <c r="H143" s="274">
        <f>SUM(H126:H142)</f>
        <v>-6297.14</v>
      </c>
    </row>
    <row r="144" ht="14.25" customHeight="1">
      <c r="A144" s="73"/>
      <c r="B144" s="275"/>
      <c r="C144" s="73"/>
      <c r="D144" s="73"/>
      <c r="E144" s="73"/>
      <c r="F144" s="72"/>
    </row>
    <row r="145" ht="14.25" customHeight="1">
      <c r="A145" s="73"/>
      <c r="B145" s="275"/>
      <c r="C145" s="73"/>
      <c r="D145" s="73"/>
      <c r="E145" s="73"/>
      <c r="F145" s="72"/>
    </row>
    <row r="146" ht="14.25" customHeight="1">
      <c r="A146" s="73"/>
      <c r="B146" s="275"/>
      <c r="C146" s="73"/>
      <c r="D146" s="73"/>
      <c r="E146" s="73"/>
      <c r="F146" s="72"/>
    </row>
    <row r="147" ht="14.25" customHeight="1">
      <c r="A147" s="73"/>
      <c r="B147" s="278" t="s">
        <v>410</v>
      </c>
      <c r="C147" s="2"/>
      <c r="D147" s="2"/>
      <c r="E147" s="2"/>
      <c r="F147" s="2"/>
      <c r="G147" s="2"/>
      <c r="H147" s="3"/>
    </row>
    <row r="148" ht="14.25" customHeight="1">
      <c r="A148" s="73"/>
      <c r="B148" s="25" t="s">
        <v>402</v>
      </c>
      <c r="C148" s="25" t="s">
        <v>220</v>
      </c>
      <c r="D148" s="25" t="s">
        <v>413</v>
      </c>
      <c r="E148" s="284" t="s">
        <v>414</v>
      </c>
      <c r="F148" s="101" t="s">
        <v>415</v>
      </c>
      <c r="G148" s="52" t="s">
        <v>416</v>
      </c>
      <c r="H148" s="139" t="s">
        <v>417</v>
      </c>
    </row>
    <row r="149" ht="14.25" customHeight="1">
      <c r="A149" s="73"/>
      <c r="B149" s="26" t="s">
        <v>419</v>
      </c>
      <c r="C149" s="27" t="s">
        <v>420</v>
      </c>
      <c r="D149" s="26">
        <v>400.0</v>
      </c>
      <c r="E149" s="26">
        <f>D149*7</f>
        <v>2800</v>
      </c>
      <c r="F149" s="27"/>
      <c r="G149" s="26">
        <f>F149+F150+F151</f>
        <v>0</v>
      </c>
      <c r="H149" s="26">
        <f>E149-G149</f>
        <v>2800</v>
      </c>
    </row>
    <row r="150" ht="14.25" customHeight="1">
      <c r="A150" s="73"/>
      <c r="B150" s="44"/>
      <c r="C150" s="27" t="s">
        <v>422</v>
      </c>
      <c r="D150" s="44"/>
      <c r="E150" s="44"/>
      <c r="F150" s="27"/>
      <c r="G150" s="44"/>
      <c r="H150" s="44"/>
    </row>
    <row r="151" ht="14.25" customHeight="1">
      <c r="A151" s="73"/>
      <c r="B151" s="12"/>
      <c r="C151" s="27" t="s">
        <v>424</v>
      </c>
      <c r="D151" s="12"/>
      <c r="E151" s="12"/>
      <c r="F151" s="27"/>
      <c r="G151" s="12"/>
      <c r="H151" s="12"/>
    </row>
    <row r="152" ht="14.25" customHeight="1">
      <c r="A152" s="73"/>
      <c r="B152" s="26" t="s">
        <v>230</v>
      </c>
      <c r="C152" s="27" t="s">
        <v>426</v>
      </c>
      <c r="D152" s="26">
        <v>550.0</v>
      </c>
      <c r="E152" s="26">
        <f>D152*7</f>
        <v>3850</v>
      </c>
      <c r="F152" s="27"/>
      <c r="G152" s="26">
        <f>F152+F153</f>
        <v>0</v>
      </c>
      <c r="H152" s="26">
        <f>E152-G152</f>
        <v>3850</v>
      </c>
    </row>
    <row r="153" ht="14.25" customHeight="1">
      <c r="A153" s="73"/>
      <c r="B153" s="12"/>
      <c r="C153" s="27" t="s">
        <v>424</v>
      </c>
      <c r="D153" s="12"/>
      <c r="E153" s="12"/>
      <c r="F153" s="27"/>
      <c r="G153" s="12"/>
      <c r="H153" s="12"/>
    </row>
    <row r="154" ht="14.25" customHeight="1">
      <c r="A154" s="73"/>
      <c r="B154" s="26" t="s">
        <v>50</v>
      </c>
      <c r="C154" s="27" t="s">
        <v>253</v>
      </c>
      <c r="D154" s="26">
        <v>500.0</v>
      </c>
      <c r="E154" s="26">
        <f>500*7</f>
        <v>3500</v>
      </c>
      <c r="F154" s="27"/>
      <c r="G154" s="26">
        <f>F154+F155+F156</f>
        <v>0</v>
      </c>
      <c r="H154" s="308">
        <f>E154-G154</f>
        <v>3500</v>
      </c>
      <c r="J154" s="320"/>
    </row>
    <row r="155" ht="54.0" customHeight="1">
      <c r="A155" s="73"/>
      <c r="B155" s="44"/>
      <c r="C155" s="27" t="s">
        <v>432</v>
      </c>
      <c r="D155" s="44"/>
      <c r="E155" s="44"/>
      <c r="F155" s="27"/>
      <c r="G155" s="44"/>
      <c r="H155" s="44"/>
    </row>
    <row r="156" ht="14.25" customHeight="1">
      <c r="A156" s="73"/>
      <c r="B156" s="12"/>
      <c r="C156" s="27" t="s">
        <v>435</v>
      </c>
      <c r="D156" s="12"/>
      <c r="E156" s="12"/>
      <c r="F156" s="27"/>
      <c r="G156" s="12"/>
      <c r="H156" s="12"/>
    </row>
    <row r="157" ht="14.25" customHeight="1">
      <c r="A157" s="73"/>
      <c r="B157" s="27" t="s">
        <v>205</v>
      </c>
      <c r="C157" s="27" t="s">
        <v>438</v>
      </c>
      <c r="D157" s="27">
        <v>400.0</v>
      </c>
      <c r="E157" s="27">
        <f t="shared" ref="E157:E158" si="20">400*7</f>
        <v>2800</v>
      </c>
      <c r="F157" s="27"/>
      <c r="G157" s="27" t="str">
        <f t="shared" ref="G157:G159" si="21">F157</f>
        <v/>
      </c>
      <c r="H157" s="27">
        <f t="shared" ref="H157:H158" si="22">E157-G157</f>
        <v>2800</v>
      </c>
    </row>
    <row r="158" ht="14.25" customHeight="1">
      <c r="A158" s="73"/>
      <c r="B158" s="27" t="s">
        <v>441</v>
      </c>
      <c r="C158" s="27" t="s">
        <v>442</v>
      </c>
      <c r="D158" s="27">
        <v>400.0</v>
      </c>
      <c r="E158" s="27">
        <f t="shared" si="20"/>
        <v>2800</v>
      </c>
      <c r="F158" s="27"/>
      <c r="G158" s="27" t="str">
        <f t="shared" si="21"/>
        <v/>
      </c>
      <c r="H158" s="27">
        <f t="shared" si="22"/>
        <v>2800</v>
      </c>
    </row>
    <row r="159" ht="14.25" customHeight="1">
      <c r="A159" s="73"/>
      <c r="B159" s="27" t="s">
        <v>449</v>
      </c>
      <c r="C159" s="27" t="s">
        <v>257</v>
      </c>
      <c r="D159" s="27"/>
      <c r="E159" s="28"/>
      <c r="F159" s="27"/>
      <c r="G159" s="27" t="str">
        <f t="shared" si="21"/>
        <v/>
      </c>
      <c r="H159" s="27"/>
    </row>
    <row r="160" ht="14.25" customHeight="1">
      <c r="A160" s="73"/>
      <c r="B160" s="27"/>
      <c r="C160" s="27" t="s">
        <v>451</v>
      </c>
      <c r="D160" s="27"/>
      <c r="E160" s="28"/>
      <c r="F160" s="27"/>
      <c r="G160" s="27">
        <v>30.0</v>
      </c>
      <c r="H160" s="27"/>
    </row>
    <row r="161" ht="14.25" customHeight="1">
      <c r="A161" s="73"/>
      <c r="B161" s="27"/>
      <c r="C161" s="27" t="s">
        <v>431</v>
      </c>
      <c r="D161" s="27"/>
      <c r="E161" s="28"/>
      <c r="F161" s="27"/>
      <c r="G161" s="27"/>
      <c r="H161" s="27"/>
    </row>
    <row r="162" ht="14.25" customHeight="1">
      <c r="A162" s="73"/>
      <c r="B162" s="27"/>
      <c r="C162" s="27"/>
      <c r="D162" s="27"/>
      <c r="E162" s="28"/>
      <c r="F162" s="85"/>
      <c r="G162" s="85"/>
      <c r="H162" s="85"/>
    </row>
    <row r="163" ht="14.25" customHeight="1">
      <c r="A163" s="73"/>
      <c r="B163" s="317" t="s">
        <v>456</v>
      </c>
      <c r="C163" s="3"/>
      <c r="D163" s="27"/>
      <c r="E163" s="318">
        <f t="shared" ref="E163:F163" si="23">SUM(E149:E162)</f>
        <v>15750</v>
      </c>
      <c r="F163" s="319">
        <f t="shared" si="23"/>
        <v>0</v>
      </c>
      <c r="G163" s="102">
        <f>SUM(G149:G161)</f>
        <v>30</v>
      </c>
      <c r="H163" s="85"/>
    </row>
    <row r="164" ht="14.25" customHeight="1">
      <c r="A164" s="73"/>
      <c r="B164" s="73"/>
      <c r="C164" s="73"/>
      <c r="D164" s="73"/>
      <c r="E164" s="73"/>
      <c r="F164" s="72"/>
    </row>
    <row r="165" ht="14.25" customHeight="1">
      <c r="A165" s="73"/>
      <c r="B165" s="73"/>
      <c r="C165" s="73"/>
      <c r="D165" s="73"/>
      <c r="E165" s="73"/>
      <c r="F165" s="72"/>
    </row>
    <row r="166" ht="14.25" customHeight="1">
      <c r="A166" s="73"/>
      <c r="B166" s="73"/>
      <c r="C166" s="73"/>
      <c r="D166" s="73"/>
      <c r="E166" s="73"/>
      <c r="F166" s="72"/>
    </row>
    <row r="167" ht="14.25" customHeight="1">
      <c r="A167" s="73"/>
      <c r="B167" s="73"/>
      <c r="C167" s="73"/>
      <c r="D167" s="73"/>
      <c r="E167" s="73"/>
      <c r="F167" s="72"/>
    </row>
    <row r="168" ht="14.25" customHeight="1">
      <c r="A168" s="73"/>
      <c r="B168" s="73"/>
      <c r="C168" s="73"/>
      <c r="D168" s="73"/>
      <c r="E168" s="73"/>
      <c r="F168" s="72"/>
    </row>
    <row r="169" ht="14.25" customHeight="1">
      <c r="A169" s="73"/>
      <c r="B169" s="73"/>
      <c r="C169" s="73"/>
      <c r="D169" s="73"/>
      <c r="E169" s="73"/>
      <c r="F169" s="72"/>
    </row>
    <row r="170" ht="14.25" customHeight="1">
      <c r="A170" s="73"/>
      <c r="B170" s="73"/>
      <c r="C170" s="73"/>
      <c r="D170" s="73"/>
      <c r="E170" s="73"/>
      <c r="F170" s="72"/>
      <c r="K170" s="34">
        <f>SUM(K164:K169)</f>
        <v>0</v>
      </c>
    </row>
    <row r="171" ht="14.25" customHeight="1">
      <c r="A171" s="73"/>
      <c r="B171" s="73"/>
      <c r="C171" s="73"/>
      <c r="D171" s="73"/>
      <c r="E171" s="73"/>
      <c r="F171" s="72"/>
    </row>
    <row r="172" ht="14.25" customHeight="1">
      <c r="A172" s="73"/>
      <c r="B172" s="73"/>
      <c r="C172" s="73"/>
      <c r="D172" s="73"/>
      <c r="E172" s="73"/>
      <c r="F172" s="72"/>
    </row>
    <row r="173" ht="14.25" customHeight="1">
      <c r="A173" s="73"/>
      <c r="B173" s="73"/>
      <c r="C173" s="73"/>
      <c r="D173" s="73"/>
      <c r="E173" s="73"/>
      <c r="F173" s="72"/>
    </row>
    <row r="174" ht="14.25" customHeight="1">
      <c r="A174" s="73"/>
      <c r="B174" s="73"/>
      <c r="C174" s="73"/>
      <c r="D174" s="73"/>
      <c r="E174" s="73"/>
      <c r="F174" s="72"/>
    </row>
    <row r="175" ht="14.25" customHeight="1">
      <c r="A175" s="73"/>
      <c r="B175" s="73"/>
      <c r="C175" s="73"/>
      <c r="D175" s="73"/>
      <c r="E175" s="73"/>
      <c r="F175" s="72"/>
    </row>
    <row r="176" ht="14.25" customHeight="1">
      <c r="A176" s="73"/>
      <c r="B176" s="73"/>
      <c r="C176" s="73"/>
      <c r="D176" s="73"/>
      <c r="E176" s="73"/>
      <c r="F176" s="72"/>
    </row>
    <row r="177" ht="14.25" customHeight="1">
      <c r="A177" s="73"/>
      <c r="B177" s="73"/>
      <c r="C177" s="73"/>
      <c r="D177" s="73"/>
      <c r="E177" s="73"/>
      <c r="F177" s="72"/>
    </row>
    <row r="178" ht="14.25" customHeight="1">
      <c r="A178" s="73"/>
      <c r="B178" s="73"/>
      <c r="C178" s="73"/>
      <c r="D178" s="73"/>
      <c r="E178" s="73"/>
      <c r="F178" s="72"/>
    </row>
    <row r="179" ht="14.25" customHeight="1">
      <c r="A179" s="73"/>
      <c r="B179" s="73"/>
      <c r="C179" s="73"/>
      <c r="D179" s="73"/>
      <c r="E179" s="73"/>
      <c r="F179" s="72"/>
    </row>
    <row r="180" ht="14.25" customHeight="1">
      <c r="A180" s="73"/>
      <c r="B180" s="73"/>
      <c r="C180" s="73"/>
      <c r="D180" s="73"/>
      <c r="E180" s="73"/>
      <c r="F180" s="72"/>
    </row>
    <row r="181" ht="14.25" customHeight="1">
      <c r="A181" s="73"/>
      <c r="B181" s="73"/>
      <c r="C181" s="73"/>
      <c r="D181" s="73"/>
      <c r="E181" s="73"/>
      <c r="F181" s="72"/>
    </row>
    <row r="182" ht="14.25" customHeight="1">
      <c r="A182" s="73"/>
      <c r="B182" s="73"/>
      <c r="C182" s="73"/>
      <c r="D182" s="73"/>
      <c r="E182" s="73"/>
      <c r="F182" s="72"/>
    </row>
    <row r="183" ht="14.25" customHeight="1">
      <c r="A183" s="73"/>
      <c r="B183" s="73"/>
      <c r="C183" s="73"/>
      <c r="D183" s="73"/>
      <c r="E183" s="73"/>
      <c r="F183" s="72"/>
    </row>
    <row r="184" ht="14.25" customHeight="1">
      <c r="A184" s="73"/>
      <c r="B184" s="73"/>
      <c r="C184" s="73"/>
      <c r="D184" s="73"/>
      <c r="E184" s="73"/>
      <c r="F184" s="72"/>
    </row>
    <row r="185" ht="14.25" customHeight="1">
      <c r="A185" s="73"/>
      <c r="B185" s="73"/>
      <c r="C185" s="73"/>
      <c r="D185" s="73"/>
      <c r="E185" s="73"/>
      <c r="F185" s="72"/>
    </row>
    <row r="186" ht="14.25" customHeight="1">
      <c r="A186" s="73"/>
      <c r="B186" s="73"/>
      <c r="C186" s="73"/>
      <c r="D186" s="73"/>
      <c r="E186" s="73"/>
      <c r="F186" s="72"/>
    </row>
    <row r="187" ht="14.25" customHeight="1">
      <c r="A187" s="73"/>
      <c r="B187" s="321" t="s">
        <v>547</v>
      </c>
      <c r="C187" s="322"/>
      <c r="D187" s="322"/>
      <c r="E187" s="322"/>
      <c r="F187" s="322"/>
      <c r="G187" s="323"/>
    </row>
    <row r="188" ht="14.25" customHeight="1">
      <c r="A188" s="73"/>
      <c r="B188" s="324"/>
      <c r="C188" s="325"/>
      <c r="D188" s="325"/>
      <c r="E188" s="325"/>
      <c r="F188" s="325"/>
      <c r="G188" s="326"/>
    </row>
    <row r="189" ht="14.25" customHeight="1">
      <c r="A189" s="73"/>
      <c r="B189" s="327" t="s">
        <v>479</v>
      </c>
      <c r="C189" s="78"/>
      <c r="D189" s="78"/>
      <c r="E189" s="78"/>
      <c r="F189" s="78"/>
      <c r="G189" s="79"/>
    </row>
    <row r="190" ht="14.25" customHeight="1">
      <c r="A190" s="73"/>
      <c r="B190" s="4" t="s">
        <v>2</v>
      </c>
      <c r="C190" s="5"/>
      <c r="D190" s="6" t="s">
        <v>3</v>
      </c>
      <c r="E190" s="6" t="s">
        <v>4</v>
      </c>
      <c r="F190" s="6" t="s">
        <v>5</v>
      </c>
      <c r="G190" s="328" t="s">
        <v>6</v>
      </c>
    </row>
    <row r="191" ht="14.25" customHeight="1">
      <c r="A191" s="73"/>
      <c r="B191" s="10"/>
      <c r="C191" s="11"/>
      <c r="D191" s="12"/>
      <c r="E191" s="12"/>
      <c r="F191" s="12"/>
      <c r="G191" s="88"/>
    </row>
    <row r="192" ht="14.25" customHeight="1">
      <c r="A192" s="73"/>
      <c r="B192" s="329">
        <v>1.0</v>
      </c>
      <c r="C192" s="15" t="s">
        <v>13</v>
      </c>
      <c r="D192" s="15" t="s">
        <v>14</v>
      </c>
      <c r="E192" s="16" t="s">
        <v>15</v>
      </c>
      <c r="F192" s="16" t="s">
        <v>16</v>
      </c>
      <c r="G192" s="330">
        <v>1200.0</v>
      </c>
    </row>
    <row r="193" ht="14.25" customHeight="1">
      <c r="A193" s="73"/>
      <c r="B193" s="329">
        <v>2.0</v>
      </c>
      <c r="C193" s="12"/>
      <c r="D193" s="12"/>
      <c r="E193" s="16" t="s">
        <v>17</v>
      </c>
      <c r="F193" s="16"/>
      <c r="G193" s="330">
        <v>500.0</v>
      </c>
    </row>
    <row r="194" ht="14.25" customHeight="1">
      <c r="A194" s="73"/>
      <c r="B194" s="52">
        <v>3.0</v>
      </c>
      <c r="C194" s="307" t="s">
        <v>18</v>
      </c>
      <c r="D194" s="307" t="s">
        <v>19</v>
      </c>
      <c r="E194" s="140" t="s">
        <v>20</v>
      </c>
      <c r="F194" s="140" t="s">
        <v>21</v>
      </c>
      <c r="G194" s="331">
        <v>2500.0</v>
      </c>
    </row>
    <row r="195" ht="14.25" customHeight="1">
      <c r="A195" s="73"/>
      <c r="B195" s="52">
        <v>4.0</v>
      </c>
      <c r="C195" s="12"/>
      <c r="D195" s="12"/>
      <c r="E195" s="140" t="s">
        <v>17</v>
      </c>
      <c r="F195" s="140"/>
      <c r="G195" s="331">
        <v>500.0</v>
      </c>
    </row>
    <row r="196" ht="14.25" customHeight="1">
      <c r="A196" s="73"/>
      <c r="B196" s="52">
        <v>5.0</v>
      </c>
      <c r="C196" s="140" t="s">
        <v>30</v>
      </c>
      <c r="D196" s="140" t="s">
        <v>19</v>
      </c>
      <c r="E196" s="140" t="s">
        <v>31</v>
      </c>
      <c r="F196" s="140" t="s">
        <v>32</v>
      </c>
      <c r="G196" s="331">
        <v>1500.0</v>
      </c>
      <c r="T196" s="20"/>
    </row>
    <row r="197" ht="14.25" customHeight="1">
      <c r="A197" s="73"/>
      <c r="B197" s="52">
        <v>6.0</v>
      </c>
      <c r="C197" s="140" t="s">
        <v>35</v>
      </c>
      <c r="D197" s="140" t="s">
        <v>19</v>
      </c>
      <c r="E197" s="140" t="s">
        <v>31</v>
      </c>
      <c r="F197" s="140" t="s">
        <v>36</v>
      </c>
      <c r="G197" s="331">
        <v>1500.0</v>
      </c>
    </row>
    <row r="198" ht="14.25" customHeight="1">
      <c r="A198" s="73"/>
      <c r="B198" s="52">
        <v>7.0</v>
      </c>
      <c r="C198" s="140" t="s">
        <v>39</v>
      </c>
      <c r="D198" s="140" t="s">
        <v>19</v>
      </c>
      <c r="E198" s="140"/>
      <c r="F198" s="140"/>
      <c r="G198" s="331">
        <v>1500.0</v>
      </c>
    </row>
    <row r="199" ht="14.25" customHeight="1">
      <c r="A199" s="73"/>
      <c r="B199" s="329">
        <v>8.0</v>
      </c>
      <c r="C199" s="16" t="s">
        <v>41</v>
      </c>
      <c r="D199" s="16" t="s">
        <v>42</v>
      </c>
      <c r="E199" s="16" t="s">
        <v>43</v>
      </c>
      <c r="F199" s="16" t="s">
        <v>44</v>
      </c>
      <c r="G199" s="330">
        <v>700.0</v>
      </c>
    </row>
    <row r="200" ht="14.25" customHeight="1">
      <c r="A200" s="73"/>
      <c r="B200" s="329">
        <v>9.0</v>
      </c>
      <c r="C200" s="16" t="s">
        <v>45</v>
      </c>
      <c r="D200" s="16" t="s">
        <v>46</v>
      </c>
      <c r="E200" s="16" t="s">
        <v>47</v>
      </c>
      <c r="F200" s="16" t="s">
        <v>48</v>
      </c>
      <c r="G200" s="330">
        <v>1500.0</v>
      </c>
    </row>
    <row r="201" ht="14.25" customHeight="1">
      <c r="A201" s="73"/>
      <c r="B201" s="52">
        <v>10.0</v>
      </c>
      <c r="C201" s="307" t="s">
        <v>50</v>
      </c>
      <c r="D201" s="140" t="s">
        <v>51</v>
      </c>
      <c r="E201" s="140" t="s">
        <v>52</v>
      </c>
      <c r="F201" s="140" t="s">
        <v>53</v>
      </c>
      <c r="G201" s="331">
        <v>1500.0</v>
      </c>
    </row>
    <row r="202" ht="14.25" customHeight="1">
      <c r="A202" s="73"/>
      <c r="B202" s="52">
        <v>11.0</v>
      </c>
      <c r="C202" s="12"/>
      <c r="D202" s="140" t="s">
        <v>54</v>
      </c>
      <c r="E202" s="140" t="s">
        <v>17</v>
      </c>
      <c r="F202" s="140"/>
      <c r="G202" s="54">
        <v>500.0</v>
      </c>
    </row>
    <row r="203" ht="14.25" customHeight="1">
      <c r="A203" s="73"/>
      <c r="B203" s="52">
        <v>12.0</v>
      </c>
      <c r="C203" s="140" t="s">
        <v>57</v>
      </c>
      <c r="D203" s="140" t="s">
        <v>51</v>
      </c>
      <c r="E203" s="140" t="s">
        <v>58</v>
      </c>
      <c r="F203" s="140" t="s">
        <v>59</v>
      </c>
      <c r="G203" s="54">
        <v>1500.0</v>
      </c>
    </row>
    <row r="204" ht="14.25" customHeight="1">
      <c r="A204" s="73"/>
      <c r="B204" s="329">
        <v>13.0</v>
      </c>
      <c r="C204" s="15" t="s">
        <v>61</v>
      </c>
      <c r="D204" s="16" t="s">
        <v>63</v>
      </c>
      <c r="E204" s="16" t="s">
        <v>65</v>
      </c>
      <c r="F204" s="16" t="s">
        <v>66</v>
      </c>
      <c r="G204" s="17">
        <v>2500.0</v>
      </c>
    </row>
    <row r="205" ht="14.25" customHeight="1">
      <c r="A205" s="73"/>
      <c r="B205" s="329">
        <v>14.0</v>
      </c>
      <c r="C205" s="12"/>
      <c r="D205" s="16" t="s">
        <v>63</v>
      </c>
      <c r="E205" s="16" t="s">
        <v>17</v>
      </c>
      <c r="F205" s="16"/>
      <c r="G205" s="17">
        <v>300.0</v>
      </c>
    </row>
    <row r="206" ht="14.25" customHeight="1">
      <c r="A206" s="73"/>
      <c r="B206" s="329">
        <v>15.0</v>
      </c>
      <c r="C206" s="16" t="s">
        <v>68</v>
      </c>
      <c r="D206" s="16" t="s">
        <v>63</v>
      </c>
      <c r="E206" s="16" t="s">
        <v>69</v>
      </c>
      <c r="F206" s="16" t="s">
        <v>70</v>
      </c>
      <c r="G206" s="17">
        <v>2500.0</v>
      </c>
    </row>
    <row r="207" ht="14.25" customHeight="1">
      <c r="A207" s="73"/>
      <c r="B207" s="329">
        <v>16.0</v>
      </c>
      <c r="C207" s="16" t="s">
        <v>71</v>
      </c>
      <c r="D207" s="16" t="s">
        <v>63</v>
      </c>
      <c r="E207" s="16" t="s">
        <v>58</v>
      </c>
      <c r="F207" s="16" t="s">
        <v>72</v>
      </c>
      <c r="G207" s="17">
        <v>4000.0</v>
      </c>
    </row>
    <row r="208" ht="14.25" customHeight="1">
      <c r="A208" s="73"/>
      <c r="B208" s="52">
        <v>17.0</v>
      </c>
      <c r="C208" s="307" t="s">
        <v>74</v>
      </c>
      <c r="D208" s="307" t="s">
        <v>75</v>
      </c>
      <c r="E208" s="140" t="s">
        <v>65</v>
      </c>
      <c r="F208" s="140" t="s">
        <v>76</v>
      </c>
      <c r="G208" s="54">
        <v>2500.0</v>
      </c>
    </row>
    <row r="209" ht="14.25" customHeight="1">
      <c r="A209" s="73"/>
      <c r="B209" s="52">
        <v>18.0</v>
      </c>
      <c r="C209" s="44"/>
      <c r="D209" s="44"/>
      <c r="E209" s="140" t="s">
        <v>77</v>
      </c>
      <c r="F209" s="140"/>
      <c r="G209" s="184">
        <v>1000.0</v>
      </c>
    </row>
    <row r="210" ht="14.25" customHeight="1">
      <c r="A210" s="73"/>
      <c r="B210" s="52">
        <v>19.0</v>
      </c>
      <c r="C210" s="44"/>
      <c r="D210" s="44"/>
      <c r="E210" s="140" t="s">
        <v>78</v>
      </c>
      <c r="F210" s="140"/>
      <c r="G210" s="184"/>
    </row>
    <row r="211" ht="14.25" customHeight="1">
      <c r="A211" s="73"/>
      <c r="B211" s="52">
        <v>20.0</v>
      </c>
      <c r="C211" s="12"/>
      <c r="D211" s="12"/>
      <c r="E211" s="140" t="s">
        <v>81</v>
      </c>
      <c r="F211" s="140"/>
      <c r="G211" s="184"/>
    </row>
    <row r="212" ht="14.25" customHeight="1">
      <c r="A212" s="73"/>
      <c r="B212" s="52">
        <v>21.0</v>
      </c>
      <c r="C212" s="140" t="s">
        <v>82</v>
      </c>
      <c r="D212" s="140" t="s">
        <v>75</v>
      </c>
      <c r="E212" s="140" t="s">
        <v>65</v>
      </c>
      <c r="F212" s="140" t="s">
        <v>83</v>
      </c>
      <c r="G212" s="54">
        <v>1500.0</v>
      </c>
    </row>
    <row r="213" ht="14.25" customHeight="1">
      <c r="A213" s="73"/>
      <c r="B213" s="52">
        <v>22.0</v>
      </c>
      <c r="C213" s="140" t="s">
        <v>89</v>
      </c>
      <c r="D213" s="140" t="s">
        <v>75</v>
      </c>
      <c r="E213" s="140" t="s">
        <v>58</v>
      </c>
      <c r="F213" s="140" t="s">
        <v>90</v>
      </c>
      <c r="G213" s="54">
        <v>3000.0</v>
      </c>
    </row>
    <row r="214" ht="14.25" customHeight="1">
      <c r="A214" s="73"/>
      <c r="B214" s="52">
        <v>23.0</v>
      </c>
      <c r="C214" s="140" t="s">
        <v>93</v>
      </c>
      <c r="D214" s="140" t="s">
        <v>75</v>
      </c>
      <c r="E214" s="140" t="s">
        <v>69</v>
      </c>
      <c r="F214" s="140" t="s">
        <v>94</v>
      </c>
      <c r="G214" s="54">
        <v>2500.0</v>
      </c>
    </row>
    <row r="215" ht="14.25" customHeight="1">
      <c r="A215" s="73"/>
      <c r="B215" s="329">
        <v>24.0</v>
      </c>
      <c r="C215" s="16" t="s">
        <v>96</v>
      </c>
      <c r="D215" s="15" t="s">
        <v>98</v>
      </c>
      <c r="E215" s="16" t="s">
        <v>99</v>
      </c>
      <c r="F215" s="16" t="s">
        <v>100</v>
      </c>
      <c r="G215" s="17">
        <v>2500.0</v>
      </c>
    </row>
    <row r="216" ht="14.25" customHeight="1">
      <c r="A216" s="73"/>
      <c r="B216" s="329">
        <v>25.0</v>
      </c>
      <c r="C216" s="16" t="s">
        <v>102</v>
      </c>
      <c r="D216" s="12"/>
      <c r="E216" s="16" t="s">
        <v>17</v>
      </c>
      <c r="F216" s="16"/>
      <c r="G216" s="17">
        <v>1000.0</v>
      </c>
    </row>
    <row r="217" ht="14.25" customHeight="1">
      <c r="A217" s="73"/>
      <c r="B217" s="52">
        <v>26.0</v>
      </c>
      <c r="C217" s="140" t="s">
        <v>104</v>
      </c>
      <c r="D217" s="140" t="s">
        <v>105</v>
      </c>
      <c r="E217" s="140" t="s">
        <v>20</v>
      </c>
      <c r="F217" s="140" t="s">
        <v>106</v>
      </c>
      <c r="G217" s="54">
        <v>2500.0</v>
      </c>
    </row>
    <row r="218" ht="14.25" customHeight="1">
      <c r="A218" s="73"/>
      <c r="B218" s="52">
        <v>27.0</v>
      </c>
      <c r="C218" s="307" t="s">
        <v>107</v>
      </c>
      <c r="D218" s="307" t="s">
        <v>105</v>
      </c>
      <c r="E218" s="140" t="s">
        <v>109</v>
      </c>
      <c r="F218" s="140" t="s">
        <v>110</v>
      </c>
      <c r="G218" s="54">
        <v>1000.0</v>
      </c>
    </row>
    <row r="219" ht="14.25" customHeight="1">
      <c r="A219" s="73"/>
      <c r="B219" s="52">
        <v>28.0</v>
      </c>
      <c r="C219" s="44"/>
      <c r="D219" s="44"/>
      <c r="E219" s="140" t="s">
        <v>111</v>
      </c>
      <c r="F219" s="140"/>
      <c r="G219" s="54">
        <v>500.0</v>
      </c>
    </row>
    <row r="220" ht="14.25" customHeight="1">
      <c r="A220" s="73"/>
      <c r="B220" s="52">
        <v>29.0</v>
      </c>
      <c r="C220" s="12"/>
      <c r="D220" s="12"/>
      <c r="E220" s="140" t="s">
        <v>111</v>
      </c>
      <c r="F220" s="140"/>
      <c r="G220" s="54">
        <v>500.0</v>
      </c>
    </row>
    <row r="221" ht="14.25" customHeight="1">
      <c r="A221" s="73"/>
      <c r="B221" s="52">
        <v>30.0</v>
      </c>
      <c r="C221" s="307" t="s">
        <v>114</v>
      </c>
      <c r="D221" s="140"/>
      <c r="E221" s="140"/>
      <c r="F221" s="140" t="s">
        <v>115</v>
      </c>
      <c r="G221" s="54">
        <v>800.0</v>
      </c>
    </row>
    <row r="222" ht="14.25" customHeight="1">
      <c r="A222" s="73"/>
      <c r="B222" s="52">
        <v>31.0</v>
      </c>
      <c r="C222" s="12"/>
      <c r="D222" s="140"/>
      <c r="E222" s="140" t="s">
        <v>17</v>
      </c>
      <c r="F222" s="140"/>
      <c r="G222" s="54">
        <v>500.0</v>
      </c>
    </row>
    <row r="223" ht="14.25" customHeight="1">
      <c r="A223" s="73"/>
      <c r="B223" s="52">
        <v>32.0</v>
      </c>
      <c r="C223" s="363" t="s">
        <v>135</v>
      </c>
      <c r="D223" s="140" t="s">
        <v>136</v>
      </c>
      <c r="E223" s="140"/>
      <c r="F223" s="140" t="s">
        <v>137</v>
      </c>
      <c r="G223" s="54">
        <v>1500.0</v>
      </c>
    </row>
    <row r="224" ht="14.25" customHeight="1">
      <c r="A224" s="73"/>
      <c r="B224" s="52">
        <v>33.0</v>
      </c>
      <c r="C224" s="363" t="s">
        <v>142</v>
      </c>
      <c r="D224" s="140" t="s">
        <v>143</v>
      </c>
      <c r="E224" s="140" t="s">
        <v>20</v>
      </c>
      <c r="F224" s="140" t="s">
        <v>144</v>
      </c>
      <c r="G224" s="54">
        <v>1500.0</v>
      </c>
    </row>
    <row r="225" ht="14.25" customHeight="1">
      <c r="A225" s="73"/>
      <c r="B225" s="52">
        <v>34.0</v>
      </c>
      <c r="C225" s="363" t="s">
        <v>145</v>
      </c>
      <c r="D225" s="140" t="s">
        <v>146</v>
      </c>
      <c r="E225" s="140" t="s">
        <v>43</v>
      </c>
      <c r="F225" s="140"/>
      <c r="G225" s="54">
        <v>700.0</v>
      </c>
    </row>
    <row r="226" ht="14.25" customHeight="1">
      <c r="A226" s="73"/>
      <c r="B226" s="52">
        <v>35.0</v>
      </c>
      <c r="C226" s="140" t="s">
        <v>118</v>
      </c>
      <c r="D226" s="140"/>
      <c r="E226" s="140" t="s">
        <v>119</v>
      </c>
      <c r="F226" s="140" t="s">
        <v>120</v>
      </c>
      <c r="G226" s="54">
        <v>3000.0</v>
      </c>
    </row>
    <row r="227" ht="14.25" customHeight="1">
      <c r="A227" s="73"/>
      <c r="B227" s="52">
        <v>36.0</v>
      </c>
      <c r="C227" s="363" t="s">
        <v>155</v>
      </c>
      <c r="D227" s="140"/>
      <c r="E227" s="140" t="s">
        <v>20</v>
      </c>
      <c r="F227" s="140" t="s">
        <v>156</v>
      </c>
      <c r="G227" s="54">
        <v>1500.0</v>
      </c>
    </row>
    <row r="228" ht="14.25" customHeight="1">
      <c r="A228" s="73"/>
      <c r="B228" s="339" t="s">
        <v>122</v>
      </c>
      <c r="C228" s="2"/>
      <c r="D228" s="2"/>
      <c r="E228" s="2"/>
      <c r="F228" s="3"/>
      <c r="G228" s="340">
        <f>SUM(G192:G227)</f>
        <v>52200</v>
      </c>
    </row>
    <row r="229" ht="14.25" customHeight="1">
      <c r="A229" s="73"/>
      <c r="B229" s="341" t="s">
        <v>490</v>
      </c>
      <c r="C229" s="2"/>
      <c r="D229" s="2"/>
      <c r="E229" s="2"/>
      <c r="F229" s="2"/>
      <c r="G229" s="3"/>
    </row>
    <row r="230" ht="14.25" customHeight="1">
      <c r="A230" s="73"/>
      <c r="B230" s="4" t="s">
        <v>2</v>
      </c>
      <c r="C230" s="5"/>
      <c r="D230" s="6" t="s">
        <v>3</v>
      </c>
      <c r="E230" s="6" t="s">
        <v>4</v>
      </c>
      <c r="F230" s="6" t="s">
        <v>5</v>
      </c>
      <c r="G230" s="7" t="s">
        <v>134</v>
      </c>
    </row>
    <row r="231" ht="14.25" customHeight="1">
      <c r="A231" s="73"/>
      <c r="B231" s="10"/>
      <c r="C231" s="11"/>
      <c r="D231" s="12"/>
      <c r="E231" s="12"/>
      <c r="F231" s="12"/>
      <c r="G231" s="12"/>
    </row>
    <row r="232" ht="14.25" customHeight="1">
      <c r="A232" s="73"/>
      <c r="B232" s="52">
        <v>1.0</v>
      </c>
      <c r="C232" s="140" t="s">
        <v>138</v>
      </c>
      <c r="D232" s="140" t="s">
        <v>139</v>
      </c>
      <c r="E232" s="140" t="s">
        <v>140</v>
      </c>
      <c r="F232" s="140" t="s">
        <v>141</v>
      </c>
      <c r="G232" s="54">
        <v>2500.0</v>
      </c>
    </row>
    <row r="233" ht="14.25" customHeight="1">
      <c r="A233" s="73"/>
      <c r="B233" s="52">
        <v>2.0</v>
      </c>
      <c r="C233" s="140" t="s">
        <v>147</v>
      </c>
      <c r="D233" s="140" t="s">
        <v>139</v>
      </c>
      <c r="E233" s="140" t="s">
        <v>119</v>
      </c>
      <c r="F233" s="140" t="s">
        <v>148</v>
      </c>
      <c r="G233" s="54">
        <v>1500.0</v>
      </c>
    </row>
    <row r="234" ht="14.25" customHeight="1">
      <c r="A234" s="73"/>
      <c r="B234" s="343">
        <v>3.0</v>
      </c>
      <c r="C234" s="307" t="s">
        <v>157</v>
      </c>
      <c r="D234" s="307" t="s">
        <v>139</v>
      </c>
      <c r="E234" s="140" t="s">
        <v>158</v>
      </c>
      <c r="F234" s="140" t="s">
        <v>16</v>
      </c>
      <c r="G234" s="54">
        <v>2000.0</v>
      </c>
    </row>
    <row r="235" ht="14.25" customHeight="1">
      <c r="A235" s="73"/>
      <c r="B235" s="12"/>
      <c r="C235" s="12"/>
      <c r="D235" s="12"/>
      <c r="E235" s="140" t="s">
        <v>17</v>
      </c>
      <c r="F235" s="140"/>
      <c r="G235" s="54"/>
    </row>
    <row r="236" ht="14.25" customHeight="1">
      <c r="A236" s="73"/>
      <c r="B236" s="52">
        <v>4.0</v>
      </c>
      <c r="C236" s="140" t="s">
        <v>165</v>
      </c>
      <c r="D236" s="140" t="s">
        <v>166</v>
      </c>
      <c r="E236" s="140" t="s">
        <v>119</v>
      </c>
      <c r="F236" s="140" t="s">
        <v>167</v>
      </c>
      <c r="G236" s="54">
        <v>1500.0</v>
      </c>
    </row>
    <row r="237" ht="14.25" customHeight="1">
      <c r="A237" s="73"/>
      <c r="B237" s="52">
        <v>5.0</v>
      </c>
      <c r="C237" s="140" t="s">
        <v>168</v>
      </c>
      <c r="D237" s="140" t="s">
        <v>166</v>
      </c>
      <c r="E237" s="140" t="s">
        <v>119</v>
      </c>
      <c r="F237" s="140" t="s">
        <v>169</v>
      </c>
      <c r="G237" s="54">
        <v>1500.0</v>
      </c>
    </row>
    <row r="238" ht="14.25" customHeight="1">
      <c r="A238" s="73"/>
      <c r="B238" s="52">
        <v>6.0</v>
      </c>
      <c r="C238" s="140" t="s">
        <v>170</v>
      </c>
      <c r="D238" s="140" t="s">
        <v>171</v>
      </c>
      <c r="E238" s="140" t="s">
        <v>158</v>
      </c>
      <c r="F238" s="140" t="s">
        <v>172</v>
      </c>
      <c r="G238" s="54">
        <v>2000.0</v>
      </c>
    </row>
    <row r="239" ht="14.25" customHeight="1">
      <c r="A239" s="73"/>
      <c r="B239" s="339" t="s">
        <v>122</v>
      </c>
      <c r="C239" s="2"/>
      <c r="D239" s="2"/>
      <c r="E239" s="2"/>
      <c r="F239" s="3"/>
      <c r="G239" s="236">
        <f>SUM(G232:G238)</f>
        <v>11000</v>
      </c>
    </row>
    <row r="240" ht="14.25" customHeight="1">
      <c r="A240" s="73"/>
      <c r="B240" s="73"/>
      <c r="C240" s="73"/>
      <c r="D240" s="73"/>
      <c r="E240" s="73"/>
      <c r="F240" s="72"/>
    </row>
    <row r="241" ht="14.25" customHeight="1">
      <c r="A241" s="73"/>
      <c r="B241" s="73"/>
      <c r="C241" s="73"/>
      <c r="D241" s="73"/>
      <c r="E241" s="73"/>
      <c r="F241" s="72"/>
    </row>
    <row r="242" ht="14.25" customHeight="1">
      <c r="A242" s="73"/>
      <c r="B242" s="73"/>
      <c r="C242" s="73"/>
      <c r="D242" s="73"/>
      <c r="E242" s="73"/>
      <c r="F242" s="72"/>
    </row>
    <row r="243" ht="14.25" customHeight="1">
      <c r="A243" s="73"/>
      <c r="B243" s="73"/>
      <c r="C243" s="73"/>
      <c r="D243" s="73"/>
      <c r="E243" s="73"/>
      <c r="F243" s="72"/>
    </row>
    <row r="244" ht="14.25" customHeight="1">
      <c r="A244" s="73"/>
      <c r="B244" s="73"/>
      <c r="C244" s="73"/>
      <c r="D244" s="73"/>
      <c r="E244" s="73"/>
      <c r="F244" s="72"/>
    </row>
    <row r="245" ht="14.25" customHeight="1">
      <c r="A245" s="73"/>
      <c r="B245" s="73"/>
      <c r="C245" s="73"/>
      <c r="D245" s="73"/>
      <c r="E245" s="73"/>
      <c r="F245" s="72"/>
    </row>
    <row r="246" ht="14.25" customHeight="1">
      <c r="A246" s="73"/>
      <c r="B246" s="73"/>
      <c r="C246" s="73"/>
      <c r="D246" s="73"/>
      <c r="E246" s="73"/>
      <c r="F246" s="72"/>
    </row>
    <row r="247" ht="14.25" customHeight="1">
      <c r="A247" s="73"/>
      <c r="B247" s="73"/>
      <c r="C247" s="73"/>
      <c r="D247" s="73"/>
      <c r="E247" s="73"/>
      <c r="F247" s="72"/>
    </row>
    <row r="248" ht="14.25" customHeight="1">
      <c r="A248" s="73"/>
      <c r="B248" s="73"/>
      <c r="C248" s="73"/>
      <c r="D248" s="73"/>
      <c r="E248" s="73"/>
      <c r="F248" s="72"/>
    </row>
    <row r="249" ht="14.25" customHeight="1">
      <c r="A249" s="73"/>
      <c r="B249" s="73"/>
      <c r="C249" s="73"/>
      <c r="D249" s="73"/>
      <c r="E249" s="73"/>
      <c r="F249" s="72"/>
    </row>
    <row r="250" ht="14.25" customHeight="1">
      <c r="A250" s="73"/>
      <c r="B250" s="73"/>
      <c r="C250" s="73"/>
      <c r="D250" s="73"/>
      <c r="E250" s="73"/>
      <c r="F250" s="72"/>
    </row>
    <row r="251" ht="14.25" customHeight="1">
      <c r="A251" s="73"/>
      <c r="B251" s="73"/>
      <c r="C251" s="73"/>
      <c r="D251" s="73"/>
      <c r="E251" s="73"/>
      <c r="F251" s="72"/>
    </row>
    <row r="252" ht="14.25" customHeight="1">
      <c r="A252" s="73"/>
      <c r="B252" s="73"/>
      <c r="C252" s="73"/>
      <c r="D252" s="73"/>
      <c r="E252" s="73"/>
      <c r="F252" s="72"/>
    </row>
    <row r="253" ht="14.25" customHeight="1">
      <c r="A253" s="73"/>
      <c r="B253" s="73"/>
      <c r="C253" s="73"/>
      <c r="D253" s="73"/>
      <c r="E253" s="73"/>
      <c r="F253" s="72"/>
    </row>
    <row r="254" ht="14.25" customHeight="1">
      <c r="A254" s="73"/>
      <c r="B254" s="73"/>
      <c r="C254" s="73"/>
      <c r="D254" s="73"/>
      <c r="E254" s="73"/>
      <c r="F254" s="72"/>
    </row>
    <row r="255" ht="14.25" customHeight="1">
      <c r="A255" s="73"/>
      <c r="B255" s="73"/>
      <c r="C255" s="73"/>
      <c r="D255" s="73"/>
      <c r="E255" s="73"/>
      <c r="F255" s="72"/>
    </row>
    <row r="256" ht="14.25" customHeight="1">
      <c r="A256" s="73"/>
      <c r="B256" s="73"/>
      <c r="C256" s="73"/>
      <c r="D256" s="73"/>
      <c r="E256" s="73"/>
      <c r="F256" s="72"/>
    </row>
    <row r="257" ht="14.25" customHeight="1">
      <c r="A257" s="73"/>
      <c r="B257" s="73"/>
      <c r="C257" s="73"/>
      <c r="D257" s="73"/>
      <c r="E257" s="73"/>
      <c r="F257" s="72"/>
    </row>
    <row r="258" ht="14.25" customHeight="1">
      <c r="A258" s="73"/>
      <c r="B258" s="73"/>
      <c r="C258" s="73"/>
      <c r="D258" s="73"/>
      <c r="E258" s="73"/>
      <c r="F258" s="72"/>
    </row>
    <row r="259" ht="14.25" customHeight="1">
      <c r="A259" s="73"/>
      <c r="B259" s="73"/>
      <c r="C259" s="73"/>
      <c r="D259" s="73"/>
      <c r="E259" s="73"/>
      <c r="F259" s="72"/>
    </row>
    <row r="260" ht="14.25" customHeight="1">
      <c r="A260" s="73"/>
      <c r="B260" s="73"/>
      <c r="C260" s="73"/>
      <c r="D260" s="73"/>
      <c r="E260" s="73"/>
      <c r="F260" s="72"/>
    </row>
    <row r="261" ht="14.25" customHeight="1">
      <c r="A261" s="73"/>
      <c r="B261" s="73"/>
      <c r="C261" s="73"/>
      <c r="D261" s="73"/>
      <c r="E261" s="73"/>
      <c r="F261" s="72"/>
    </row>
    <row r="262" ht="14.25" customHeight="1">
      <c r="A262" s="73"/>
      <c r="B262" s="73"/>
      <c r="C262" s="73"/>
      <c r="D262" s="73"/>
      <c r="E262" s="73"/>
      <c r="F262" s="72"/>
    </row>
    <row r="263" ht="14.25" customHeight="1">
      <c r="A263" s="73"/>
      <c r="B263" s="73"/>
      <c r="C263" s="73"/>
      <c r="D263" s="73"/>
      <c r="E263" s="73"/>
      <c r="F263" s="72"/>
    </row>
    <row r="264" ht="14.25" customHeight="1">
      <c r="A264" s="73"/>
      <c r="B264" s="73"/>
      <c r="C264" s="73"/>
      <c r="D264" s="73"/>
      <c r="E264" s="73"/>
      <c r="F264" s="72"/>
    </row>
    <row r="265" ht="14.25" customHeight="1">
      <c r="A265" s="73"/>
      <c r="B265" s="73"/>
      <c r="C265" s="73"/>
      <c r="D265" s="73"/>
      <c r="E265" s="73"/>
      <c r="F265" s="72"/>
    </row>
    <row r="266" ht="14.25" customHeight="1">
      <c r="A266" s="73"/>
      <c r="B266" s="73"/>
      <c r="C266" s="73"/>
      <c r="D266" s="73"/>
      <c r="E266" s="73"/>
      <c r="F266" s="72"/>
    </row>
    <row r="267" ht="14.25" customHeight="1">
      <c r="A267" s="73"/>
      <c r="B267" s="73"/>
      <c r="C267" s="73"/>
      <c r="D267" s="73"/>
      <c r="E267" s="73"/>
      <c r="F267" s="72"/>
    </row>
    <row r="268" ht="14.25" customHeight="1">
      <c r="A268" s="73"/>
      <c r="B268" s="73"/>
      <c r="C268" s="73"/>
      <c r="D268" s="73"/>
      <c r="E268" s="73"/>
      <c r="F268" s="72"/>
    </row>
    <row r="269" ht="14.25" customHeight="1">
      <c r="A269" s="73"/>
      <c r="B269" s="73"/>
      <c r="C269" s="73"/>
      <c r="D269" s="73"/>
      <c r="E269" s="73"/>
      <c r="F269" s="72"/>
    </row>
    <row r="270" ht="14.25" customHeight="1">
      <c r="A270" s="73"/>
      <c r="B270" s="73"/>
      <c r="C270" s="73"/>
      <c r="D270" s="73"/>
      <c r="E270" s="73"/>
      <c r="F270" s="72"/>
    </row>
    <row r="271" ht="14.25" customHeight="1">
      <c r="A271" s="73"/>
      <c r="B271" s="73"/>
      <c r="C271" s="73"/>
      <c r="D271" s="73"/>
      <c r="E271" s="73"/>
      <c r="F271" s="72"/>
    </row>
    <row r="272" ht="14.25" customHeight="1">
      <c r="A272" s="73"/>
      <c r="B272" s="73"/>
      <c r="C272" s="73"/>
      <c r="D272" s="73"/>
      <c r="E272" s="73"/>
      <c r="F272" s="72"/>
    </row>
    <row r="273" ht="14.25" customHeight="1">
      <c r="A273" s="73"/>
      <c r="B273" s="73"/>
      <c r="C273" s="73"/>
      <c r="D273" s="73"/>
      <c r="E273" s="73"/>
      <c r="F273" s="72"/>
    </row>
    <row r="274" ht="14.25" customHeight="1">
      <c r="A274" s="73"/>
      <c r="B274" s="73"/>
      <c r="C274" s="73"/>
      <c r="D274" s="73"/>
      <c r="E274" s="73"/>
      <c r="F274" s="72"/>
    </row>
    <row r="275" ht="14.25" customHeight="1">
      <c r="A275" s="73"/>
      <c r="B275" s="73"/>
      <c r="C275" s="73"/>
      <c r="D275" s="73"/>
      <c r="E275" s="73"/>
      <c r="F275" s="72"/>
    </row>
    <row r="276" ht="14.25" customHeight="1">
      <c r="A276" s="73"/>
      <c r="B276" s="73"/>
      <c r="C276" s="73"/>
      <c r="D276" s="73"/>
      <c r="E276" s="73"/>
      <c r="F276" s="72"/>
    </row>
    <row r="277" ht="14.25" customHeight="1">
      <c r="A277" s="73"/>
      <c r="B277" s="73"/>
      <c r="C277" s="73"/>
      <c r="D277" s="73"/>
      <c r="E277" s="73"/>
      <c r="F277" s="72"/>
    </row>
    <row r="278" ht="14.25" customHeight="1">
      <c r="A278" s="73"/>
      <c r="B278" s="73"/>
      <c r="C278" s="73"/>
      <c r="D278" s="73"/>
      <c r="E278" s="73"/>
      <c r="F278" s="72"/>
    </row>
    <row r="279" ht="14.25" customHeight="1">
      <c r="A279" s="73"/>
      <c r="B279" s="73"/>
      <c r="C279" s="73"/>
      <c r="D279" s="73"/>
      <c r="E279" s="73"/>
      <c r="F279" s="72"/>
    </row>
    <row r="280" ht="14.25" customHeight="1">
      <c r="A280" s="73"/>
      <c r="B280" s="73"/>
      <c r="C280" s="73"/>
      <c r="D280" s="73"/>
      <c r="E280" s="73"/>
      <c r="F280" s="72"/>
    </row>
    <row r="281" ht="14.25" customHeight="1">
      <c r="A281" s="73"/>
      <c r="B281" s="73"/>
      <c r="C281" s="73"/>
      <c r="D281" s="73"/>
      <c r="E281" s="73"/>
      <c r="F281" s="72"/>
    </row>
    <row r="282" ht="14.25" customHeight="1">
      <c r="A282" s="73"/>
      <c r="B282" s="73"/>
      <c r="C282" s="73"/>
      <c r="D282" s="73"/>
      <c r="E282" s="73"/>
      <c r="F282" s="72"/>
    </row>
    <row r="283" ht="14.25" customHeight="1">
      <c r="A283" s="73"/>
      <c r="B283" s="73"/>
      <c r="C283" s="73"/>
      <c r="D283" s="73"/>
      <c r="E283" s="73"/>
      <c r="F283" s="72"/>
    </row>
    <row r="284" ht="14.25" customHeight="1">
      <c r="A284" s="73"/>
      <c r="B284" s="73"/>
      <c r="C284" s="73"/>
      <c r="D284" s="73"/>
      <c r="E284" s="73"/>
      <c r="F284" s="72"/>
    </row>
    <row r="285" ht="14.25" customHeight="1">
      <c r="A285" s="73"/>
      <c r="B285" s="73"/>
      <c r="C285" s="73"/>
      <c r="D285" s="73"/>
      <c r="E285" s="73"/>
      <c r="F285" s="72"/>
    </row>
    <row r="286" ht="14.25" customHeight="1">
      <c r="A286" s="73"/>
      <c r="B286" s="73"/>
      <c r="C286" s="73"/>
      <c r="D286" s="73"/>
      <c r="E286" s="73"/>
      <c r="F286" s="72"/>
    </row>
    <row r="287" ht="14.25" customHeight="1">
      <c r="A287" s="73"/>
      <c r="B287" s="73"/>
      <c r="C287" s="73"/>
      <c r="D287" s="73"/>
      <c r="E287" s="73"/>
      <c r="F287" s="72"/>
    </row>
    <row r="288" ht="14.25" customHeight="1">
      <c r="A288" s="73"/>
      <c r="B288" s="73"/>
      <c r="C288" s="73"/>
      <c r="D288" s="73"/>
      <c r="E288" s="73"/>
      <c r="F288" s="72"/>
    </row>
    <row r="289" ht="14.25" customHeight="1">
      <c r="A289" s="73"/>
      <c r="B289" s="73"/>
      <c r="C289" s="73"/>
      <c r="D289" s="73"/>
      <c r="E289" s="73"/>
      <c r="F289" s="72"/>
    </row>
    <row r="290" ht="14.25" customHeight="1">
      <c r="A290" s="73"/>
      <c r="B290" s="73"/>
      <c r="C290" s="73"/>
      <c r="D290" s="73"/>
      <c r="E290" s="73"/>
      <c r="F290" s="72"/>
    </row>
    <row r="291" ht="14.25" customHeight="1">
      <c r="A291" s="73"/>
      <c r="B291" s="73"/>
      <c r="C291" s="73"/>
      <c r="D291" s="73"/>
      <c r="E291" s="73"/>
      <c r="F291" s="72"/>
    </row>
    <row r="292" ht="14.25" customHeight="1">
      <c r="A292" s="73"/>
      <c r="B292" s="73"/>
      <c r="C292" s="73"/>
      <c r="D292" s="73"/>
      <c r="E292" s="73"/>
      <c r="F292" s="72"/>
    </row>
    <row r="293" ht="14.25" customHeight="1">
      <c r="A293" s="73"/>
      <c r="B293" s="73"/>
      <c r="C293" s="73"/>
      <c r="D293" s="73"/>
      <c r="E293" s="73"/>
      <c r="F293" s="72"/>
    </row>
    <row r="294" ht="14.25" customHeight="1">
      <c r="A294" s="73"/>
      <c r="B294" s="73"/>
      <c r="C294" s="73"/>
      <c r="D294" s="73"/>
      <c r="E294" s="73"/>
      <c r="F294" s="72"/>
    </row>
    <row r="295" ht="14.25" customHeight="1">
      <c r="A295" s="73"/>
      <c r="B295" s="73"/>
      <c r="C295" s="73"/>
      <c r="D295" s="73"/>
      <c r="E295" s="73"/>
      <c r="F295" s="72"/>
    </row>
    <row r="296" ht="14.25" customHeight="1">
      <c r="A296" s="73"/>
      <c r="B296" s="73"/>
      <c r="C296" s="73"/>
      <c r="D296" s="73"/>
      <c r="E296" s="73"/>
      <c r="F296" s="72"/>
    </row>
    <row r="297" ht="14.25" customHeight="1">
      <c r="A297" s="73"/>
      <c r="B297" s="73"/>
      <c r="C297" s="73"/>
      <c r="D297" s="73"/>
      <c r="E297" s="73"/>
      <c r="F297" s="72"/>
    </row>
    <row r="298" ht="14.25" customHeight="1">
      <c r="A298" s="73"/>
      <c r="B298" s="73"/>
      <c r="C298" s="73"/>
      <c r="D298" s="73"/>
      <c r="E298" s="73"/>
      <c r="F298" s="72"/>
    </row>
    <row r="299" ht="14.25" customHeight="1">
      <c r="A299" s="73"/>
      <c r="B299" s="73"/>
      <c r="C299" s="73"/>
      <c r="D299" s="73"/>
      <c r="E299" s="73"/>
      <c r="F299" s="72"/>
    </row>
    <row r="300" ht="14.25" customHeight="1">
      <c r="A300" s="73"/>
      <c r="B300" s="73"/>
      <c r="C300" s="73"/>
      <c r="D300" s="73"/>
      <c r="E300" s="73"/>
      <c r="F300" s="72"/>
    </row>
    <row r="301" ht="14.25" customHeight="1">
      <c r="A301" s="73"/>
      <c r="B301" s="73"/>
      <c r="C301" s="73"/>
      <c r="D301" s="73"/>
      <c r="E301" s="73"/>
      <c r="F301" s="72"/>
    </row>
    <row r="302" ht="14.25" customHeight="1">
      <c r="A302" s="73"/>
      <c r="B302" s="73"/>
      <c r="C302" s="73"/>
      <c r="D302" s="73"/>
      <c r="E302" s="73"/>
      <c r="F302" s="72"/>
    </row>
    <row r="303" ht="14.25" customHeight="1">
      <c r="A303" s="73"/>
      <c r="B303" s="73"/>
      <c r="C303" s="73"/>
      <c r="D303" s="73"/>
      <c r="E303" s="73"/>
      <c r="F303" s="72"/>
    </row>
    <row r="304" ht="14.25" customHeight="1">
      <c r="A304" s="73"/>
      <c r="B304" s="73"/>
      <c r="C304" s="73"/>
      <c r="D304" s="73"/>
      <c r="E304" s="73"/>
      <c r="F304" s="72"/>
    </row>
    <row r="305" ht="14.25" customHeight="1">
      <c r="A305" s="73"/>
      <c r="B305" s="73"/>
      <c r="C305" s="73"/>
      <c r="D305" s="73"/>
      <c r="E305" s="73"/>
      <c r="F305" s="72"/>
    </row>
    <row r="306" ht="14.25" customHeight="1">
      <c r="A306" s="73"/>
      <c r="B306" s="73"/>
      <c r="C306" s="73"/>
      <c r="D306" s="73"/>
      <c r="E306" s="73"/>
      <c r="F306" s="72"/>
    </row>
    <row r="307" ht="14.25" customHeight="1">
      <c r="A307" s="73"/>
      <c r="B307" s="73"/>
      <c r="C307" s="73"/>
      <c r="D307" s="73"/>
      <c r="E307" s="73"/>
      <c r="F307" s="72"/>
    </row>
    <row r="308" ht="14.25" customHeight="1">
      <c r="A308" s="73"/>
      <c r="B308" s="73"/>
      <c r="C308" s="73"/>
      <c r="D308" s="73"/>
      <c r="E308" s="73"/>
      <c r="F308" s="72"/>
    </row>
    <row r="309" ht="14.25" customHeight="1">
      <c r="A309" s="73"/>
      <c r="B309" s="73"/>
      <c r="C309" s="73"/>
      <c r="D309" s="73"/>
      <c r="E309" s="73"/>
      <c r="F309" s="72"/>
    </row>
    <row r="310" ht="14.25" customHeight="1">
      <c r="A310" s="73"/>
      <c r="B310" s="73"/>
      <c r="C310" s="73"/>
      <c r="D310" s="73"/>
      <c r="E310" s="73"/>
      <c r="F310" s="72"/>
    </row>
    <row r="311" ht="14.25" customHeight="1">
      <c r="A311" s="73"/>
      <c r="B311" s="73"/>
      <c r="C311" s="73"/>
      <c r="D311" s="73"/>
      <c r="E311" s="73"/>
      <c r="F311" s="72"/>
    </row>
    <row r="312" ht="14.25" customHeight="1">
      <c r="A312" s="73"/>
      <c r="B312" s="73"/>
      <c r="C312" s="73"/>
      <c r="D312" s="73"/>
      <c r="E312" s="73"/>
      <c r="F312" s="72"/>
    </row>
    <row r="313" ht="14.25" customHeight="1">
      <c r="A313" s="73"/>
      <c r="B313" s="73"/>
      <c r="C313" s="73"/>
      <c r="D313" s="73"/>
      <c r="E313" s="73"/>
      <c r="F313" s="72"/>
    </row>
    <row r="314" ht="14.25" customHeight="1">
      <c r="A314" s="73"/>
      <c r="B314" s="73"/>
      <c r="C314" s="73"/>
      <c r="D314" s="73"/>
      <c r="E314" s="73"/>
      <c r="F314" s="72"/>
    </row>
    <row r="315" ht="14.25" customHeight="1">
      <c r="A315" s="73"/>
      <c r="B315" s="73"/>
      <c r="C315" s="73"/>
      <c r="D315" s="73"/>
      <c r="E315" s="73"/>
      <c r="F315" s="72"/>
    </row>
    <row r="316" ht="14.25" customHeight="1">
      <c r="A316" s="73"/>
      <c r="B316" s="73"/>
      <c r="C316" s="73"/>
      <c r="D316" s="73"/>
      <c r="E316" s="73"/>
      <c r="F316" s="72"/>
    </row>
    <row r="317" ht="14.25" customHeight="1">
      <c r="A317" s="73"/>
      <c r="B317" s="73"/>
      <c r="C317" s="73"/>
      <c r="D317" s="73"/>
      <c r="E317" s="73"/>
      <c r="F317" s="72"/>
    </row>
    <row r="318" ht="14.25" customHeight="1">
      <c r="A318" s="73"/>
      <c r="B318" s="73"/>
      <c r="C318" s="73"/>
      <c r="D318" s="73"/>
      <c r="E318" s="73"/>
      <c r="F318" s="72"/>
    </row>
    <row r="319" ht="14.25" customHeight="1">
      <c r="A319" s="73"/>
      <c r="B319" s="73"/>
      <c r="C319" s="73"/>
      <c r="D319" s="73"/>
      <c r="E319" s="73"/>
      <c r="F319" s="72"/>
    </row>
    <row r="320" ht="14.25" customHeight="1">
      <c r="A320" s="73"/>
      <c r="B320" s="73"/>
      <c r="C320" s="73"/>
      <c r="D320" s="73"/>
      <c r="E320" s="73"/>
      <c r="F320" s="72"/>
    </row>
    <row r="321" ht="14.25" customHeight="1">
      <c r="A321" s="73"/>
      <c r="B321" s="73"/>
      <c r="C321" s="73"/>
      <c r="D321" s="73"/>
      <c r="E321" s="73"/>
      <c r="F321" s="72"/>
    </row>
    <row r="322" ht="14.25" customHeight="1">
      <c r="A322" s="73"/>
      <c r="B322" s="73"/>
      <c r="C322" s="73"/>
      <c r="D322" s="73"/>
      <c r="E322" s="73"/>
      <c r="F322" s="72"/>
    </row>
    <row r="323" ht="14.25" customHeight="1">
      <c r="A323" s="73"/>
      <c r="B323" s="73"/>
      <c r="C323" s="73"/>
      <c r="D323" s="73"/>
      <c r="E323" s="73"/>
      <c r="F323" s="72"/>
    </row>
    <row r="324" ht="14.25" customHeight="1">
      <c r="A324" s="73"/>
      <c r="B324" s="73"/>
      <c r="C324" s="73"/>
      <c r="D324" s="73"/>
      <c r="E324" s="73"/>
      <c r="F324" s="72"/>
    </row>
    <row r="325" ht="14.25" customHeight="1">
      <c r="A325" s="73"/>
      <c r="B325" s="73"/>
      <c r="C325" s="73"/>
      <c r="D325" s="73"/>
      <c r="E325" s="73"/>
      <c r="F325" s="72"/>
    </row>
    <row r="326" ht="14.25" customHeight="1">
      <c r="A326" s="73"/>
      <c r="B326" s="73"/>
      <c r="C326" s="73"/>
      <c r="D326" s="73"/>
      <c r="E326" s="73"/>
      <c r="F326" s="72"/>
    </row>
    <row r="327" ht="14.25" customHeight="1">
      <c r="A327" s="73"/>
      <c r="B327" s="73"/>
      <c r="C327" s="73"/>
      <c r="D327" s="73"/>
      <c r="E327" s="73"/>
      <c r="F327" s="72"/>
    </row>
    <row r="328" ht="14.25" customHeight="1">
      <c r="A328" s="73"/>
      <c r="B328" s="73"/>
      <c r="C328" s="73"/>
      <c r="D328" s="73"/>
      <c r="E328" s="73"/>
      <c r="F328" s="72"/>
    </row>
    <row r="329" ht="14.25" customHeight="1">
      <c r="A329" s="73"/>
      <c r="B329" s="73"/>
      <c r="C329" s="73"/>
      <c r="D329" s="73"/>
      <c r="E329" s="73"/>
      <c r="F329" s="72"/>
    </row>
    <row r="330" ht="14.25" customHeight="1">
      <c r="A330" s="73"/>
      <c r="B330" s="73"/>
      <c r="C330" s="73"/>
      <c r="D330" s="73"/>
      <c r="E330" s="73"/>
      <c r="F330" s="72"/>
    </row>
    <row r="331" ht="14.25" customHeight="1">
      <c r="A331" s="73"/>
      <c r="B331" s="73"/>
      <c r="C331" s="73"/>
      <c r="D331" s="73"/>
      <c r="E331" s="73"/>
      <c r="F331" s="72"/>
    </row>
    <row r="332" ht="14.25" customHeight="1">
      <c r="A332" s="73"/>
      <c r="B332" s="73"/>
      <c r="C332" s="73"/>
      <c r="D332" s="73"/>
      <c r="E332" s="73"/>
      <c r="F332" s="72"/>
    </row>
    <row r="333" ht="14.25" customHeight="1">
      <c r="A333" s="73"/>
      <c r="B333" s="73"/>
      <c r="C333" s="73"/>
      <c r="D333" s="73"/>
      <c r="E333" s="73"/>
      <c r="F333" s="72"/>
    </row>
    <row r="334" ht="14.25" customHeight="1">
      <c r="A334" s="73"/>
      <c r="B334" s="73"/>
      <c r="C334" s="73"/>
      <c r="D334" s="73"/>
      <c r="E334" s="73"/>
      <c r="F334" s="72"/>
    </row>
    <row r="335" ht="14.25" customHeight="1">
      <c r="A335" s="73"/>
      <c r="B335" s="73"/>
      <c r="C335" s="73"/>
      <c r="D335" s="73"/>
      <c r="E335" s="73"/>
      <c r="F335" s="72"/>
    </row>
    <row r="336" ht="14.25" customHeight="1">
      <c r="A336" s="73"/>
      <c r="B336" s="73"/>
      <c r="C336" s="73"/>
      <c r="D336" s="73"/>
      <c r="E336" s="73"/>
      <c r="F336" s="72"/>
    </row>
    <row r="337" ht="14.25" customHeight="1">
      <c r="A337" s="73"/>
      <c r="B337" s="73"/>
      <c r="C337" s="73"/>
      <c r="D337" s="73"/>
      <c r="E337" s="73"/>
      <c r="F337" s="72"/>
    </row>
    <row r="338" ht="14.25" customHeight="1">
      <c r="A338" s="73"/>
      <c r="B338" s="73"/>
      <c r="C338" s="73"/>
      <c r="D338" s="73"/>
      <c r="E338" s="73"/>
      <c r="F338" s="72"/>
    </row>
    <row r="339" ht="14.25" customHeight="1">
      <c r="A339" s="73"/>
      <c r="B339" s="73"/>
      <c r="C339" s="73"/>
      <c r="D339" s="73"/>
      <c r="E339" s="73"/>
      <c r="F339" s="72"/>
    </row>
    <row r="340" ht="14.25" customHeight="1">
      <c r="A340" s="73"/>
      <c r="B340" s="73"/>
      <c r="C340" s="73"/>
      <c r="D340" s="73"/>
      <c r="E340" s="73"/>
      <c r="F340" s="72"/>
    </row>
    <row r="341" ht="14.25" customHeight="1">
      <c r="A341" s="73"/>
      <c r="B341" s="73"/>
      <c r="C341" s="73"/>
      <c r="D341" s="73"/>
      <c r="E341" s="73"/>
      <c r="F341" s="72"/>
    </row>
    <row r="342" ht="14.25" customHeight="1">
      <c r="A342" s="73"/>
      <c r="B342" s="73"/>
      <c r="C342" s="73"/>
      <c r="D342" s="73"/>
      <c r="E342" s="73"/>
      <c r="F342" s="72"/>
    </row>
    <row r="343" ht="14.25" customHeight="1">
      <c r="A343" s="73"/>
      <c r="B343" s="73"/>
      <c r="C343" s="73"/>
      <c r="D343" s="73"/>
      <c r="E343" s="73"/>
      <c r="F343" s="72"/>
    </row>
    <row r="344" ht="14.25" customHeight="1">
      <c r="A344" s="73"/>
      <c r="B344" s="73"/>
      <c r="C344" s="73"/>
      <c r="D344" s="73"/>
      <c r="E344" s="73"/>
      <c r="F344" s="72"/>
    </row>
    <row r="345" ht="14.25" customHeight="1">
      <c r="A345" s="73"/>
      <c r="B345" s="73"/>
      <c r="C345" s="73"/>
      <c r="D345" s="73"/>
      <c r="E345" s="73"/>
      <c r="F345" s="72"/>
    </row>
    <row r="346" ht="14.25" customHeight="1">
      <c r="A346" s="73"/>
      <c r="B346" s="73"/>
      <c r="C346" s="73"/>
      <c r="D346" s="73"/>
      <c r="E346" s="73"/>
      <c r="F346" s="72"/>
    </row>
    <row r="347" ht="14.25" customHeight="1">
      <c r="A347" s="73"/>
      <c r="B347" s="73"/>
      <c r="C347" s="73"/>
      <c r="D347" s="73"/>
      <c r="E347" s="73"/>
      <c r="F347" s="72"/>
    </row>
    <row r="348" ht="14.25" customHeight="1">
      <c r="A348" s="73"/>
      <c r="B348" s="73"/>
      <c r="C348" s="73"/>
      <c r="D348" s="73"/>
      <c r="E348" s="73"/>
      <c r="F348" s="72"/>
    </row>
    <row r="349" ht="14.25" customHeight="1">
      <c r="A349" s="73"/>
      <c r="B349" s="73"/>
      <c r="C349" s="73"/>
      <c r="D349" s="73"/>
      <c r="E349" s="73"/>
      <c r="F349" s="72"/>
    </row>
    <row r="350" ht="14.25" customHeight="1">
      <c r="A350" s="73"/>
      <c r="B350" s="73"/>
      <c r="C350" s="73"/>
      <c r="D350" s="73"/>
      <c r="E350" s="73"/>
      <c r="F350" s="72"/>
    </row>
    <row r="351" ht="14.25" customHeight="1">
      <c r="A351" s="73"/>
      <c r="B351" s="73"/>
      <c r="C351" s="73"/>
      <c r="D351" s="73"/>
      <c r="E351" s="73"/>
      <c r="F351" s="72"/>
    </row>
    <row r="352" ht="14.25" customHeight="1">
      <c r="A352" s="73"/>
      <c r="B352" s="73"/>
      <c r="C352" s="73"/>
      <c r="D352" s="73"/>
      <c r="E352" s="73"/>
      <c r="F352" s="72"/>
    </row>
    <row r="353" ht="14.25" customHeight="1">
      <c r="A353" s="73"/>
      <c r="B353" s="73"/>
      <c r="C353" s="73"/>
      <c r="D353" s="73"/>
      <c r="E353" s="73"/>
      <c r="F353" s="72"/>
    </row>
    <row r="354" ht="14.25" customHeight="1">
      <c r="A354" s="73"/>
      <c r="B354" s="73"/>
      <c r="C354" s="73"/>
      <c r="D354" s="73"/>
      <c r="E354" s="73"/>
      <c r="F354" s="72"/>
    </row>
    <row r="355" ht="14.25" customHeight="1">
      <c r="A355" s="73"/>
      <c r="B355" s="73"/>
      <c r="C355" s="73"/>
      <c r="D355" s="73"/>
      <c r="E355" s="73"/>
      <c r="F355" s="72"/>
    </row>
    <row r="356" ht="14.25" customHeight="1">
      <c r="A356" s="73"/>
      <c r="B356" s="73"/>
      <c r="C356" s="73"/>
      <c r="D356" s="73"/>
      <c r="E356" s="73"/>
      <c r="F356" s="72"/>
    </row>
    <row r="357" ht="14.25" customHeight="1">
      <c r="A357" s="73"/>
      <c r="B357" s="73"/>
      <c r="C357" s="73"/>
      <c r="D357" s="73"/>
      <c r="E357" s="73"/>
      <c r="F357" s="72"/>
    </row>
    <row r="358" ht="14.25" customHeight="1">
      <c r="A358" s="73"/>
      <c r="B358" s="73"/>
      <c r="C358" s="73"/>
      <c r="D358" s="73"/>
      <c r="E358" s="73"/>
      <c r="F358" s="72"/>
    </row>
    <row r="359" ht="14.25" customHeight="1">
      <c r="A359" s="73"/>
      <c r="B359" s="73"/>
      <c r="C359" s="73"/>
      <c r="D359" s="73"/>
      <c r="E359" s="73"/>
      <c r="F359" s="72"/>
    </row>
    <row r="360" ht="14.25" customHeight="1">
      <c r="A360" s="73"/>
      <c r="B360" s="73"/>
      <c r="C360" s="73"/>
      <c r="D360" s="73"/>
      <c r="E360" s="73"/>
      <c r="F360" s="72"/>
    </row>
    <row r="361" ht="14.25" customHeight="1">
      <c r="A361" s="73"/>
      <c r="B361" s="73"/>
      <c r="C361" s="73"/>
      <c r="D361" s="73"/>
      <c r="E361" s="73"/>
      <c r="F361" s="72"/>
    </row>
    <row r="362" ht="14.25" customHeight="1">
      <c r="A362" s="73"/>
      <c r="B362" s="73"/>
      <c r="C362" s="73"/>
      <c r="D362" s="73"/>
      <c r="E362" s="73"/>
      <c r="F362" s="72"/>
    </row>
    <row r="363" ht="14.25" customHeight="1">
      <c r="A363" s="73"/>
      <c r="B363" s="73"/>
      <c r="C363" s="73"/>
      <c r="D363" s="73"/>
      <c r="E363" s="73"/>
      <c r="F363" s="72"/>
    </row>
    <row r="364" ht="14.25" customHeight="1">
      <c r="A364" s="73"/>
      <c r="B364" s="73"/>
      <c r="C364" s="73"/>
      <c r="D364" s="73"/>
      <c r="E364" s="73"/>
      <c r="F364" s="72"/>
    </row>
    <row r="365" ht="14.25" customHeight="1">
      <c r="A365" s="73"/>
      <c r="B365" s="73"/>
      <c r="C365" s="73"/>
      <c r="D365" s="73"/>
      <c r="E365" s="73"/>
      <c r="F365" s="72"/>
    </row>
    <row r="366" ht="14.25" customHeight="1">
      <c r="A366" s="73"/>
      <c r="B366" s="73"/>
      <c r="C366" s="73"/>
      <c r="D366" s="73"/>
      <c r="E366" s="73"/>
      <c r="F366" s="72"/>
    </row>
    <row r="367" ht="14.25" customHeight="1">
      <c r="A367" s="73"/>
      <c r="B367" s="73"/>
      <c r="C367" s="73"/>
      <c r="D367" s="73"/>
      <c r="E367" s="73"/>
      <c r="F367" s="72"/>
    </row>
    <row r="368" ht="14.25" customHeight="1">
      <c r="A368" s="73"/>
      <c r="B368" s="73"/>
      <c r="C368" s="73"/>
      <c r="D368" s="73"/>
      <c r="E368" s="73"/>
      <c r="F368" s="72"/>
    </row>
    <row r="369" ht="14.25" customHeight="1">
      <c r="A369" s="73"/>
      <c r="B369" s="73"/>
      <c r="C369" s="73"/>
      <c r="D369" s="73"/>
      <c r="E369" s="73"/>
      <c r="F369" s="72"/>
    </row>
    <row r="370" ht="14.25" customHeight="1">
      <c r="A370" s="73"/>
      <c r="B370" s="73"/>
      <c r="C370" s="73"/>
      <c r="D370" s="73"/>
      <c r="E370" s="73"/>
      <c r="F370" s="72"/>
    </row>
    <row r="371" ht="14.25" customHeight="1">
      <c r="A371" s="73"/>
      <c r="B371" s="73"/>
      <c r="C371" s="73"/>
      <c r="D371" s="73"/>
      <c r="E371" s="73"/>
      <c r="F371" s="72"/>
    </row>
    <row r="372" ht="14.25" customHeight="1">
      <c r="A372" s="73"/>
      <c r="B372" s="73"/>
      <c r="C372" s="73"/>
      <c r="D372" s="73"/>
      <c r="E372" s="73"/>
      <c r="F372" s="72"/>
    </row>
    <row r="373" ht="14.25" customHeight="1">
      <c r="A373" s="73"/>
      <c r="B373" s="73"/>
      <c r="C373" s="73"/>
      <c r="D373" s="73"/>
      <c r="E373" s="73"/>
      <c r="F373" s="72"/>
    </row>
    <row r="374" ht="14.25" customHeight="1">
      <c r="A374" s="73"/>
      <c r="B374" s="73"/>
      <c r="C374" s="73"/>
      <c r="D374" s="73"/>
      <c r="E374" s="73"/>
      <c r="F374" s="72"/>
    </row>
    <row r="375" ht="14.25" customHeight="1">
      <c r="A375" s="73"/>
      <c r="B375" s="73"/>
      <c r="C375" s="73"/>
      <c r="D375" s="73"/>
      <c r="E375" s="73"/>
      <c r="F375" s="72"/>
    </row>
    <row r="376" ht="14.25" customHeight="1">
      <c r="A376" s="73"/>
      <c r="B376" s="73"/>
      <c r="C376" s="73"/>
      <c r="D376" s="73"/>
      <c r="E376" s="73"/>
      <c r="F376" s="72"/>
    </row>
    <row r="377" ht="14.25" customHeight="1">
      <c r="A377" s="73"/>
      <c r="B377" s="73"/>
      <c r="C377" s="73"/>
      <c r="D377" s="73"/>
      <c r="E377" s="73"/>
      <c r="F377" s="72"/>
    </row>
    <row r="378" ht="14.25" customHeight="1">
      <c r="A378" s="73"/>
      <c r="B378" s="73"/>
      <c r="C378" s="73"/>
      <c r="D378" s="73"/>
      <c r="E378" s="73"/>
      <c r="F378" s="72"/>
    </row>
    <row r="379" ht="14.25" customHeight="1">
      <c r="A379" s="73"/>
      <c r="B379" s="73"/>
      <c r="C379" s="73"/>
      <c r="D379" s="73"/>
      <c r="E379" s="73"/>
      <c r="F379" s="72"/>
    </row>
    <row r="380" ht="14.25" customHeight="1">
      <c r="A380" s="73"/>
      <c r="B380" s="73"/>
      <c r="C380" s="73"/>
      <c r="D380" s="73"/>
      <c r="E380" s="73"/>
      <c r="F380" s="72"/>
    </row>
    <row r="381" ht="14.25" customHeight="1">
      <c r="A381" s="73"/>
      <c r="B381" s="73"/>
      <c r="C381" s="73"/>
      <c r="D381" s="73"/>
      <c r="E381" s="73"/>
      <c r="F381" s="72"/>
    </row>
    <row r="382" ht="14.25" customHeight="1">
      <c r="A382" s="73"/>
      <c r="B382" s="73"/>
      <c r="C382" s="73"/>
      <c r="D382" s="73"/>
      <c r="E382" s="73"/>
      <c r="F382" s="72"/>
    </row>
    <row r="383" ht="14.25" customHeight="1">
      <c r="A383" s="73"/>
      <c r="B383" s="73"/>
      <c r="C383" s="73"/>
      <c r="D383" s="73"/>
      <c r="E383" s="73"/>
      <c r="F383" s="72"/>
    </row>
    <row r="384" ht="14.25" customHeight="1">
      <c r="A384" s="73"/>
      <c r="B384" s="73"/>
      <c r="C384" s="73"/>
      <c r="D384" s="73"/>
      <c r="E384" s="73"/>
      <c r="F384" s="72"/>
    </row>
    <row r="385" ht="14.25" customHeight="1">
      <c r="A385" s="73"/>
      <c r="B385" s="73"/>
      <c r="C385" s="73"/>
      <c r="D385" s="73"/>
      <c r="E385" s="73"/>
      <c r="F385" s="72"/>
    </row>
    <row r="386" ht="14.25" customHeight="1">
      <c r="A386" s="73"/>
      <c r="B386" s="73"/>
      <c r="C386" s="73"/>
      <c r="D386" s="73"/>
      <c r="E386" s="73"/>
      <c r="F386" s="72"/>
    </row>
    <row r="387" ht="14.25" customHeight="1">
      <c r="A387" s="73"/>
      <c r="B387" s="73"/>
      <c r="C387" s="73"/>
      <c r="D387" s="73"/>
      <c r="E387" s="73"/>
      <c r="F387" s="72"/>
    </row>
    <row r="388" ht="14.25" customHeight="1">
      <c r="A388" s="73"/>
      <c r="B388" s="73"/>
      <c r="C388" s="73"/>
      <c r="D388" s="73"/>
      <c r="E388" s="73"/>
      <c r="F388" s="72"/>
    </row>
    <row r="389" ht="14.25" customHeight="1">
      <c r="A389" s="73"/>
      <c r="B389" s="73"/>
      <c r="C389" s="73"/>
      <c r="D389" s="73"/>
      <c r="E389" s="73"/>
      <c r="F389" s="72"/>
    </row>
    <row r="390" ht="14.25" customHeight="1">
      <c r="A390" s="73"/>
      <c r="B390" s="73"/>
      <c r="C390" s="73"/>
      <c r="D390" s="73"/>
      <c r="E390" s="73"/>
      <c r="F390" s="72"/>
    </row>
    <row r="391" ht="14.25" customHeight="1">
      <c r="A391" s="73"/>
      <c r="B391" s="73"/>
      <c r="C391" s="73"/>
      <c r="D391" s="73"/>
      <c r="E391" s="73"/>
      <c r="F391" s="72"/>
    </row>
    <row r="392" ht="14.25" customHeight="1">
      <c r="A392" s="73"/>
      <c r="B392" s="73"/>
      <c r="C392" s="73"/>
      <c r="D392" s="73"/>
      <c r="E392" s="73"/>
      <c r="F392" s="72"/>
    </row>
    <row r="393" ht="14.25" customHeight="1">
      <c r="A393" s="73"/>
      <c r="B393" s="73"/>
      <c r="C393" s="73"/>
      <c r="D393" s="73"/>
      <c r="E393" s="73"/>
      <c r="F393" s="72"/>
    </row>
    <row r="394" ht="14.25" customHeight="1">
      <c r="A394" s="73"/>
      <c r="B394" s="73"/>
      <c r="C394" s="73"/>
      <c r="D394" s="73"/>
      <c r="E394" s="73"/>
      <c r="F394" s="72"/>
    </row>
    <row r="395" ht="14.25" customHeight="1">
      <c r="A395" s="73"/>
      <c r="B395" s="73"/>
      <c r="C395" s="73"/>
      <c r="D395" s="73"/>
      <c r="E395" s="73"/>
      <c r="F395" s="72"/>
    </row>
    <row r="396" ht="14.25" customHeight="1">
      <c r="A396" s="73"/>
      <c r="B396" s="73"/>
      <c r="C396" s="73"/>
      <c r="D396" s="73"/>
      <c r="E396" s="73"/>
      <c r="F396" s="72"/>
    </row>
    <row r="397" ht="14.25" customHeight="1">
      <c r="A397" s="73"/>
      <c r="B397" s="73"/>
      <c r="C397" s="73"/>
      <c r="D397" s="73"/>
      <c r="E397" s="73"/>
      <c r="F397" s="72"/>
    </row>
    <row r="398" ht="14.25" customHeight="1">
      <c r="A398" s="73"/>
      <c r="B398" s="73"/>
      <c r="C398" s="73"/>
      <c r="D398" s="73"/>
      <c r="E398" s="73"/>
      <c r="F398" s="72"/>
    </row>
    <row r="399" ht="14.25" customHeight="1">
      <c r="A399" s="73"/>
      <c r="B399" s="73"/>
      <c r="C399" s="73"/>
      <c r="D399" s="73"/>
      <c r="E399" s="73"/>
      <c r="F399" s="72"/>
    </row>
    <row r="400" ht="14.25" customHeight="1">
      <c r="A400" s="73"/>
      <c r="B400" s="73"/>
      <c r="C400" s="73"/>
      <c r="D400" s="73"/>
      <c r="E400" s="73"/>
      <c r="F400" s="72"/>
    </row>
    <row r="401" ht="14.25" customHeight="1">
      <c r="A401" s="73"/>
      <c r="B401" s="73"/>
      <c r="C401" s="73"/>
      <c r="D401" s="73"/>
      <c r="E401" s="73"/>
      <c r="F401" s="72"/>
    </row>
    <row r="402" ht="14.25" customHeight="1">
      <c r="A402" s="73"/>
      <c r="B402" s="73"/>
      <c r="C402" s="73"/>
      <c r="D402" s="73"/>
      <c r="E402" s="73"/>
      <c r="F402" s="72"/>
    </row>
    <row r="403" ht="14.25" customHeight="1">
      <c r="A403" s="73"/>
      <c r="B403" s="73"/>
      <c r="C403" s="73"/>
      <c r="D403" s="73"/>
      <c r="E403" s="73"/>
      <c r="F403" s="72"/>
    </row>
    <row r="404" ht="14.25" customHeight="1">
      <c r="A404" s="73"/>
      <c r="B404" s="73"/>
      <c r="C404" s="73"/>
      <c r="D404" s="73"/>
      <c r="E404" s="73"/>
      <c r="F404" s="72"/>
    </row>
    <row r="405" ht="14.25" customHeight="1">
      <c r="A405" s="73"/>
      <c r="B405" s="73"/>
      <c r="C405" s="73"/>
      <c r="D405" s="73"/>
      <c r="E405" s="73"/>
      <c r="F405" s="72"/>
    </row>
    <row r="406" ht="14.25" customHeight="1">
      <c r="A406" s="73"/>
      <c r="B406" s="73"/>
      <c r="C406" s="73"/>
      <c r="D406" s="73"/>
      <c r="E406" s="73"/>
      <c r="F406" s="72"/>
    </row>
    <row r="407" ht="14.25" customHeight="1">
      <c r="A407" s="73"/>
      <c r="B407" s="73"/>
      <c r="C407" s="73"/>
      <c r="D407" s="73"/>
      <c r="E407" s="73"/>
      <c r="F407" s="72"/>
    </row>
    <row r="408" ht="14.25" customHeight="1">
      <c r="A408" s="73"/>
      <c r="B408" s="73"/>
      <c r="C408" s="73"/>
      <c r="D408" s="73"/>
      <c r="E408" s="73"/>
      <c r="F408" s="72"/>
    </row>
    <row r="409" ht="14.25" customHeight="1">
      <c r="A409" s="73"/>
      <c r="B409" s="73"/>
      <c r="C409" s="73"/>
      <c r="D409" s="73"/>
      <c r="E409" s="73"/>
      <c r="F409" s="72"/>
    </row>
    <row r="410" ht="14.25" customHeight="1">
      <c r="A410" s="73"/>
      <c r="B410" s="73"/>
      <c r="C410" s="73"/>
      <c r="D410" s="73"/>
      <c r="E410" s="73"/>
      <c r="F410" s="72"/>
    </row>
    <row r="411" ht="14.25" customHeight="1">
      <c r="A411" s="73"/>
      <c r="B411" s="73"/>
      <c r="C411" s="73"/>
      <c r="D411" s="73"/>
      <c r="E411" s="73"/>
      <c r="F411" s="72"/>
    </row>
    <row r="412" ht="14.25" customHeight="1">
      <c r="A412" s="73"/>
      <c r="B412" s="73"/>
      <c r="C412" s="73"/>
      <c r="D412" s="73"/>
      <c r="E412" s="73"/>
      <c r="F412" s="72"/>
    </row>
    <row r="413" ht="14.25" customHeight="1">
      <c r="A413" s="73"/>
      <c r="B413" s="73"/>
      <c r="C413" s="73"/>
      <c r="D413" s="73"/>
      <c r="E413" s="73"/>
      <c r="F413" s="72"/>
    </row>
    <row r="414" ht="14.25" customHeight="1">
      <c r="A414" s="73"/>
      <c r="B414" s="73"/>
      <c r="C414" s="73"/>
      <c r="D414" s="73"/>
      <c r="E414" s="73"/>
      <c r="F414" s="72"/>
    </row>
    <row r="415" ht="14.25" customHeight="1">
      <c r="A415" s="73"/>
      <c r="B415" s="73"/>
      <c r="C415" s="73"/>
      <c r="D415" s="73"/>
      <c r="E415" s="73"/>
      <c r="F415" s="72"/>
    </row>
    <row r="416" ht="14.25" customHeight="1">
      <c r="A416" s="73"/>
      <c r="B416" s="73"/>
      <c r="C416" s="73"/>
      <c r="D416" s="73"/>
      <c r="E416" s="73"/>
      <c r="F416" s="72"/>
    </row>
    <row r="417" ht="14.25" customHeight="1">
      <c r="A417" s="73"/>
      <c r="B417" s="73"/>
      <c r="C417" s="73"/>
      <c r="D417" s="73"/>
      <c r="E417" s="73"/>
      <c r="F417" s="72"/>
    </row>
    <row r="418" ht="14.25" customHeight="1">
      <c r="A418" s="73"/>
      <c r="B418" s="73"/>
      <c r="C418" s="73"/>
      <c r="D418" s="73"/>
      <c r="E418" s="73"/>
      <c r="F418" s="72"/>
    </row>
    <row r="419" ht="14.25" customHeight="1">
      <c r="A419" s="73"/>
      <c r="B419" s="73"/>
      <c r="C419" s="73"/>
      <c r="D419" s="73"/>
      <c r="E419" s="73"/>
      <c r="F419" s="72"/>
    </row>
    <row r="420" ht="14.25" customHeight="1">
      <c r="A420" s="73"/>
      <c r="B420" s="73"/>
      <c r="C420" s="73"/>
      <c r="D420" s="73"/>
      <c r="E420" s="73"/>
      <c r="F420" s="72"/>
    </row>
    <row r="421" ht="14.25" customHeight="1">
      <c r="A421" s="73"/>
      <c r="B421" s="73"/>
      <c r="C421" s="73"/>
      <c r="D421" s="73"/>
      <c r="E421" s="73"/>
      <c r="F421" s="72"/>
    </row>
    <row r="422" ht="14.25" customHeight="1">
      <c r="A422" s="73"/>
      <c r="B422" s="73"/>
      <c r="C422" s="73"/>
      <c r="D422" s="73"/>
      <c r="E422" s="73"/>
      <c r="F422" s="72"/>
    </row>
    <row r="423" ht="14.25" customHeight="1">
      <c r="A423" s="73"/>
      <c r="B423" s="73"/>
      <c r="C423" s="73"/>
      <c r="D423" s="73"/>
      <c r="E423" s="73"/>
      <c r="F423" s="72"/>
    </row>
    <row r="424" ht="14.25" customHeight="1">
      <c r="A424" s="73"/>
      <c r="B424" s="73"/>
      <c r="C424" s="73"/>
      <c r="D424" s="73"/>
      <c r="E424" s="73"/>
      <c r="F424" s="72"/>
    </row>
    <row r="425" ht="14.25" customHeight="1">
      <c r="A425" s="73"/>
      <c r="B425" s="73"/>
      <c r="C425" s="73"/>
      <c r="D425" s="73"/>
      <c r="E425" s="73"/>
      <c r="F425" s="72"/>
    </row>
    <row r="426" ht="14.25" customHeight="1">
      <c r="A426" s="73"/>
      <c r="B426" s="73"/>
      <c r="C426" s="73"/>
      <c r="D426" s="73"/>
      <c r="E426" s="73"/>
      <c r="F426" s="72"/>
    </row>
    <row r="427" ht="14.25" customHeight="1">
      <c r="A427" s="73"/>
      <c r="B427" s="73"/>
      <c r="C427" s="73"/>
      <c r="D427" s="73"/>
      <c r="E427" s="73"/>
      <c r="F427" s="72"/>
    </row>
    <row r="428" ht="14.25" customHeight="1">
      <c r="A428" s="73"/>
      <c r="B428" s="73"/>
      <c r="C428" s="73"/>
      <c r="D428" s="73"/>
      <c r="E428" s="73"/>
      <c r="F428" s="72"/>
    </row>
    <row r="429" ht="14.25" customHeight="1">
      <c r="A429" s="73"/>
      <c r="B429" s="73"/>
      <c r="C429" s="73"/>
      <c r="D429" s="73"/>
      <c r="E429" s="73"/>
      <c r="F429" s="72"/>
    </row>
    <row r="430" ht="14.25" customHeight="1">
      <c r="A430" s="73"/>
      <c r="B430" s="73"/>
      <c r="C430" s="73"/>
      <c r="D430" s="73"/>
      <c r="E430" s="73"/>
      <c r="F430" s="72"/>
    </row>
    <row r="431" ht="14.25" customHeight="1">
      <c r="A431" s="73"/>
      <c r="B431" s="73"/>
      <c r="C431" s="73"/>
      <c r="D431" s="73"/>
      <c r="E431" s="73"/>
      <c r="F431" s="72"/>
    </row>
    <row r="432" ht="14.25" customHeight="1">
      <c r="A432" s="73"/>
      <c r="B432" s="73"/>
      <c r="C432" s="73"/>
      <c r="D432" s="73"/>
      <c r="E432" s="73"/>
      <c r="F432" s="72"/>
    </row>
    <row r="433" ht="14.25" customHeight="1">
      <c r="A433" s="73"/>
      <c r="B433" s="73"/>
      <c r="C433" s="73"/>
      <c r="D433" s="73"/>
      <c r="E433" s="73"/>
      <c r="F433" s="72"/>
    </row>
    <row r="434" ht="14.25" customHeight="1">
      <c r="A434" s="73"/>
      <c r="B434" s="73"/>
      <c r="C434" s="73"/>
      <c r="D434" s="73"/>
      <c r="E434" s="73"/>
      <c r="F434" s="72"/>
    </row>
    <row r="435" ht="14.25" customHeight="1">
      <c r="A435" s="73"/>
      <c r="B435" s="73"/>
      <c r="C435" s="73"/>
      <c r="D435" s="73"/>
      <c r="E435" s="73"/>
      <c r="F435" s="72"/>
    </row>
    <row r="436" ht="14.25" customHeight="1">
      <c r="A436" s="73"/>
      <c r="B436" s="73"/>
      <c r="C436" s="73"/>
      <c r="D436" s="73"/>
      <c r="E436" s="73"/>
      <c r="F436" s="72"/>
    </row>
    <row r="437" ht="14.25" customHeight="1">
      <c r="A437" s="73"/>
      <c r="B437" s="73"/>
      <c r="C437" s="73"/>
      <c r="D437" s="73"/>
      <c r="E437" s="73"/>
      <c r="F437" s="72"/>
    </row>
    <row r="438" ht="14.25" customHeight="1">
      <c r="A438" s="73"/>
      <c r="B438" s="73"/>
      <c r="C438" s="73"/>
      <c r="D438" s="73"/>
      <c r="E438" s="73"/>
      <c r="F438" s="72"/>
    </row>
    <row r="439" ht="14.25" customHeight="1">
      <c r="A439" s="73"/>
      <c r="B439" s="73"/>
      <c r="C439" s="73"/>
      <c r="D439" s="73"/>
      <c r="E439" s="73"/>
      <c r="F439" s="72"/>
    </row>
    <row r="440" ht="14.25" customHeight="1">
      <c r="A440" s="73"/>
      <c r="B440" s="73"/>
      <c r="C440" s="73"/>
      <c r="D440" s="73"/>
      <c r="E440" s="73"/>
      <c r="F440" s="72"/>
    </row>
    <row r="441" ht="14.25" customHeight="1">
      <c r="A441" s="73"/>
      <c r="B441" s="73"/>
      <c r="C441" s="73"/>
      <c r="D441" s="73"/>
      <c r="E441" s="73"/>
      <c r="F441" s="72"/>
    </row>
    <row r="442" ht="14.25" customHeight="1">
      <c r="A442" s="73"/>
      <c r="B442" s="73"/>
      <c r="C442" s="73"/>
      <c r="D442" s="73"/>
      <c r="E442" s="73"/>
      <c r="F442" s="72"/>
    </row>
    <row r="443" ht="14.25" customHeight="1">
      <c r="A443" s="73"/>
      <c r="B443" s="73"/>
      <c r="C443" s="73"/>
      <c r="D443" s="73"/>
      <c r="E443" s="73"/>
      <c r="F443" s="72"/>
    </row>
    <row r="444" ht="14.25" customHeight="1">
      <c r="A444" s="73"/>
      <c r="B444" s="73"/>
      <c r="C444" s="73"/>
      <c r="D444" s="73"/>
      <c r="E444" s="73"/>
      <c r="F444" s="72"/>
    </row>
    <row r="445" ht="14.25" customHeight="1">
      <c r="A445" s="73"/>
      <c r="B445" s="73"/>
      <c r="C445" s="73"/>
      <c r="D445" s="73"/>
      <c r="E445" s="73"/>
      <c r="F445" s="72"/>
    </row>
    <row r="446" ht="14.25" customHeight="1">
      <c r="A446" s="73"/>
      <c r="B446" s="73"/>
      <c r="C446" s="73"/>
      <c r="D446" s="73"/>
      <c r="E446" s="73"/>
      <c r="F446" s="72"/>
    </row>
    <row r="447" ht="14.25" customHeight="1">
      <c r="A447" s="73"/>
      <c r="B447" s="73"/>
      <c r="C447" s="73"/>
      <c r="D447" s="73"/>
      <c r="E447" s="73"/>
      <c r="F447" s="72"/>
    </row>
    <row r="448" ht="14.25" customHeight="1">
      <c r="A448" s="73"/>
      <c r="B448" s="73"/>
      <c r="C448" s="73"/>
      <c r="D448" s="73"/>
      <c r="E448" s="73"/>
      <c r="F448" s="72"/>
    </row>
    <row r="449" ht="14.25" customHeight="1">
      <c r="A449" s="73"/>
      <c r="B449" s="73"/>
      <c r="C449" s="73"/>
      <c r="D449" s="73"/>
      <c r="E449" s="73"/>
      <c r="F449" s="72"/>
    </row>
    <row r="450" ht="14.25" customHeight="1">
      <c r="A450" s="73"/>
      <c r="B450" s="73"/>
      <c r="C450" s="73"/>
      <c r="D450" s="73"/>
      <c r="E450" s="73"/>
      <c r="F450" s="72"/>
    </row>
    <row r="451" ht="14.25" customHeight="1">
      <c r="A451" s="73"/>
      <c r="B451" s="73"/>
      <c r="C451" s="73"/>
      <c r="D451" s="73"/>
      <c r="E451" s="73"/>
      <c r="F451" s="72"/>
    </row>
    <row r="452" ht="14.25" customHeight="1">
      <c r="A452" s="73"/>
      <c r="B452" s="73"/>
      <c r="C452" s="73"/>
      <c r="D452" s="73"/>
      <c r="E452" s="73"/>
      <c r="F452" s="72"/>
    </row>
    <row r="453" ht="14.25" customHeight="1">
      <c r="A453" s="73"/>
      <c r="B453" s="73"/>
      <c r="C453" s="73"/>
      <c r="D453" s="73"/>
      <c r="E453" s="73"/>
      <c r="F453" s="72"/>
    </row>
    <row r="454" ht="14.25" customHeight="1">
      <c r="A454" s="73"/>
      <c r="B454" s="73"/>
      <c r="C454" s="73"/>
      <c r="D454" s="73"/>
      <c r="E454" s="73"/>
      <c r="F454" s="72"/>
    </row>
    <row r="455" ht="14.25" customHeight="1">
      <c r="A455" s="73"/>
      <c r="B455" s="73"/>
      <c r="C455" s="73"/>
      <c r="D455" s="73"/>
      <c r="E455" s="73"/>
      <c r="F455" s="72"/>
    </row>
    <row r="456" ht="14.25" customHeight="1">
      <c r="A456" s="73"/>
      <c r="B456" s="73"/>
      <c r="C456" s="73"/>
      <c r="D456" s="73"/>
      <c r="E456" s="73"/>
      <c r="F456" s="72"/>
    </row>
    <row r="457" ht="14.25" customHeight="1">
      <c r="A457" s="73"/>
      <c r="B457" s="73"/>
      <c r="C457" s="73"/>
      <c r="D457" s="73"/>
      <c r="E457" s="73"/>
      <c r="F457" s="72"/>
    </row>
    <row r="458" ht="14.25" customHeight="1">
      <c r="A458" s="73"/>
      <c r="B458" s="73"/>
      <c r="C458" s="73"/>
      <c r="D458" s="73"/>
      <c r="E458" s="73"/>
      <c r="F458" s="72"/>
    </row>
    <row r="459" ht="14.25" customHeight="1">
      <c r="A459" s="73"/>
      <c r="B459" s="73"/>
      <c r="C459" s="73"/>
      <c r="D459" s="73"/>
      <c r="E459" s="73"/>
      <c r="F459" s="72"/>
    </row>
    <row r="460" ht="14.25" customHeight="1">
      <c r="A460" s="73"/>
      <c r="B460" s="73"/>
      <c r="C460" s="73"/>
      <c r="D460" s="73"/>
      <c r="E460" s="73"/>
      <c r="F460" s="72"/>
    </row>
    <row r="461" ht="14.25" customHeight="1">
      <c r="A461" s="73"/>
      <c r="B461" s="73"/>
      <c r="C461" s="73"/>
      <c r="D461" s="73"/>
      <c r="E461" s="73"/>
      <c r="F461" s="72"/>
    </row>
    <row r="462" ht="14.25" customHeight="1">
      <c r="A462" s="73"/>
      <c r="B462" s="73"/>
      <c r="C462" s="73"/>
      <c r="D462" s="73"/>
      <c r="E462" s="73"/>
      <c r="F462" s="72"/>
    </row>
    <row r="463" ht="14.25" customHeight="1">
      <c r="A463" s="73"/>
      <c r="B463" s="73"/>
      <c r="C463" s="73"/>
      <c r="D463" s="73"/>
      <c r="E463" s="73"/>
      <c r="F463" s="72"/>
    </row>
    <row r="464" ht="14.25" customHeight="1">
      <c r="A464" s="73"/>
      <c r="B464" s="73"/>
      <c r="C464" s="73"/>
      <c r="D464" s="73"/>
      <c r="E464" s="73"/>
      <c r="F464" s="72"/>
    </row>
    <row r="465" ht="14.25" customHeight="1">
      <c r="A465" s="73"/>
      <c r="B465" s="73"/>
      <c r="C465" s="73"/>
      <c r="D465" s="73"/>
      <c r="E465" s="73"/>
      <c r="F465" s="72"/>
    </row>
    <row r="466" ht="14.25" customHeight="1">
      <c r="A466" s="73"/>
      <c r="B466" s="73"/>
      <c r="C466" s="73"/>
      <c r="D466" s="73"/>
      <c r="E466" s="73"/>
      <c r="F466" s="72"/>
    </row>
    <row r="467" ht="14.25" customHeight="1">
      <c r="A467" s="73"/>
      <c r="B467" s="73"/>
      <c r="C467" s="73"/>
      <c r="D467" s="73"/>
      <c r="E467" s="73"/>
      <c r="F467" s="72"/>
    </row>
    <row r="468" ht="14.25" customHeight="1">
      <c r="A468" s="73"/>
      <c r="B468" s="73"/>
      <c r="C468" s="73"/>
      <c r="D468" s="73"/>
      <c r="E468" s="73"/>
      <c r="F468" s="72"/>
    </row>
    <row r="469" ht="14.25" customHeight="1">
      <c r="A469" s="73"/>
      <c r="B469" s="73"/>
      <c r="C469" s="73"/>
      <c r="D469" s="73"/>
      <c r="E469" s="73"/>
      <c r="F469" s="72"/>
    </row>
    <row r="470" ht="14.25" customHeight="1">
      <c r="A470" s="73"/>
      <c r="B470" s="73"/>
      <c r="C470" s="73"/>
      <c r="D470" s="73"/>
      <c r="E470" s="73"/>
      <c r="F470" s="72"/>
    </row>
    <row r="471" ht="14.25" customHeight="1">
      <c r="A471" s="73"/>
      <c r="B471" s="73"/>
      <c r="C471" s="73"/>
      <c r="D471" s="73"/>
      <c r="E471" s="73"/>
      <c r="F471" s="72"/>
    </row>
    <row r="472" ht="14.25" customHeight="1">
      <c r="A472" s="73"/>
      <c r="B472" s="73"/>
      <c r="C472" s="73"/>
      <c r="D472" s="73"/>
      <c r="E472" s="73"/>
      <c r="F472" s="72"/>
    </row>
    <row r="473" ht="14.25" customHeight="1">
      <c r="A473" s="73"/>
      <c r="B473" s="73"/>
      <c r="C473" s="73"/>
      <c r="D473" s="73"/>
      <c r="E473" s="73"/>
      <c r="F473" s="72"/>
    </row>
    <row r="474" ht="14.25" customHeight="1">
      <c r="A474" s="73"/>
      <c r="B474" s="73"/>
      <c r="C474" s="73"/>
      <c r="D474" s="73"/>
      <c r="E474" s="73"/>
      <c r="F474" s="72"/>
    </row>
    <row r="475" ht="14.25" customHeight="1">
      <c r="A475" s="73"/>
      <c r="B475" s="73"/>
      <c r="C475" s="73"/>
      <c r="D475" s="73"/>
      <c r="E475" s="73"/>
      <c r="F475" s="72"/>
    </row>
    <row r="476" ht="14.25" customHeight="1">
      <c r="A476" s="73"/>
      <c r="B476" s="73"/>
      <c r="C476" s="73"/>
      <c r="D476" s="73"/>
      <c r="E476" s="73"/>
      <c r="F476" s="72"/>
    </row>
    <row r="477" ht="14.25" customHeight="1">
      <c r="A477" s="73"/>
      <c r="B477" s="73"/>
      <c r="C477" s="73"/>
      <c r="D477" s="73"/>
      <c r="E477" s="73"/>
      <c r="F477" s="72"/>
    </row>
    <row r="478" ht="14.25" customHeight="1">
      <c r="A478" s="73"/>
      <c r="B478" s="73"/>
      <c r="C478" s="73"/>
      <c r="D478" s="73"/>
      <c r="E478" s="73"/>
      <c r="F478" s="72"/>
    </row>
    <row r="479" ht="14.25" customHeight="1">
      <c r="A479" s="73"/>
      <c r="B479" s="73"/>
      <c r="C479" s="73"/>
      <c r="D479" s="73"/>
      <c r="E479" s="73"/>
      <c r="F479" s="72"/>
    </row>
    <row r="480" ht="14.25" customHeight="1">
      <c r="A480" s="73"/>
      <c r="B480" s="73"/>
      <c r="C480" s="73"/>
      <c r="D480" s="73"/>
      <c r="E480" s="73"/>
      <c r="F480" s="72"/>
    </row>
    <row r="481" ht="14.25" customHeight="1">
      <c r="A481" s="73"/>
      <c r="B481" s="73"/>
      <c r="C481" s="73"/>
      <c r="D481" s="73"/>
      <c r="E481" s="73"/>
      <c r="F481" s="72"/>
    </row>
    <row r="482" ht="14.25" customHeight="1">
      <c r="A482" s="73"/>
      <c r="B482" s="73"/>
      <c r="C482" s="73"/>
      <c r="D482" s="73"/>
      <c r="E482" s="73"/>
      <c r="F482" s="72"/>
    </row>
    <row r="483" ht="14.25" customHeight="1">
      <c r="A483" s="73"/>
      <c r="B483" s="73"/>
      <c r="C483" s="73"/>
      <c r="D483" s="73"/>
      <c r="E483" s="73"/>
      <c r="F483" s="72"/>
    </row>
    <row r="484" ht="14.25" customHeight="1">
      <c r="A484" s="73"/>
      <c r="B484" s="73"/>
      <c r="C484" s="73"/>
      <c r="D484" s="73"/>
      <c r="E484" s="73"/>
      <c r="F484" s="72"/>
    </row>
    <row r="485" ht="14.25" customHeight="1">
      <c r="A485" s="73"/>
      <c r="B485" s="73"/>
      <c r="C485" s="73"/>
      <c r="D485" s="73"/>
      <c r="E485" s="73"/>
      <c r="F485" s="72"/>
    </row>
    <row r="486" ht="14.25" customHeight="1">
      <c r="A486" s="73"/>
      <c r="B486" s="73"/>
      <c r="C486" s="73"/>
      <c r="D486" s="73"/>
      <c r="E486" s="73"/>
      <c r="F486" s="72"/>
    </row>
    <row r="487" ht="14.25" customHeight="1">
      <c r="A487" s="73"/>
      <c r="B487" s="73"/>
      <c r="C487" s="73"/>
      <c r="D487" s="73"/>
      <c r="E487" s="73"/>
      <c r="F487" s="72"/>
    </row>
    <row r="488" ht="14.25" customHeight="1">
      <c r="A488" s="73"/>
      <c r="B488" s="73"/>
      <c r="C488" s="73"/>
      <c r="D488" s="73"/>
      <c r="E488" s="73"/>
      <c r="F488" s="72"/>
    </row>
    <row r="489" ht="14.25" customHeight="1">
      <c r="A489" s="73"/>
      <c r="B489" s="73"/>
      <c r="C489" s="73"/>
      <c r="D489" s="73"/>
      <c r="E489" s="73"/>
      <c r="F489" s="72"/>
    </row>
    <row r="490" ht="14.25" customHeight="1">
      <c r="A490" s="73"/>
      <c r="B490" s="73"/>
      <c r="C490" s="73"/>
      <c r="D490" s="73"/>
      <c r="E490" s="73"/>
      <c r="F490" s="72"/>
    </row>
    <row r="491" ht="14.25" customHeight="1">
      <c r="A491" s="73"/>
      <c r="B491" s="73"/>
      <c r="C491" s="73"/>
      <c r="D491" s="73"/>
      <c r="E491" s="73"/>
      <c r="F491" s="72"/>
    </row>
    <row r="492" ht="14.25" customHeight="1">
      <c r="A492" s="73"/>
      <c r="B492" s="73"/>
      <c r="C492" s="73"/>
      <c r="D492" s="73"/>
      <c r="E492" s="73"/>
      <c r="F492" s="72"/>
    </row>
    <row r="493" ht="14.25" customHeight="1">
      <c r="A493" s="73"/>
      <c r="B493" s="73"/>
      <c r="C493" s="73"/>
      <c r="D493" s="73"/>
      <c r="E493" s="73"/>
      <c r="F493" s="72"/>
    </row>
    <row r="494" ht="14.25" customHeight="1">
      <c r="A494" s="73"/>
      <c r="B494" s="73"/>
      <c r="C494" s="73"/>
      <c r="D494" s="73"/>
      <c r="E494" s="73"/>
      <c r="F494" s="72"/>
    </row>
    <row r="495" ht="14.25" customHeight="1">
      <c r="A495" s="73"/>
      <c r="B495" s="73"/>
      <c r="C495" s="73"/>
      <c r="D495" s="73"/>
      <c r="E495" s="73"/>
      <c r="F495" s="72"/>
    </row>
    <row r="496" ht="14.25" customHeight="1">
      <c r="A496" s="73"/>
      <c r="B496" s="73"/>
      <c r="C496" s="73"/>
      <c r="D496" s="73"/>
      <c r="E496" s="73"/>
      <c r="F496" s="72"/>
    </row>
    <row r="497" ht="14.25" customHeight="1">
      <c r="A497" s="73"/>
      <c r="B497" s="73"/>
      <c r="C497" s="73"/>
      <c r="D497" s="73"/>
      <c r="E497" s="73"/>
      <c r="F497" s="72"/>
    </row>
    <row r="498" ht="14.25" customHeight="1">
      <c r="A498" s="73"/>
      <c r="B498" s="73"/>
      <c r="C498" s="73"/>
      <c r="D498" s="73"/>
      <c r="E498" s="73"/>
      <c r="F498" s="72"/>
    </row>
    <row r="499" ht="14.25" customHeight="1">
      <c r="A499" s="73"/>
      <c r="B499" s="73"/>
      <c r="C499" s="73"/>
      <c r="D499" s="73"/>
      <c r="E499" s="73"/>
      <c r="F499" s="72"/>
    </row>
    <row r="500" ht="14.25" customHeight="1">
      <c r="A500" s="73"/>
      <c r="B500" s="73"/>
      <c r="C500" s="73"/>
      <c r="D500" s="73"/>
      <c r="E500" s="73"/>
      <c r="F500" s="72"/>
    </row>
    <row r="501" ht="14.25" customHeight="1">
      <c r="A501" s="73"/>
      <c r="B501" s="73"/>
      <c r="C501" s="73"/>
      <c r="D501" s="73"/>
      <c r="E501" s="73"/>
      <c r="F501" s="72"/>
    </row>
    <row r="502" ht="14.25" customHeight="1">
      <c r="A502" s="73"/>
      <c r="B502" s="73"/>
      <c r="C502" s="73"/>
      <c r="D502" s="73"/>
      <c r="E502" s="73"/>
      <c r="F502" s="72"/>
    </row>
    <row r="503" ht="14.25" customHeight="1">
      <c r="A503" s="73"/>
      <c r="B503" s="73"/>
      <c r="C503" s="73"/>
      <c r="D503" s="73"/>
      <c r="E503" s="73"/>
      <c r="F503" s="72"/>
    </row>
    <row r="504" ht="14.25" customHeight="1">
      <c r="A504" s="73"/>
      <c r="B504" s="73"/>
      <c r="C504" s="73"/>
      <c r="D504" s="73"/>
      <c r="E504" s="73"/>
      <c r="F504" s="72"/>
    </row>
    <row r="505" ht="14.25" customHeight="1">
      <c r="A505" s="73"/>
      <c r="B505" s="73"/>
      <c r="C505" s="73"/>
      <c r="D505" s="73"/>
      <c r="E505" s="73"/>
      <c r="F505" s="72"/>
    </row>
    <row r="506" ht="14.25" customHeight="1">
      <c r="A506" s="73"/>
      <c r="B506" s="73"/>
      <c r="C506" s="73"/>
      <c r="D506" s="73"/>
      <c r="E506" s="73"/>
      <c r="F506" s="72"/>
    </row>
    <row r="507" ht="14.25" customHeight="1">
      <c r="A507" s="73"/>
      <c r="B507" s="73"/>
      <c r="C507" s="73"/>
      <c r="D507" s="73"/>
      <c r="E507" s="73"/>
      <c r="F507" s="72"/>
    </row>
    <row r="508" ht="14.25" customHeight="1">
      <c r="A508" s="73"/>
      <c r="B508" s="73"/>
      <c r="C508" s="73"/>
      <c r="D508" s="73"/>
      <c r="E508" s="73"/>
      <c r="F508" s="72"/>
    </row>
    <row r="509" ht="14.25" customHeight="1">
      <c r="A509" s="73"/>
      <c r="B509" s="73"/>
      <c r="C509" s="73"/>
      <c r="D509" s="73"/>
      <c r="E509" s="73"/>
      <c r="F509" s="72"/>
    </row>
    <row r="510" ht="14.25" customHeight="1">
      <c r="A510" s="73"/>
      <c r="B510" s="73"/>
      <c r="C510" s="73"/>
      <c r="D510" s="73"/>
      <c r="E510" s="73"/>
      <c r="F510" s="72"/>
    </row>
    <row r="511" ht="14.25" customHeight="1">
      <c r="A511" s="73"/>
      <c r="B511" s="73"/>
      <c r="C511" s="73"/>
      <c r="D511" s="73"/>
      <c r="E511" s="73"/>
      <c r="F511" s="72"/>
    </row>
    <row r="512" ht="14.25" customHeight="1">
      <c r="A512" s="73"/>
      <c r="B512" s="73"/>
      <c r="C512" s="73"/>
      <c r="D512" s="73"/>
      <c r="E512" s="73"/>
      <c r="F512" s="72"/>
    </row>
    <row r="513" ht="14.25" customHeight="1">
      <c r="A513" s="73"/>
      <c r="B513" s="73"/>
      <c r="C513" s="73"/>
      <c r="D513" s="73"/>
      <c r="E513" s="73"/>
      <c r="F513" s="72"/>
    </row>
    <row r="514" ht="14.25" customHeight="1">
      <c r="A514" s="73"/>
      <c r="B514" s="73"/>
      <c r="C514" s="73"/>
      <c r="D514" s="73"/>
      <c r="E514" s="73"/>
      <c r="F514" s="72"/>
    </row>
    <row r="515" ht="14.25" customHeight="1">
      <c r="A515" s="73"/>
      <c r="B515" s="73"/>
      <c r="C515" s="73"/>
      <c r="D515" s="73"/>
      <c r="E515" s="73"/>
      <c r="F515" s="72"/>
    </row>
    <row r="516" ht="14.25" customHeight="1">
      <c r="A516" s="73"/>
      <c r="B516" s="73"/>
      <c r="C516" s="73"/>
      <c r="D516" s="73"/>
      <c r="E516" s="73"/>
      <c r="F516" s="72"/>
    </row>
    <row r="517" ht="14.25" customHeight="1">
      <c r="A517" s="73"/>
      <c r="B517" s="73"/>
      <c r="C517" s="73"/>
      <c r="D517" s="73"/>
      <c r="E517" s="73"/>
      <c r="F517" s="72"/>
    </row>
    <row r="518" ht="14.25" customHeight="1">
      <c r="A518" s="73"/>
      <c r="B518" s="73"/>
      <c r="C518" s="73"/>
      <c r="D518" s="73"/>
      <c r="E518" s="73"/>
      <c r="F518" s="72"/>
    </row>
    <row r="519" ht="14.25" customHeight="1">
      <c r="A519" s="73"/>
      <c r="B519" s="73"/>
      <c r="C519" s="73"/>
      <c r="D519" s="73"/>
      <c r="E519" s="73"/>
      <c r="F519" s="72"/>
    </row>
    <row r="520" ht="14.25" customHeight="1">
      <c r="A520" s="73"/>
      <c r="B520" s="73"/>
      <c r="C520" s="73"/>
      <c r="D520" s="73"/>
      <c r="E520" s="73"/>
      <c r="F520" s="72"/>
    </row>
    <row r="521" ht="14.25" customHeight="1">
      <c r="A521" s="73"/>
      <c r="B521" s="73"/>
      <c r="C521" s="73"/>
      <c r="D521" s="73"/>
      <c r="E521" s="73"/>
      <c r="F521" s="72"/>
    </row>
    <row r="522" ht="14.25" customHeight="1">
      <c r="A522" s="73"/>
      <c r="B522" s="73"/>
      <c r="C522" s="73"/>
      <c r="D522" s="73"/>
      <c r="E522" s="73"/>
      <c r="F522" s="72"/>
    </row>
    <row r="523" ht="14.25" customHeight="1">
      <c r="A523" s="73"/>
      <c r="B523" s="73"/>
      <c r="C523" s="73"/>
      <c r="D523" s="73"/>
      <c r="E523" s="73"/>
      <c r="F523" s="72"/>
    </row>
    <row r="524" ht="14.25" customHeight="1">
      <c r="A524" s="73"/>
      <c r="B524" s="73"/>
      <c r="C524" s="73"/>
      <c r="D524" s="73"/>
      <c r="E524" s="73"/>
      <c r="F524" s="72"/>
    </row>
    <row r="525" ht="14.25" customHeight="1">
      <c r="A525" s="73"/>
      <c r="B525" s="73"/>
      <c r="C525" s="73"/>
      <c r="D525" s="73"/>
      <c r="E525" s="73"/>
      <c r="F525" s="72"/>
    </row>
    <row r="526" ht="14.25" customHeight="1">
      <c r="A526" s="73"/>
      <c r="B526" s="73"/>
      <c r="C526" s="73"/>
      <c r="D526" s="73"/>
      <c r="E526" s="73"/>
      <c r="F526" s="72"/>
    </row>
    <row r="527" ht="14.25" customHeight="1">
      <c r="A527" s="73"/>
      <c r="B527" s="73"/>
      <c r="C527" s="73"/>
      <c r="D527" s="73"/>
      <c r="E527" s="73"/>
      <c r="F527" s="72"/>
    </row>
    <row r="528" ht="14.25" customHeight="1">
      <c r="A528" s="73"/>
      <c r="B528" s="73"/>
      <c r="C528" s="73"/>
      <c r="D528" s="73"/>
      <c r="E528" s="73"/>
      <c r="F528" s="72"/>
    </row>
    <row r="529" ht="14.25" customHeight="1">
      <c r="A529" s="73"/>
      <c r="B529" s="73"/>
      <c r="C529" s="73"/>
      <c r="D529" s="73"/>
      <c r="E529" s="73"/>
      <c r="F529" s="72"/>
    </row>
    <row r="530" ht="14.25" customHeight="1">
      <c r="A530" s="73"/>
      <c r="B530" s="73"/>
      <c r="C530" s="73"/>
      <c r="D530" s="73"/>
      <c r="E530" s="73"/>
      <c r="F530" s="72"/>
    </row>
    <row r="531" ht="14.25" customHeight="1">
      <c r="A531" s="73"/>
      <c r="B531" s="73"/>
      <c r="C531" s="73"/>
      <c r="D531" s="73"/>
      <c r="E531" s="73"/>
      <c r="F531" s="72"/>
    </row>
    <row r="532" ht="14.25" customHeight="1">
      <c r="A532" s="73"/>
      <c r="B532" s="73"/>
      <c r="C532" s="73"/>
      <c r="D532" s="73"/>
      <c r="E532" s="73"/>
      <c r="F532" s="72"/>
    </row>
    <row r="533" ht="14.25" customHeight="1">
      <c r="A533" s="73"/>
      <c r="B533" s="73"/>
      <c r="C533" s="73"/>
      <c r="D533" s="73"/>
      <c r="E533" s="73"/>
      <c r="F533" s="72"/>
    </row>
    <row r="534" ht="14.25" customHeight="1">
      <c r="A534" s="73"/>
      <c r="B534" s="73"/>
      <c r="C534" s="73"/>
      <c r="D534" s="73"/>
      <c r="E534" s="73"/>
      <c r="F534" s="72"/>
    </row>
    <row r="535" ht="14.25" customHeight="1">
      <c r="A535" s="73"/>
      <c r="B535" s="73"/>
      <c r="C535" s="73"/>
      <c r="D535" s="73"/>
      <c r="E535" s="73"/>
      <c r="F535" s="72"/>
    </row>
    <row r="536" ht="14.25" customHeight="1">
      <c r="A536" s="73"/>
      <c r="B536" s="73"/>
      <c r="C536" s="73"/>
      <c r="D536" s="73"/>
      <c r="E536" s="73"/>
      <c r="F536" s="72"/>
    </row>
    <row r="537" ht="14.25" customHeight="1">
      <c r="A537" s="73"/>
      <c r="B537" s="73"/>
      <c r="C537" s="73"/>
      <c r="D537" s="73"/>
      <c r="E537" s="73"/>
      <c r="F537" s="72"/>
    </row>
    <row r="538" ht="14.25" customHeight="1">
      <c r="A538" s="73"/>
      <c r="B538" s="73"/>
      <c r="C538" s="73"/>
      <c r="D538" s="73"/>
      <c r="E538" s="73"/>
      <c r="F538" s="72"/>
    </row>
    <row r="539" ht="14.25" customHeight="1">
      <c r="A539" s="73"/>
      <c r="B539" s="73"/>
      <c r="C539" s="73"/>
      <c r="D539" s="73"/>
      <c r="E539" s="73"/>
      <c r="F539" s="72"/>
    </row>
    <row r="540" ht="14.25" customHeight="1">
      <c r="A540" s="73"/>
      <c r="B540" s="73"/>
      <c r="C540" s="73"/>
      <c r="D540" s="73"/>
      <c r="E540" s="73"/>
      <c r="F540" s="72"/>
    </row>
    <row r="541" ht="14.25" customHeight="1">
      <c r="A541" s="73"/>
      <c r="B541" s="73"/>
      <c r="C541" s="73"/>
      <c r="D541" s="73"/>
      <c r="E541" s="73"/>
      <c r="F541" s="72"/>
    </row>
    <row r="542" ht="14.25" customHeight="1">
      <c r="A542" s="73"/>
      <c r="B542" s="73"/>
      <c r="C542" s="73"/>
      <c r="D542" s="73"/>
      <c r="E542" s="73"/>
      <c r="F542" s="72"/>
    </row>
    <row r="543" ht="14.25" customHeight="1">
      <c r="A543" s="73"/>
      <c r="B543" s="73"/>
      <c r="C543" s="73"/>
      <c r="D543" s="73"/>
      <c r="E543" s="73"/>
      <c r="F543" s="72"/>
    </row>
    <row r="544" ht="14.25" customHeight="1">
      <c r="A544" s="73"/>
      <c r="B544" s="73"/>
      <c r="C544" s="73"/>
      <c r="D544" s="73"/>
      <c r="E544" s="73"/>
      <c r="F544" s="72"/>
    </row>
    <row r="545" ht="14.25" customHeight="1">
      <c r="A545" s="73"/>
      <c r="B545" s="73"/>
      <c r="C545" s="73"/>
      <c r="D545" s="73"/>
      <c r="E545" s="73"/>
      <c r="F545" s="72"/>
    </row>
    <row r="546" ht="14.25" customHeight="1">
      <c r="A546" s="73"/>
      <c r="B546" s="73"/>
      <c r="C546" s="73"/>
      <c r="D546" s="73"/>
      <c r="E546" s="73"/>
      <c r="F546" s="72"/>
    </row>
    <row r="547" ht="14.25" customHeight="1">
      <c r="A547" s="73"/>
      <c r="B547" s="73"/>
      <c r="C547" s="73"/>
      <c r="D547" s="73"/>
      <c r="E547" s="73"/>
      <c r="F547" s="72"/>
    </row>
    <row r="548" ht="14.25" customHeight="1">
      <c r="A548" s="73"/>
      <c r="B548" s="73"/>
      <c r="C548" s="73"/>
      <c r="D548" s="73"/>
      <c r="E548" s="73"/>
      <c r="F548" s="72"/>
    </row>
    <row r="549" ht="14.25" customHeight="1">
      <c r="A549" s="73"/>
      <c r="B549" s="73"/>
      <c r="C549" s="73"/>
      <c r="D549" s="73"/>
      <c r="E549" s="73"/>
      <c r="F549" s="72"/>
    </row>
    <row r="550" ht="14.25" customHeight="1">
      <c r="A550" s="73"/>
      <c r="B550" s="73"/>
      <c r="C550" s="73"/>
      <c r="D550" s="73"/>
      <c r="E550" s="73"/>
      <c r="F550" s="72"/>
    </row>
    <row r="551" ht="14.25" customHeight="1">
      <c r="A551" s="73"/>
      <c r="B551" s="73"/>
      <c r="C551" s="73"/>
      <c r="D551" s="73"/>
      <c r="E551" s="73"/>
      <c r="F551" s="72"/>
    </row>
    <row r="552" ht="14.25" customHeight="1">
      <c r="A552" s="73"/>
      <c r="B552" s="73"/>
      <c r="C552" s="73"/>
      <c r="D552" s="73"/>
      <c r="E552" s="73"/>
      <c r="F552" s="72"/>
    </row>
    <row r="553" ht="14.25" customHeight="1">
      <c r="A553" s="73"/>
      <c r="B553" s="73"/>
      <c r="C553" s="73"/>
      <c r="D553" s="73"/>
      <c r="E553" s="73"/>
      <c r="F553" s="72"/>
    </row>
    <row r="554" ht="14.25" customHeight="1">
      <c r="A554" s="73"/>
      <c r="B554" s="73"/>
      <c r="C554" s="73"/>
      <c r="D554" s="73"/>
      <c r="E554" s="73"/>
      <c r="F554" s="72"/>
    </row>
    <row r="555" ht="14.25" customHeight="1">
      <c r="A555" s="73"/>
      <c r="B555" s="73"/>
      <c r="C555" s="73"/>
      <c r="D555" s="73"/>
      <c r="E555" s="73"/>
      <c r="F555" s="72"/>
    </row>
    <row r="556" ht="14.25" customHeight="1">
      <c r="A556" s="73"/>
      <c r="B556" s="73"/>
      <c r="C556" s="73"/>
      <c r="D556" s="73"/>
      <c r="E556" s="73"/>
      <c r="F556" s="72"/>
    </row>
    <row r="557" ht="14.25" customHeight="1">
      <c r="A557" s="73"/>
      <c r="B557" s="73"/>
      <c r="C557" s="73"/>
      <c r="D557" s="73"/>
      <c r="E557" s="73"/>
      <c r="F557" s="72"/>
    </row>
    <row r="558" ht="14.25" customHeight="1">
      <c r="A558" s="73"/>
      <c r="B558" s="73"/>
      <c r="C558" s="73"/>
      <c r="D558" s="73"/>
      <c r="E558" s="73"/>
      <c r="F558" s="72"/>
    </row>
    <row r="559" ht="14.25" customHeight="1">
      <c r="A559" s="73"/>
      <c r="B559" s="73"/>
      <c r="C559" s="73"/>
      <c r="D559" s="73"/>
      <c r="E559" s="73"/>
      <c r="F559" s="72"/>
    </row>
    <row r="560" ht="14.25" customHeight="1">
      <c r="A560" s="73"/>
      <c r="B560" s="73"/>
      <c r="C560" s="73"/>
      <c r="D560" s="73"/>
      <c r="E560" s="73"/>
      <c r="F560" s="72"/>
    </row>
    <row r="561" ht="14.25" customHeight="1">
      <c r="A561" s="73"/>
      <c r="B561" s="73"/>
      <c r="C561" s="73"/>
      <c r="D561" s="73"/>
      <c r="E561" s="73"/>
      <c r="F561" s="72"/>
    </row>
    <row r="562" ht="14.25" customHeight="1">
      <c r="A562" s="73"/>
      <c r="B562" s="73"/>
      <c r="C562" s="73"/>
      <c r="D562" s="73"/>
      <c r="E562" s="73"/>
      <c r="F562" s="72"/>
    </row>
    <row r="563" ht="14.25" customHeight="1">
      <c r="A563" s="73"/>
      <c r="B563" s="73"/>
      <c r="C563" s="73"/>
      <c r="D563" s="73"/>
      <c r="E563" s="73"/>
      <c r="F563" s="72"/>
    </row>
    <row r="564" ht="14.25" customHeight="1">
      <c r="A564" s="73"/>
      <c r="B564" s="73"/>
      <c r="C564" s="73"/>
      <c r="D564" s="73"/>
      <c r="E564" s="73"/>
      <c r="F564" s="72"/>
    </row>
    <row r="565" ht="14.25" customHeight="1">
      <c r="A565" s="73"/>
      <c r="B565" s="73"/>
      <c r="C565" s="73"/>
      <c r="D565" s="73"/>
      <c r="E565" s="73"/>
      <c r="F565" s="72"/>
    </row>
    <row r="566" ht="14.25" customHeight="1">
      <c r="A566" s="73"/>
      <c r="B566" s="73"/>
      <c r="C566" s="73"/>
      <c r="D566" s="73"/>
      <c r="E566" s="73"/>
      <c r="F566" s="72"/>
    </row>
    <row r="567" ht="14.25" customHeight="1">
      <c r="A567" s="73"/>
      <c r="B567" s="73"/>
      <c r="C567" s="73"/>
      <c r="D567" s="73"/>
      <c r="E567" s="73"/>
      <c r="F567" s="72"/>
    </row>
    <row r="568" ht="14.25" customHeight="1">
      <c r="A568" s="73"/>
      <c r="B568" s="73"/>
      <c r="C568" s="73"/>
      <c r="D568" s="73"/>
      <c r="E568" s="73"/>
      <c r="F568" s="72"/>
    </row>
    <row r="569" ht="14.25" customHeight="1">
      <c r="A569" s="73"/>
      <c r="B569" s="73"/>
      <c r="C569" s="73"/>
      <c r="D569" s="73"/>
      <c r="E569" s="73"/>
      <c r="F569" s="72"/>
    </row>
    <row r="570" ht="14.25" customHeight="1">
      <c r="A570" s="73"/>
      <c r="B570" s="73"/>
      <c r="C570" s="73"/>
      <c r="D570" s="73"/>
      <c r="E570" s="73"/>
      <c r="F570" s="72"/>
    </row>
    <row r="571" ht="14.25" customHeight="1">
      <c r="A571" s="73"/>
      <c r="B571" s="73"/>
      <c r="C571" s="73"/>
      <c r="D571" s="73"/>
      <c r="E571" s="73"/>
      <c r="F571" s="72"/>
    </row>
    <row r="572" ht="14.25" customHeight="1">
      <c r="A572" s="73"/>
      <c r="B572" s="73"/>
      <c r="C572" s="73"/>
      <c r="D572" s="73"/>
      <c r="E572" s="73"/>
      <c r="F572" s="72"/>
    </row>
    <row r="573" ht="14.25" customHeight="1">
      <c r="A573" s="73"/>
      <c r="B573" s="73"/>
      <c r="C573" s="73"/>
      <c r="D573" s="73"/>
      <c r="E573" s="73"/>
      <c r="F573" s="72"/>
    </row>
    <row r="574" ht="14.25" customHeight="1">
      <c r="A574" s="73"/>
      <c r="B574" s="73"/>
      <c r="C574" s="73"/>
      <c r="D574" s="73"/>
      <c r="E574" s="73"/>
      <c r="F574" s="72"/>
    </row>
    <row r="575" ht="14.25" customHeight="1">
      <c r="A575" s="73"/>
      <c r="B575" s="73"/>
      <c r="C575" s="73"/>
      <c r="D575" s="73"/>
      <c r="E575" s="73"/>
      <c r="F575" s="72"/>
    </row>
    <row r="576" ht="14.25" customHeight="1">
      <c r="A576" s="73"/>
      <c r="B576" s="73"/>
      <c r="C576" s="73"/>
      <c r="D576" s="73"/>
      <c r="E576" s="73"/>
      <c r="F576" s="72"/>
    </row>
    <row r="577" ht="14.25" customHeight="1">
      <c r="A577" s="73"/>
      <c r="B577" s="73"/>
      <c r="C577" s="73"/>
      <c r="D577" s="73"/>
      <c r="E577" s="73"/>
      <c r="F577" s="72"/>
    </row>
    <row r="578" ht="14.25" customHeight="1">
      <c r="A578" s="73"/>
      <c r="B578" s="73"/>
      <c r="C578" s="73"/>
      <c r="D578" s="73"/>
      <c r="E578" s="73"/>
      <c r="F578" s="72"/>
    </row>
    <row r="579" ht="14.25" customHeight="1">
      <c r="A579" s="73"/>
      <c r="B579" s="73"/>
      <c r="C579" s="73"/>
      <c r="D579" s="73"/>
      <c r="E579" s="73"/>
      <c r="F579" s="72"/>
    </row>
    <row r="580" ht="14.25" customHeight="1">
      <c r="A580" s="73"/>
      <c r="B580" s="73"/>
      <c r="C580" s="73"/>
      <c r="D580" s="73"/>
      <c r="E580" s="73"/>
      <c r="F580" s="72"/>
    </row>
    <row r="581" ht="14.25" customHeight="1">
      <c r="A581" s="73"/>
      <c r="B581" s="73"/>
      <c r="C581" s="73"/>
      <c r="D581" s="73"/>
      <c r="E581" s="73"/>
      <c r="F581" s="72"/>
    </row>
    <row r="582" ht="14.25" customHeight="1">
      <c r="A582" s="73"/>
      <c r="B582" s="73"/>
      <c r="C582" s="73"/>
      <c r="D582" s="73"/>
      <c r="E582" s="73"/>
      <c r="F582" s="72"/>
    </row>
    <row r="583" ht="14.25" customHeight="1">
      <c r="A583" s="73"/>
      <c r="B583" s="73"/>
      <c r="C583" s="73"/>
      <c r="D583" s="73"/>
      <c r="E583" s="73"/>
      <c r="F583" s="72"/>
    </row>
    <row r="584" ht="14.25" customHeight="1">
      <c r="A584" s="73"/>
      <c r="B584" s="73"/>
      <c r="C584" s="73"/>
      <c r="D584" s="73"/>
      <c r="E584" s="73"/>
      <c r="F584" s="72"/>
    </row>
    <row r="585" ht="14.25" customHeight="1">
      <c r="A585" s="73"/>
      <c r="B585" s="73"/>
      <c r="C585" s="73"/>
      <c r="D585" s="73"/>
      <c r="E585" s="73"/>
      <c r="F585" s="72"/>
    </row>
    <row r="586" ht="14.25" customHeight="1">
      <c r="A586" s="73"/>
      <c r="B586" s="73"/>
      <c r="C586" s="73"/>
      <c r="D586" s="73"/>
      <c r="E586" s="73"/>
      <c r="F586" s="72"/>
    </row>
    <row r="587" ht="14.25" customHeight="1">
      <c r="A587" s="73"/>
      <c r="B587" s="73"/>
      <c r="C587" s="73"/>
      <c r="D587" s="73"/>
      <c r="E587" s="73"/>
      <c r="F587" s="72"/>
    </row>
    <row r="588" ht="14.25" customHeight="1">
      <c r="A588" s="73"/>
      <c r="B588" s="73"/>
      <c r="C588" s="73"/>
      <c r="D588" s="73"/>
      <c r="E588" s="73"/>
      <c r="F588" s="72"/>
    </row>
    <row r="589" ht="14.25" customHeight="1">
      <c r="A589" s="73"/>
      <c r="B589" s="73"/>
      <c r="C589" s="73"/>
      <c r="D589" s="73"/>
      <c r="E589" s="73"/>
      <c r="F589" s="72"/>
    </row>
    <row r="590" ht="14.25" customHeight="1">
      <c r="A590" s="73"/>
      <c r="B590" s="73"/>
      <c r="C590" s="73"/>
      <c r="D590" s="73"/>
      <c r="E590" s="73"/>
      <c r="F590" s="72"/>
    </row>
    <row r="591" ht="14.25" customHeight="1">
      <c r="A591" s="73"/>
      <c r="B591" s="73"/>
      <c r="C591" s="73"/>
      <c r="D591" s="73"/>
      <c r="E591" s="73"/>
      <c r="F591" s="72"/>
    </row>
    <row r="592" ht="14.25" customHeight="1">
      <c r="A592" s="73"/>
      <c r="B592" s="73"/>
      <c r="C592" s="73"/>
      <c r="D592" s="73"/>
      <c r="E592" s="73"/>
      <c r="F592" s="72"/>
    </row>
    <row r="593" ht="14.25" customHeight="1">
      <c r="A593" s="73"/>
      <c r="B593" s="73"/>
      <c r="C593" s="73"/>
      <c r="D593" s="73"/>
      <c r="E593" s="73"/>
      <c r="F593" s="72"/>
    </row>
    <row r="594" ht="14.25" customHeight="1">
      <c r="A594" s="73"/>
      <c r="B594" s="73"/>
      <c r="C594" s="73"/>
      <c r="D594" s="73"/>
      <c r="E594" s="73"/>
      <c r="F594" s="72"/>
    </row>
    <row r="595" ht="14.25" customHeight="1">
      <c r="A595" s="73"/>
      <c r="B595" s="73"/>
      <c r="C595" s="73"/>
      <c r="D595" s="73"/>
      <c r="E595" s="73"/>
      <c r="F595" s="72"/>
    </row>
    <row r="596" ht="14.25" customHeight="1">
      <c r="A596" s="73"/>
      <c r="B596" s="73"/>
      <c r="C596" s="73"/>
      <c r="D596" s="73"/>
      <c r="E596" s="73"/>
      <c r="F596" s="72"/>
    </row>
    <row r="597" ht="14.25" customHeight="1">
      <c r="A597" s="73"/>
      <c r="B597" s="73"/>
      <c r="C597" s="73"/>
      <c r="D597" s="73"/>
      <c r="E597" s="73"/>
      <c r="F597" s="72"/>
    </row>
    <row r="598" ht="14.25" customHeight="1">
      <c r="A598" s="73"/>
      <c r="B598" s="73"/>
      <c r="C598" s="73"/>
      <c r="D598" s="73"/>
      <c r="E598" s="73"/>
      <c r="F598" s="72"/>
    </row>
    <row r="599" ht="14.25" customHeight="1">
      <c r="A599" s="73"/>
      <c r="B599" s="73"/>
      <c r="C599" s="73"/>
      <c r="D599" s="73"/>
      <c r="E599" s="73"/>
      <c r="F599" s="72"/>
    </row>
    <row r="600" ht="14.25" customHeight="1">
      <c r="A600" s="73"/>
      <c r="B600" s="73"/>
      <c r="C600" s="73"/>
      <c r="D600" s="73"/>
      <c r="E600" s="73"/>
      <c r="F600" s="72"/>
    </row>
    <row r="601" ht="14.25" customHeight="1">
      <c r="A601" s="73"/>
      <c r="B601" s="73"/>
      <c r="C601" s="73"/>
      <c r="D601" s="73"/>
      <c r="E601" s="73"/>
      <c r="F601" s="72"/>
    </row>
    <row r="602" ht="14.25" customHeight="1">
      <c r="A602" s="73"/>
      <c r="B602" s="73"/>
      <c r="C602" s="73"/>
      <c r="D602" s="73"/>
      <c r="E602" s="73"/>
      <c r="F602" s="72"/>
    </row>
    <row r="603" ht="14.25" customHeight="1">
      <c r="A603" s="73"/>
      <c r="B603" s="73"/>
      <c r="C603" s="73"/>
      <c r="D603" s="73"/>
      <c r="E603" s="73"/>
      <c r="F603" s="72"/>
    </row>
    <row r="604" ht="14.25" customHeight="1">
      <c r="A604" s="73"/>
      <c r="B604" s="73"/>
      <c r="C604" s="73"/>
      <c r="D604" s="73"/>
      <c r="E604" s="73"/>
      <c r="F604" s="72"/>
    </row>
    <row r="605" ht="14.25" customHeight="1">
      <c r="A605" s="73"/>
      <c r="B605" s="73"/>
      <c r="C605" s="73"/>
      <c r="D605" s="73"/>
      <c r="E605" s="73"/>
      <c r="F605" s="72"/>
    </row>
    <row r="606" ht="14.25" customHeight="1">
      <c r="A606" s="73"/>
      <c r="B606" s="73"/>
      <c r="C606" s="73"/>
      <c r="D606" s="73"/>
      <c r="E606" s="73"/>
      <c r="F606" s="72"/>
    </row>
    <row r="607" ht="14.25" customHeight="1">
      <c r="A607" s="73"/>
      <c r="B607" s="73"/>
      <c r="C607" s="73"/>
      <c r="D607" s="73"/>
      <c r="E607" s="73"/>
      <c r="F607" s="72"/>
    </row>
    <row r="608" ht="14.25" customHeight="1">
      <c r="A608" s="73"/>
      <c r="B608" s="73"/>
      <c r="C608" s="73"/>
      <c r="D608" s="73"/>
      <c r="E608" s="73"/>
      <c r="F608" s="72"/>
    </row>
    <row r="609" ht="14.25" customHeight="1">
      <c r="A609" s="73"/>
      <c r="B609" s="73"/>
      <c r="C609" s="73"/>
      <c r="D609" s="73"/>
      <c r="E609" s="73"/>
      <c r="F609" s="72"/>
    </row>
    <row r="610" ht="14.25" customHeight="1">
      <c r="A610" s="73"/>
      <c r="B610" s="73"/>
      <c r="C610" s="73"/>
      <c r="D610" s="73"/>
      <c r="E610" s="73"/>
      <c r="F610" s="72"/>
    </row>
    <row r="611" ht="14.25" customHeight="1">
      <c r="A611" s="73"/>
      <c r="B611" s="73"/>
      <c r="C611" s="73"/>
      <c r="D611" s="73"/>
      <c r="E611" s="73"/>
      <c r="F611" s="72"/>
    </row>
    <row r="612" ht="14.25" customHeight="1">
      <c r="A612" s="73"/>
      <c r="B612" s="73"/>
      <c r="C612" s="73"/>
      <c r="D612" s="73"/>
      <c r="E612" s="73"/>
      <c r="F612" s="72"/>
    </row>
    <row r="613" ht="14.25" customHeight="1">
      <c r="A613" s="73"/>
      <c r="B613" s="73"/>
      <c r="C613" s="73"/>
      <c r="D613" s="73"/>
      <c r="E613" s="73"/>
      <c r="F613" s="72"/>
    </row>
    <row r="614" ht="14.25" customHeight="1">
      <c r="A614" s="73"/>
      <c r="B614" s="73"/>
      <c r="C614" s="73"/>
      <c r="D614" s="73"/>
      <c r="E614" s="73"/>
      <c r="F614" s="72"/>
    </row>
    <row r="615" ht="14.25" customHeight="1">
      <c r="A615" s="73"/>
      <c r="B615" s="73"/>
      <c r="C615" s="73"/>
      <c r="D615" s="73"/>
      <c r="E615" s="73"/>
      <c r="F615" s="72"/>
    </row>
    <row r="616" ht="14.25" customHeight="1">
      <c r="A616" s="73"/>
      <c r="B616" s="73"/>
      <c r="C616" s="73"/>
      <c r="D616" s="73"/>
      <c r="E616" s="73"/>
      <c r="F616" s="72"/>
    </row>
    <row r="617" ht="14.25" customHeight="1">
      <c r="A617" s="73"/>
      <c r="B617" s="73"/>
      <c r="C617" s="73"/>
      <c r="D617" s="73"/>
      <c r="E617" s="73"/>
      <c r="F617" s="72"/>
    </row>
    <row r="618" ht="14.25" customHeight="1">
      <c r="A618" s="73"/>
      <c r="B618" s="73"/>
      <c r="C618" s="73"/>
      <c r="D618" s="73"/>
      <c r="E618" s="73"/>
      <c r="F618" s="72"/>
    </row>
    <row r="619" ht="14.25" customHeight="1">
      <c r="A619" s="73"/>
      <c r="B619" s="73"/>
      <c r="C619" s="73"/>
      <c r="D619" s="73"/>
      <c r="E619" s="73"/>
      <c r="F619" s="72"/>
    </row>
    <row r="620" ht="14.25" customHeight="1">
      <c r="A620" s="73"/>
      <c r="B620" s="73"/>
      <c r="C620" s="73"/>
      <c r="D620" s="73"/>
      <c r="E620" s="73"/>
      <c r="F620" s="72"/>
    </row>
    <row r="621" ht="14.25" customHeight="1">
      <c r="A621" s="73"/>
      <c r="B621" s="73"/>
      <c r="C621" s="73"/>
      <c r="D621" s="73"/>
      <c r="E621" s="73"/>
      <c r="F621" s="72"/>
    </row>
    <row r="622" ht="14.25" customHeight="1">
      <c r="A622" s="73"/>
      <c r="B622" s="73"/>
      <c r="C622" s="73"/>
      <c r="D622" s="73"/>
      <c r="E622" s="73"/>
      <c r="F622" s="72"/>
    </row>
    <row r="623" ht="14.25" customHeight="1">
      <c r="A623" s="73"/>
      <c r="B623" s="73"/>
      <c r="C623" s="73"/>
      <c r="D623" s="73"/>
      <c r="E623" s="73"/>
      <c r="F623" s="72"/>
    </row>
    <row r="624" ht="14.25" customHeight="1">
      <c r="A624" s="73"/>
      <c r="B624" s="73"/>
      <c r="C624" s="73"/>
      <c r="D624" s="73"/>
      <c r="E624" s="73"/>
      <c r="F624" s="72"/>
    </row>
    <row r="625" ht="14.25" customHeight="1">
      <c r="A625" s="73"/>
      <c r="B625" s="73"/>
      <c r="C625" s="73"/>
      <c r="D625" s="73"/>
      <c r="E625" s="73"/>
      <c r="F625" s="72"/>
    </row>
    <row r="626" ht="14.25" customHeight="1">
      <c r="A626" s="73"/>
      <c r="B626" s="73"/>
      <c r="C626" s="73"/>
      <c r="D626" s="73"/>
      <c r="E626" s="73"/>
      <c r="F626" s="72"/>
    </row>
    <row r="627" ht="14.25" customHeight="1">
      <c r="A627" s="73"/>
      <c r="B627" s="73"/>
      <c r="C627" s="73"/>
      <c r="D627" s="73"/>
      <c r="E627" s="73"/>
      <c r="F627" s="72"/>
    </row>
    <row r="628" ht="14.25" customHeight="1">
      <c r="A628" s="73"/>
      <c r="B628" s="73"/>
      <c r="C628" s="73"/>
      <c r="D628" s="73"/>
      <c r="E628" s="73"/>
      <c r="F628" s="72"/>
    </row>
    <row r="629" ht="14.25" customHeight="1">
      <c r="A629" s="73"/>
      <c r="B629" s="73"/>
      <c r="C629" s="73"/>
      <c r="D629" s="73"/>
      <c r="E629" s="73"/>
      <c r="F629" s="72"/>
    </row>
    <row r="630" ht="14.25" customHeight="1">
      <c r="A630" s="73"/>
      <c r="B630" s="73"/>
      <c r="C630" s="73"/>
      <c r="D630" s="73"/>
      <c r="E630" s="73"/>
      <c r="F630" s="72"/>
    </row>
    <row r="631" ht="14.25" customHeight="1">
      <c r="A631" s="73"/>
      <c r="B631" s="73"/>
      <c r="C631" s="73"/>
      <c r="D631" s="73"/>
      <c r="E631" s="73"/>
      <c r="F631" s="72"/>
    </row>
    <row r="632" ht="14.25" customHeight="1">
      <c r="A632" s="73"/>
      <c r="B632" s="73"/>
      <c r="C632" s="73"/>
      <c r="D632" s="73"/>
      <c r="E632" s="73"/>
      <c r="F632" s="72"/>
    </row>
    <row r="633" ht="14.25" customHeight="1">
      <c r="A633" s="73"/>
      <c r="B633" s="73"/>
      <c r="C633" s="73"/>
      <c r="D633" s="73"/>
      <c r="E633" s="73"/>
      <c r="F633" s="72"/>
    </row>
    <row r="634" ht="14.25" customHeight="1">
      <c r="A634" s="73"/>
      <c r="B634" s="73"/>
      <c r="C634" s="73"/>
      <c r="D634" s="73"/>
      <c r="E634" s="73"/>
      <c r="F634" s="72"/>
    </row>
    <row r="635" ht="14.25" customHeight="1">
      <c r="A635" s="73"/>
      <c r="B635" s="73"/>
      <c r="C635" s="73"/>
      <c r="D635" s="73"/>
      <c r="E635" s="73"/>
      <c r="F635" s="72"/>
    </row>
    <row r="636" ht="14.25" customHeight="1">
      <c r="A636" s="73"/>
      <c r="B636" s="73"/>
      <c r="C636" s="73"/>
      <c r="D636" s="73"/>
      <c r="E636" s="73"/>
      <c r="F636" s="72"/>
    </row>
    <row r="637" ht="14.25" customHeight="1">
      <c r="A637" s="73"/>
      <c r="B637" s="73"/>
      <c r="C637" s="73"/>
      <c r="D637" s="73"/>
      <c r="E637" s="73"/>
      <c r="F637" s="72"/>
    </row>
    <row r="638" ht="14.25" customHeight="1">
      <c r="A638" s="73"/>
      <c r="B638" s="73"/>
      <c r="C638" s="73"/>
      <c r="D638" s="73"/>
      <c r="E638" s="73"/>
      <c r="F638" s="72"/>
    </row>
    <row r="639" ht="14.25" customHeight="1">
      <c r="A639" s="73"/>
      <c r="B639" s="73"/>
      <c r="C639" s="73"/>
      <c r="D639" s="73"/>
      <c r="E639" s="73"/>
      <c r="F639" s="72"/>
    </row>
    <row r="640" ht="14.25" customHeight="1">
      <c r="A640" s="73"/>
      <c r="B640" s="73"/>
      <c r="C640" s="73"/>
      <c r="D640" s="73"/>
      <c r="E640" s="73"/>
      <c r="F640" s="72"/>
    </row>
    <row r="641" ht="14.25" customHeight="1">
      <c r="A641" s="73"/>
      <c r="B641" s="73"/>
      <c r="C641" s="73"/>
      <c r="D641" s="73"/>
      <c r="E641" s="73"/>
      <c r="F641" s="72"/>
    </row>
    <row r="642" ht="14.25" customHeight="1">
      <c r="A642" s="73"/>
      <c r="B642" s="73"/>
      <c r="C642" s="73"/>
      <c r="D642" s="73"/>
      <c r="E642" s="73"/>
      <c r="F642" s="72"/>
    </row>
    <row r="643" ht="14.25" customHeight="1">
      <c r="A643" s="73"/>
      <c r="B643" s="73"/>
      <c r="C643" s="73"/>
      <c r="D643" s="73"/>
      <c r="E643" s="73"/>
      <c r="F643" s="72"/>
    </row>
    <row r="644" ht="14.25" customHeight="1">
      <c r="A644" s="73"/>
      <c r="B644" s="73"/>
      <c r="C644" s="73"/>
      <c r="D644" s="73"/>
      <c r="E644" s="73"/>
      <c r="F644" s="72"/>
    </row>
    <row r="645" ht="14.25" customHeight="1">
      <c r="A645" s="73"/>
      <c r="B645" s="73"/>
      <c r="C645" s="73"/>
      <c r="D645" s="73"/>
      <c r="E645" s="73"/>
      <c r="F645" s="72"/>
    </row>
    <row r="646" ht="14.25" customHeight="1">
      <c r="A646" s="73"/>
      <c r="B646" s="73"/>
      <c r="C646" s="73"/>
      <c r="D646" s="73"/>
      <c r="E646" s="73"/>
      <c r="F646" s="72"/>
    </row>
    <row r="647" ht="14.25" customHeight="1">
      <c r="A647" s="73"/>
      <c r="B647" s="73"/>
      <c r="C647" s="73"/>
      <c r="D647" s="73"/>
      <c r="E647" s="73"/>
      <c r="F647" s="72"/>
    </row>
    <row r="648" ht="14.25" customHeight="1">
      <c r="A648" s="73"/>
      <c r="B648" s="73"/>
      <c r="C648" s="73"/>
      <c r="D648" s="73"/>
      <c r="E648" s="73"/>
      <c r="F648" s="72"/>
    </row>
    <row r="649" ht="14.25" customHeight="1">
      <c r="A649" s="73"/>
      <c r="B649" s="73"/>
      <c r="C649" s="73"/>
      <c r="D649" s="73"/>
      <c r="E649" s="73"/>
      <c r="F649" s="72"/>
    </row>
    <row r="650" ht="14.25" customHeight="1">
      <c r="A650" s="73"/>
      <c r="B650" s="73"/>
      <c r="C650" s="73"/>
      <c r="D650" s="73"/>
      <c r="E650" s="73"/>
      <c r="F650" s="72"/>
    </row>
    <row r="651" ht="14.25" customHeight="1">
      <c r="A651" s="73"/>
      <c r="B651" s="73"/>
      <c r="C651" s="73"/>
      <c r="D651" s="73"/>
      <c r="E651" s="73"/>
      <c r="F651" s="72"/>
    </row>
    <row r="652" ht="14.25" customHeight="1">
      <c r="A652" s="73"/>
      <c r="B652" s="73"/>
      <c r="C652" s="73"/>
      <c r="D652" s="73"/>
      <c r="E652" s="73"/>
      <c r="F652" s="72"/>
    </row>
    <row r="653" ht="14.25" customHeight="1">
      <c r="A653" s="73"/>
      <c r="B653" s="73"/>
      <c r="C653" s="73"/>
      <c r="D653" s="73"/>
      <c r="E653" s="73"/>
      <c r="F653" s="72"/>
    </row>
    <row r="654" ht="14.25" customHeight="1">
      <c r="A654" s="73"/>
      <c r="B654" s="73"/>
      <c r="C654" s="73"/>
      <c r="D654" s="73"/>
      <c r="E654" s="73"/>
      <c r="F654" s="72"/>
    </row>
    <row r="655" ht="14.25" customHeight="1">
      <c r="A655" s="73"/>
      <c r="B655" s="73"/>
      <c r="C655" s="73"/>
      <c r="D655" s="73"/>
      <c r="E655" s="73"/>
      <c r="F655" s="72"/>
    </row>
    <row r="656" ht="14.25" customHeight="1">
      <c r="A656" s="73"/>
      <c r="B656" s="73"/>
      <c r="C656" s="73"/>
      <c r="D656" s="73"/>
      <c r="E656" s="73"/>
      <c r="F656" s="72"/>
    </row>
    <row r="657" ht="14.25" customHeight="1">
      <c r="A657" s="73"/>
      <c r="B657" s="73"/>
      <c r="C657" s="73"/>
      <c r="D657" s="73"/>
      <c r="E657" s="73"/>
      <c r="F657" s="72"/>
    </row>
    <row r="658" ht="14.25" customHeight="1">
      <c r="A658" s="73"/>
      <c r="B658" s="73"/>
      <c r="C658" s="73"/>
      <c r="D658" s="73"/>
      <c r="E658" s="73"/>
      <c r="F658" s="72"/>
    </row>
    <row r="659" ht="14.25" customHeight="1">
      <c r="A659" s="73"/>
      <c r="B659" s="73"/>
      <c r="C659" s="73"/>
      <c r="D659" s="73"/>
      <c r="E659" s="73"/>
      <c r="F659" s="72"/>
    </row>
    <row r="660" ht="14.25" customHeight="1">
      <c r="A660" s="73"/>
      <c r="B660" s="73"/>
      <c r="C660" s="73"/>
      <c r="D660" s="73"/>
      <c r="E660" s="73"/>
      <c r="F660" s="72"/>
    </row>
    <row r="661" ht="14.25" customHeight="1">
      <c r="A661" s="73"/>
      <c r="B661" s="73"/>
      <c r="C661" s="73"/>
      <c r="D661" s="73"/>
      <c r="E661" s="73"/>
      <c r="F661" s="72"/>
    </row>
    <row r="662" ht="14.25" customHeight="1">
      <c r="A662" s="73"/>
      <c r="B662" s="73"/>
      <c r="C662" s="73"/>
      <c r="D662" s="73"/>
      <c r="E662" s="73"/>
      <c r="F662" s="72"/>
    </row>
    <row r="663" ht="14.25" customHeight="1">
      <c r="A663" s="73"/>
      <c r="B663" s="73"/>
      <c r="C663" s="73"/>
      <c r="D663" s="73"/>
      <c r="E663" s="73"/>
      <c r="F663" s="72"/>
    </row>
    <row r="664" ht="14.25" customHeight="1">
      <c r="A664" s="73"/>
      <c r="B664" s="73"/>
      <c r="C664" s="73"/>
      <c r="D664" s="73"/>
      <c r="E664" s="73"/>
      <c r="F664" s="72"/>
    </row>
    <row r="665" ht="14.25" customHeight="1">
      <c r="A665" s="73"/>
      <c r="B665" s="73"/>
      <c r="C665" s="73"/>
      <c r="D665" s="73"/>
      <c r="E665" s="73"/>
      <c r="F665" s="72"/>
    </row>
    <row r="666" ht="14.25" customHeight="1">
      <c r="A666" s="73"/>
      <c r="B666" s="73"/>
      <c r="C666" s="73"/>
      <c r="D666" s="73"/>
      <c r="E666" s="73"/>
      <c r="F666" s="72"/>
    </row>
    <row r="667" ht="14.25" customHeight="1">
      <c r="A667" s="73"/>
      <c r="B667" s="73"/>
      <c r="C667" s="73"/>
      <c r="D667" s="73"/>
      <c r="E667" s="73"/>
      <c r="F667" s="72"/>
    </row>
    <row r="668" ht="14.25" customHeight="1">
      <c r="A668" s="73"/>
      <c r="B668" s="73"/>
      <c r="C668" s="73"/>
      <c r="D668" s="73"/>
      <c r="E668" s="73"/>
      <c r="F668" s="72"/>
    </row>
    <row r="669" ht="14.25" customHeight="1">
      <c r="A669" s="73"/>
      <c r="B669" s="73"/>
      <c r="C669" s="73"/>
      <c r="D669" s="73"/>
      <c r="E669" s="73"/>
      <c r="F669" s="72"/>
    </row>
    <row r="670" ht="14.25" customHeight="1">
      <c r="A670" s="73"/>
      <c r="B670" s="73"/>
      <c r="C670" s="73"/>
      <c r="D670" s="73"/>
      <c r="E670" s="73"/>
      <c r="F670" s="72"/>
    </row>
    <row r="671" ht="14.25" customHeight="1">
      <c r="A671" s="73"/>
      <c r="B671" s="73"/>
      <c r="C671" s="73"/>
      <c r="D671" s="73"/>
      <c r="E671" s="73"/>
      <c r="F671" s="72"/>
    </row>
    <row r="672" ht="14.25" customHeight="1">
      <c r="A672" s="73"/>
      <c r="B672" s="73"/>
      <c r="C672" s="73"/>
      <c r="D672" s="73"/>
      <c r="E672" s="73"/>
      <c r="F672" s="72"/>
    </row>
    <row r="673" ht="14.25" customHeight="1">
      <c r="A673" s="73"/>
      <c r="B673" s="73"/>
      <c r="C673" s="73"/>
      <c r="D673" s="73"/>
      <c r="E673" s="73"/>
      <c r="F673" s="72"/>
    </row>
    <row r="674" ht="14.25" customHeight="1">
      <c r="A674" s="73"/>
      <c r="B674" s="73"/>
      <c r="C674" s="73"/>
      <c r="D674" s="73"/>
      <c r="E674" s="73"/>
      <c r="F674" s="72"/>
    </row>
    <row r="675" ht="14.25" customHeight="1">
      <c r="A675" s="73"/>
      <c r="B675" s="73"/>
      <c r="C675" s="73"/>
      <c r="D675" s="73"/>
      <c r="E675" s="73"/>
      <c r="F675" s="72"/>
    </row>
    <row r="676" ht="14.25" customHeight="1">
      <c r="A676" s="73"/>
      <c r="B676" s="73"/>
      <c r="C676" s="73"/>
      <c r="D676" s="73"/>
      <c r="E676" s="73"/>
      <c r="F676" s="72"/>
    </row>
    <row r="677" ht="14.25" customHeight="1">
      <c r="A677" s="73"/>
      <c r="B677" s="73"/>
      <c r="C677" s="73"/>
      <c r="D677" s="73"/>
      <c r="E677" s="73"/>
      <c r="F677" s="72"/>
    </row>
    <row r="678" ht="14.25" customHeight="1">
      <c r="A678" s="73"/>
      <c r="B678" s="73"/>
      <c r="C678" s="73"/>
      <c r="D678" s="73"/>
      <c r="E678" s="73"/>
      <c r="F678" s="72"/>
    </row>
    <row r="679" ht="14.25" customHeight="1">
      <c r="A679" s="73"/>
      <c r="B679" s="73"/>
      <c r="C679" s="73"/>
      <c r="D679" s="73"/>
      <c r="E679" s="73"/>
      <c r="F679" s="72"/>
    </row>
    <row r="680" ht="14.25" customHeight="1">
      <c r="A680" s="73"/>
      <c r="B680" s="73"/>
      <c r="C680" s="73"/>
      <c r="D680" s="73"/>
      <c r="E680" s="73"/>
      <c r="F680" s="72"/>
    </row>
    <row r="681" ht="14.25" customHeight="1">
      <c r="A681" s="73"/>
      <c r="B681" s="73"/>
      <c r="C681" s="73"/>
      <c r="D681" s="73"/>
      <c r="E681" s="73"/>
      <c r="F681" s="72"/>
    </row>
    <row r="682" ht="14.25" customHeight="1">
      <c r="A682" s="73"/>
      <c r="B682" s="73"/>
      <c r="C682" s="73"/>
      <c r="D682" s="73"/>
      <c r="E682" s="73"/>
      <c r="F682" s="72"/>
    </row>
    <row r="683" ht="14.25" customHeight="1">
      <c r="A683" s="73"/>
      <c r="B683" s="73"/>
      <c r="C683" s="73"/>
      <c r="D683" s="73"/>
      <c r="E683" s="73"/>
      <c r="F683" s="72"/>
    </row>
    <row r="684" ht="14.25" customHeight="1">
      <c r="A684" s="73"/>
      <c r="B684" s="73"/>
      <c r="C684" s="73"/>
      <c r="D684" s="73"/>
      <c r="E684" s="73"/>
      <c r="F684" s="72"/>
    </row>
    <row r="685" ht="14.25" customHeight="1">
      <c r="A685" s="73"/>
      <c r="B685" s="73"/>
      <c r="C685" s="73"/>
      <c r="D685" s="73"/>
      <c r="E685" s="73"/>
      <c r="F685" s="72"/>
    </row>
    <row r="686" ht="14.25" customHeight="1">
      <c r="A686" s="73"/>
      <c r="B686" s="73"/>
      <c r="C686" s="73"/>
      <c r="D686" s="73"/>
      <c r="E686" s="73"/>
      <c r="F686" s="72"/>
    </row>
    <row r="687" ht="14.25" customHeight="1">
      <c r="A687" s="73"/>
      <c r="B687" s="73"/>
      <c r="C687" s="73"/>
      <c r="D687" s="73"/>
      <c r="E687" s="73"/>
      <c r="F687" s="72"/>
    </row>
    <row r="688" ht="14.25" customHeight="1">
      <c r="A688" s="73"/>
      <c r="B688" s="73"/>
      <c r="C688" s="73"/>
      <c r="D688" s="73"/>
      <c r="E688" s="73"/>
      <c r="F688" s="72"/>
    </row>
    <row r="689" ht="14.25" customHeight="1">
      <c r="A689" s="73"/>
      <c r="B689" s="73"/>
      <c r="C689" s="73"/>
      <c r="D689" s="73"/>
      <c r="E689" s="73"/>
      <c r="F689" s="72"/>
    </row>
    <row r="690" ht="14.25" customHeight="1">
      <c r="A690" s="73"/>
      <c r="B690" s="73"/>
      <c r="C690" s="73"/>
      <c r="D690" s="73"/>
      <c r="E690" s="73"/>
      <c r="F690" s="72"/>
    </row>
    <row r="691" ht="14.25" customHeight="1">
      <c r="A691" s="73"/>
      <c r="B691" s="73"/>
      <c r="C691" s="73"/>
      <c r="D691" s="73"/>
      <c r="E691" s="73"/>
      <c r="F691" s="72"/>
    </row>
    <row r="692" ht="14.25" customHeight="1">
      <c r="A692" s="73"/>
      <c r="B692" s="73"/>
      <c r="C692" s="73"/>
      <c r="D692" s="73"/>
      <c r="E692" s="73"/>
      <c r="F692" s="72"/>
    </row>
    <row r="693" ht="14.25" customHeight="1">
      <c r="A693" s="73"/>
      <c r="B693" s="73"/>
      <c r="C693" s="73"/>
      <c r="D693" s="73"/>
      <c r="E693" s="73"/>
      <c r="F693" s="72"/>
    </row>
    <row r="694" ht="14.25" customHeight="1">
      <c r="A694" s="73"/>
      <c r="B694" s="73"/>
      <c r="C694" s="73"/>
      <c r="D694" s="73"/>
      <c r="E694" s="73"/>
      <c r="F694" s="72"/>
    </row>
    <row r="695" ht="14.25" customHeight="1">
      <c r="A695" s="73"/>
      <c r="B695" s="73"/>
      <c r="C695" s="73"/>
      <c r="D695" s="73"/>
      <c r="E695" s="73"/>
      <c r="F695" s="72"/>
    </row>
    <row r="696" ht="14.25" customHeight="1">
      <c r="A696" s="73"/>
      <c r="B696" s="73"/>
      <c r="C696" s="73"/>
      <c r="D696" s="73"/>
      <c r="E696" s="73"/>
      <c r="F696" s="72"/>
    </row>
    <row r="697" ht="14.25" customHeight="1">
      <c r="A697" s="73"/>
      <c r="B697" s="73"/>
      <c r="C697" s="73"/>
      <c r="D697" s="73"/>
      <c r="E697" s="73"/>
      <c r="F697" s="72"/>
    </row>
    <row r="698" ht="14.25" customHeight="1">
      <c r="A698" s="73"/>
      <c r="B698" s="73"/>
      <c r="C698" s="73"/>
      <c r="D698" s="73"/>
      <c r="E698" s="73"/>
      <c r="F698" s="72"/>
    </row>
    <row r="699" ht="14.25" customHeight="1">
      <c r="A699" s="73"/>
      <c r="B699" s="73"/>
      <c r="C699" s="73"/>
      <c r="D699" s="73"/>
      <c r="E699" s="73"/>
      <c r="F699" s="72"/>
    </row>
    <row r="700" ht="14.25" customHeight="1">
      <c r="A700" s="73"/>
      <c r="B700" s="73"/>
      <c r="C700" s="73"/>
      <c r="D700" s="73"/>
      <c r="E700" s="73"/>
      <c r="F700" s="72"/>
    </row>
    <row r="701" ht="14.25" customHeight="1">
      <c r="A701" s="73"/>
      <c r="B701" s="73"/>
      <c r="C701" s="73"/>
      <c r="D701" s="73"/>
      <c r="E701" s="73"/>
      <c r="F701" s="72"/>
    </row>
    <row r="702" ht="14.25" customHeight="1">
      <c r="A702" s="73"/>
      <c r="B702" s="73"/>
      <c r="C702" s="73"/>
      <c r="D702" s="73"/>
      <c r="E702" s="73"/>
      <c r="F702" s="72"/>
    </row>
    <row r="703" ht="14.25" customHeight="1">
      <c r="A703" s="73"/>
      <c r="B703" s="73"/>
      <c r="C703" s="73"/>
      <c r="D703" s="73"/>
      <c r="E703" s="73"/>
      <c r="F703" s="72"/>
    </row>
    <row r="704" ht="14.25" customHeight="1">
      <c r="A704" s="73"/>
      <c r="B704" s="73"/>
      <c r="C704" s="73"/>
      <c r="D704" s="73"/>
      <c r="E704" s="73"/>
      <c r="F704" s="72"/>
    </row>
    <row r="705" ht="14.25" customHeight="1">
      <c r="A705" s="73"/>
      <c r="B705" s="73"/>
      <c r="C705" s="73"/>
      <c r="D705" s="73"/>
      <c r="E705" s="73"/>
      <c r="F705" s="72"/>
    </row>
    <row r="706" ht="14.25" customHeight="1">
      <c r="A706" s="73"/>
      <c r="B706" s="73"/>
      <c r="C706" s="73"/>
      <c r="D706" s="73"/>
      <c r="E706" s="73"/>
      <c r="F706" s="72"/>
    </row>
    <row r="707" ht="14.25" customHeight="1">
      <c r="A707" s="73"/>
      <c r="B707" s="73"/>
      <c r="C707" s="73"/>
      <c r="D707" s="73"/>
      <c r="E707" s="73"/>
      <c r="F707" s="72"/>
    </row>
    <row r="708" ht="14.25" customHeight="1">
      <c r="A708" s="73"/>
      <c r="B708" s="73"/>
      <c r="C708" s="73"/>
      <c r="D708" s="73"/>
      <c r="E708" s="73"/>
      <c r="F708" s="72"/>
    </row>
    <row r="709" ht="14.25" customHeight="1">
      <c r="A709" s="73"/>
      <c r="B709" s="73"/>
      <c r="C709" s="73"/>
      <c r="D709" s="73"/>
      <c r="E709" s="73"/>
      <c r="F709" s="72"/>
    </row>
    <row r="710" ht="14.25" customHeight="1">
      <c r="A710" s="73"/>
      <c r="B710" s="73"/>
      <c r="C710" s="73"/>
      <c r="D710" s="73"/>
      <c r="E710" s="73"/>
      <c r="F710" s="72"/>
    </row>
    <row r="711" ht="14.25" customHeight="1">
      <c r="A711" s="73"/>
      <c r="B711" s="73"/>
      <c r="C711" s="73"/>
      <c r="D711" s="73"/>
      <c r="E711" s="73"/>
      <c r="F711" s="72"/>
    </row>
    <row r="712" ht="14.25" customHeight="1">
      <c r="A712" s="73"/>
      <c r="B712" s="73"/>
      <c r="C712" s="73"/>
      <c r="D712" s="73"/>
      <c r="E712" s="73"/>
      <c r="F712" s="72"/>
    </row>
    <row r="713" ht="14.25" customHeight="1">
      <c r="A713" s="73"/>
      <c r="B713" s="73"/>
      <c r="C713" s="73"/>
      <c r="D713" s="73"/>
      <c r="E713" s="73"/>
      <c r="F713" s="72"/>
    </row>
    <row r="714" ht="14.25" customHeight="1">
      <c r="A714" s="73"/>
      <c r="B714" s="73"/>
      <c r="C714" s="73"/>
      <c r="D714" s="73"/>
      <c r="E714" s="73"/>
      <c r="F714" s="72"/>
    </row>
    <row r="715" ht="14.25" customHeight="1">
      <c r="A715" s="73"/>
      <c r="B715" s="73"/>
      <c r="C715" s="73"/>
      <c r="D715" s="73"/>
      <c r="E715" s="73"/>
      <c r="F715" s="72"/>
    </row>
    <row r="716" ht="14.25" customHeight="1">
      <c r="A716" s="73"/>
      <c r="B716" s="73"/>
      <c r="C716" s="73"/>
      <c r="D716" s="73"/>
      <c r="E716" s="73"/>
      <c r="F716" s="72"/>
    </row>
    <row r="717" ht="14.25" customHeight="1">
      <c r="A717" s="73"/>
      <c r="B717" s="73"/>
      <c r="C717" s="73"/>
      <c r="D717" s="73"/>
      <c r="E717" s="73"/>
      <c r="F717" s="72"/>
    </row>
    <row r="718" ht="14.25" customHeight="1">
      <c r="A718" s="73"/>
      <c r="B718" s="73"/>
      <c r="C718" s="73"/>
      <c r="D718" s="73"/>
      <c r="E718" s="73"/>
      <c r="F718" s="72"/>
    </row>
    <row r="719" ht="14.25" customHeight="1">
      <c r="A719" s="73"/>
      <c r="B719" s="73"/>
      <c r="C719" s="73"/>
      <c r="D719" s="73"/>
      <c r="E719" s="73"/>
      <c r="F719" s="72"/>
    </row>
    <row r="720" ht="14.25" customHeight="1">
      <c r="A720" s="73"/>
      <c r="B720" s="73"/>
      <c r="C720" s="73"/>
      <c r="D720" s="73"/>
      <c r="E720" s="73"/>
      <c r="F720" s="72"/>
    </row>
    <row r="721" ht="14.25" customHeight="1">
      <c r="A721" s="73"/>
      <c r="B721" s="73"/>
      <c r="C721" s="73"/>
      <c r="D721" s="73"/>
      <c r="E721" s="73"/>
      <c r="F721" s="72"/>
    </row>
    <row r="722" ht="14.25" customHeight="1">
      <c r="A722" s="73"/>
      <c r="B722" s="73"/>
      <c r="C722" s="73"/>
      <c r="D722" s="73"/>
      <c r="E722" s="73"/>
      <c r="F722" s="72"/>
    </row>
    <row r="723" ht="14.25" customHeight="1">
      <c r="A723" s="73"/>
      <c r="B723" s="73"/>
      <c r="C723" s="73"/>
      <c r="D723" s="73"/>
      <c r="E723" s="73"/>
      <c r="F723" s="72"/>
    </row>
    <row r="724" ht="14.25" customHeight="1">
      <c r="A724" s="73"/>
      <c r="B724" s="73"/>
      <c r="C724" s="73"/>
      <c r="D724" s="73"/>
      <c r="E724" s="73"/>
      <c r="F724" s="72"/>
    </row>
    <row r="725" ht="14.25" customHeight="1">
      <c r="A725" s="73"/>
      <c r="B725" s="73"/>
      <c r="C725" s="73"/>
      <c r="D725" s="73"/>
      <c r="E725" s="73"/>
      <c r="F725" s="72"/>
    </row>
    <row r="726" ht="14.25" customHeight="1">
      <c r="A726" s="73"/>
      <c r="B726" s="73"/>
      <c r="C726" s="73"/>
      <c r="D726" s="73"/>
      <c r="E726" s="73"/>
      <c r="F726" s="72"/>
    </row>
    <row r="727" ht="14.25" customHeight="1">
      <c r="A727" s="73"/>
      <c r="B727" s="73"/>
      <c r="C727" s="73"/>
      <c r="D727" s="73"/>
      <c r="E727" s="73"/>
      <c r="F727" s="72"/>
    </row>
    <row r="728" ht="14.25" customHeight="1">
      <c r="A728" s="73"/>
      <c r="B728" s="73"/>
      <c r="C728" s="73"/>
      <c r="D728" s="73"/>
      <c r="E728" s="73"/>
      <c r="F728" s="72"/>
    </row>
    <row r="729" ht="14.25" customHeight="1">
      <c r="A729" s="73"/>
      <c r="B729" s="73"/>
      <c r="C729" s="73"/>
      <c r="D729" s="73"/>
      <c r="E729" s="73"/>
      <c r="F729" s="72"/>
    </row>
    <row r="730" ht="14.25" customHeight="1">
      <c r="A730" s="73"/>
      <c r="B730" s="73"/>
      <c r="C730" s="73"/>
      <c r="D730" s="73"/>
      <c r="E730" s="73"/>
      <c r="F730" s="72"/>
    </row>
    <row r="731" ht="14.25" customHeight="1">
      <c r="A731" s="73"/>
      <c r="B731" s="73"/>
      <c r="C731" s="73"/>
      <c r="D731" s="73"/>
      <c r="E731" s="73"/>
      <c r="F731" s="72"/>
    </row>
    <row r="732" ht="14.25" customHeight="1">
      <c r="A732" s="73"/>
      <c r="B732" s="73"/>
      <c r="C732" s="73"/>
      <c r="D732" s="73"/>
      <c r="E732" s="73"/>
      <c r="F732" s="72"/>
    </row>
    <row r="733" ht="14.25" customHeight="1">
      <c r="A733" s="73"/>
      <c r="B733" s="73"/>
      <c r="C733" s="73"/>
      <c r="D733" s="73"/>
      <c r="E733" s="73"/>
      <c r="F733" s="72"/>
    </row>
    <row r="734" ht="14.25" customHeight="1">
      <c r="A734" s="73"/>
      <c r="B734" s="73"/>
      <c r="C734" s="73"/>
      <c r="D734" s="73"/>
      <c r="E734" s="73"/>
      <c r="F734" s="72"/>
    </row>
    <row r="735" ht="14.25" customHeight="1">
      <c r="A735" s="73"/>
      <c r="B735" s="73"/>
      <c r="C735" s="73"/>
      <c r="D735" s="73"/>
      <c r="E735" s="73"/>
      <c r="F735" s="72"/>
    </row>
    <row r="736" ht="14.25" customHeight="1">
      <c r="A736" s="73"/>
      <c r="B736" s="73"/>
      <c r="C736" s="73"/>
      <c r="D736" s="73"/>
      <c r="E736" s="73"/>
      <c r="F736" s="72"/>
    </row>
    <row r="737" ht="14.25" customHeight="1">
      <c r="A737" s="73"/>
      <c r="B737" s="73"/>
      <c r="C737" s="73"/>
      <c r="D737" s="73"/>
      <c r="E737" s="73"/>
      <c r="F737" s="72"/>
    </row>
    <row r="738" ht="14.25" customHeight="1">
      <c r="A738" s="73"/>
      <c r="B738" s="73"/>
      <c r="C738" s="73"/>
      <c r="D738" s="73"/>
      <c r="E738" s="73"/>
      <c r="F738" s="72"/>
    </row>
    <row r="739" ht="14.25" customHeight="1">
      <c r="A739" s="73"/>
      <c r="B739" s="73"/>
      <c r="C739" s="73"/>
      <c r="D739" s="73"/>
      <c r="E739" s="73"/>
      <c r="F739" s="72"/>
    </row>
    <row r="740" ht="14.25" customHeight="1">
      <c r="A740" s="73"/>
      <c r="B740" s="73"/>
      <c r="C740" s="73"/>
      <c r="D740" s="73"/>
      <c r="E740" s="73"/>
      <c r="F740" s="72"/>
    </row>
    <row r="741" ht="14.25" customHeight="1">
      <c r="A741" s="73"/>
      <c r="B741" s="73"/>
      <c r="C741" s="73"/>
      <c r="D741" s="73"/>
      <c r="E741" s="73"/>
      <c r="F741" s="72"/>
    </row>
    <row r="742" ht="14.25" customHeight="1">
      <c r="A742" s="73"/>
      <c r="B742" s="73"/>
      <c r="C742" s="73"/>
      <c r="D742" s="73"/>
      <c r="E742" s="73"/>
      <c r="F742" s="72"/>
    </row>
    <row r="743" ht="14.25" customHeight="1">
      <c r="A743" s="73"/>
      <c r="B743" s="73"/>
      <c r="C743" s="73"/>
      <c r="D743" s="73"/>
      <c r="E743" s="73"/>
      <c r="F743" s="72"/>
    </row>
    <row r="744" ht="14.25" customHeight="1">
      <c r="A744" s="73"/>
      <c r="B744" s="73"/>
      <c r="C744" s="73"/>
      <c r="D744" s="73"/>
      <c r="E744" s="73"/>
      <c r="F744" s="72"/>
    </row>
    <row r="745" ht="14.25" customHeight="1">
      <c r="A745" s="73"/>
      <c r="B745" s="73"/>
      <c r="C745" s="73"/>
      <c r="D745" s="73"/>
      <c r="E745" s="73"/>
      <c r="F745" s="72"/>
    </row>
    <row r="746" ht="14.25" customHeight="1">
      <c r="A746" s="73"/>
      <c r="B746" s="73"/>
      <c r="C746" s="73"/>
      <c r="D746" s="73"/>
      <c r="E746" s="73"/>
      <c r="F746" s="72"/>
    </row>
    <row r="747" ht="14.25" customHeight="1">
      <c r="A747" s="73"/>
      <c r="B747" s="73"/>
      <c r="C747" s="73"/>
      <c r="D747" s="73"/>
      <c r="E747" s="73"/>
      <c r="F747" s="72"/>
    </row>
    <row r="748" ht="14.25" customHeight="1">
      <c r="A748" s="73"/>
      <c r="B748" s="73"/>
      <c r="C748" s="73"/>
      <c r="D748" s="73"/>
      <c r="E748" s="73"/>
      <c r="F748" s="72"/>
    </row>
    <row r="749" ht="14.25" customHeight="1">
      <c r="A749" s="73"/>
      <c r="B749" s="73"/>
      <c r="C749" s="73"/>
      <c r="D749" s="73"/>
      <c r="E749" s="73"/>
      <c r="F749" s="72"/>
    </row>
    <row r="750" ht="14.25" customHeight="1">
      <c r="A750" s="73"/>
      <c r="B750" s="73"/>
      <c r="C750" s="73"/>
      <c r="D750" s="73"/>
      <c r="E750" s="73"/>
      <c r="F750" s="72"/>
    </row>
    <row r="751" ht="14.25" customHeight="1">
      <c r="A751" s="73"/>
      <c r="B751" s="73"/>
      <c r="C751" s="73"/>
      <c r="D751" s="73"/>
      <c r="E751" s="73"/>
      <c r="F751" s="72"/>
    </row>
    <row r="752" ht="14.25" customHeight="1">
      <c r="A752" s="73"/>
      <c r="B752" s="73"/>
      <c r="C752" s="73"/>
      <c r="D752" s="73"/>
      <c r="E752" s="73"/>
      <c r="F752" s="72"/>
    </row>
    <row r="753" ht="14.25" customHeight="1">
      <c r="A753" s="73"/>
      <c r="B753" s="73"/>
      <c r="C753" s="73"/>
      <c r="D753" s="73"/>
      <c r="E753" s="73"/>
      <c r="F753" s="72"/>
    </row>
    <row r="754" ht="14.25" customHeight="1">
      <c r="A754" s="73"/>
      <c r="B754" s="73"/>
      <c r="C754" s="73"/>
      <c r="D754" s="73"/>
      <c r="E754" s="73"/>
      <c r="F754" s="72"/>
    </row>
    <row r="755" ht="14.25" customHeight="1">
      <c r="A755" s="73"/>
      <c r="B755" s="73"/>
      <c r="C755" s="73"/>
      <c r="D755" s="73"/>
      <c r="E755" s="73"/>
      <c r="F755" s="72"/>
    </row>
    <row r="756" ht="14.25" customHeight="1">
      <c r="A756" s="73"/>
      <c r="B756" s="73"/>
      <c r="C756" s="73"/>
      <c r="D756" s="73"/>
      <c r="E756" s="73"/>
      <c r="F756" s="72"/>
    </row>
    <row r="757" ht="14.25" customHeight="1">
      <c r="A757" s="73"/>
      <c r="B757" s="73"/>
      <c r="C757" s="73"/>
      <c r="D757" s="73"/>
      <c r="E757" s="73"/>
      <c r="F757" s="72"/>
    </row>
    <row r="758" ht="14.25" customHeight="1">
      <c r="A758" s="73"/>
      <c r="B758" s="73"/>
      <c r="C758" s="73"/>
      <c r="D758" s="73"/>
      <c r="E758" s="73"/>
      <c r="F758" s="72"/>
    </row>
    <row r="759" ht="14.25" customHeight="1">
      <c r="A759" s="73"/>
      <c r="B759" s="73"/>
      <c r="C759" s="73"/>
      <c r="D759" s="73"/>
      <c r="E759" s="73"/>
      <c r="F759" s="72"/>
    </row>
    <row r="760" ht="14.25" customHeight="1">
      <c r="A760" s="73"/>
      <c r="B760" s="73"/>
      <c r="C760" s="73"/>
      <c r="D760" s="73"/>
      <c r="E760" s="73"/>
      <c r="F760" s="72"/>
    </row>
    <row r="761" ht="14.25" customHeight="1">
      <c r="A761" s="73"/>
      <c r="B761" s="73"/>
      <c r="C761" s="73"/>
      <c r="D761" s="73"/>
      <c r="E761" s="73"/>
      <c r="F761" s="72"/>
    </row>
    <row r="762" ht="14.25" customHeight="1">
      <c r="A762" s="73"/>
      <c r="B762" s="73"/>
      <c r="C762" s="73"/>
      <c r="D762" s="73"/>
      <c r="E762" s="73"/>
      <c r="F762" s="72"/>
    </row>
    <row r="763" ht="14.25" customHeight="1">
      <c r="A763" s="73"/>
      <c r="B763" s="73"/>
      <c r="C763" s="73"/>
      <c r="D763" s="73"/>
      <c r="E763" s="73"/>
      <c r="F763" s="72"/>
    </row>
    <row r="764" ht="14.25" customHeight="1">
      <c r="A764" s="73"/>
      <c r="B764" s="73"/>
      <c r="C764" s="73"/>
      <c r="D764" s="73"/>
      <c r="E764" s="73"/>
      <c r="F764" s="72"/>
    </row>
    <row r="765" ht="14.25" customHeight="1">
      <c r="A765" s="73"/>
      <c r="B765" s="73"/>
      <c r="C765" s="73"/>
      <c r="D765" s="73"/>
      <c r="E765" s="73"/>
      <c r="F765" s="72"/>
    </row>
    <row r="766" ht="14.25" customHeight="1">
      <c r="A766" s="73"/>
      <c r="B766" s="73"/>
      <c r="C766" s="73"/>
      <c r="D766" s="73"/>
      <c r="E766" s="73"/>
      <c r="F766" s="72"/>
    </row>
    <row r="767" ht="14.25" customHeight="1">
      <c r="A767" s="73"/>
      <c r="B767" s="73"/>
      <c r="C767" s="73"/>
      <c r="D767" s="73"/>
      <c r="E767" s="73"/>
      <c r="F767" s="72"/>
    </row>
    <row r="768" ht="14.25" customHeight="1">
      <c r="A768" s="73"/>
      <c r="B768" s="73"/>
      <c r="C768" s="73"/>
      <c r="D768" s="73"/>
      <c r="E768" s="73"/>
      <c r="F768" s="72"/>
    </row>
    <row r="769" ht="14.25" customHeight="1">
      <c r="A769" s="73"/>
      <c r="B769" s="73"/>
      <c r="C769" s="73"/>
      <c r="D769" s="73"/>
      <c r="E769" s="73"/>
      <c r="F769" s="72"/>
    </row>
    <row r="770" ht="14.25" customHeight="1">
      <c r="A770" s="73"/>
      <c r="B770" s="73"/>
      <c r="C770" s="73"/>
      <c r="D770" s="73"/>
      <c r="E770" s="73"/>
      <c r="F770" s="72"/>
    </row>
    <row r="771" ht="14.25" customHeight="1">
      <c r="A771" s="73"/>
      <c r="B771" s="73"/>
      <c r="C771" s="73"/>
      <c r="D771" s="73"/>
      <c r="E771" s="73"/>
      <c r="F771" s="72"/>
    </row>
    <row r="772" ht="14.25" customHeight="1">
      <c r="A772" s="73"/>
      <c r="B772" s="73"/>
      <c r="C772" s="73"/>
      <c r="D772" s="73"/>
      <c r="E772" s="73"/>
      <c r="F772" s="72"/>
    </row>
    <row r="773" ht="14.25" customHeight="1">
      <c r="A773" s="73"/>
      <c r="B773" s="73"/>
      <c r="C773" s="73"/>
      <c r="D773" s="73"/>
      <c r="E773" s="73"/>
      <c r="F773" s="72"/>
    </row>
    <row r="774" ht="14.25" customHeight="1">
      <c r="A774" s="73"/>
      <c r="B774" s="73"/>
      <c r="C774" s="73"/>
      <c r="D774" s="73"/>
      <c r="E774" s="73"/>
      <c r="F774" s="72"/>
    </row>
    <row r="775" ht="14.25" customHeight="1">
      <c r="A775" s="73"/>
      <c r="B775" s="73"/>
      <c r="C775" s="73"/>
      <c r="D775" s="73"/>
      <c r="E775" s="73"/>
      <c r="F775" s="72"/>
    </row>
    <row r="776" ht="14.25" customHeight="1">
      <c r="A776" s="73"/>
      <c r="B776" s="73"/>
      <c r="C776" s="73"/>
      <c r="D776" s="73"/>
      <c r="E776" s="73"/>
      <c r="F776" s="72"/>
    </row>
    <row r="777" ht="14.25" customHeight="1">
      <c r="A777" s="73"/>
      <c r="B777" s="73"/>
      <c r="C777" s="73"/>
      <c r="D777" s="73"/>
      <c r="E777" s="73"/>
      <c r="F777" s="72"/>
    </row>
    <row r="778" ht="14.25" customHeight="1">
      <c r="A778" s="73"/>
      <c r="B778" s="73"/>
      <c r="C778" s="73"/>
      <c r="D778" s="73"/>
      <c r="E778" s="73"/>
      <c r="F778" s="72"/>
    </row>
    <row r="779" ht="14.25" customHeight="1">
      <c r="A779" s="73"/>
      <c r="B779" s="73"/>
      <c r="C779" s="73"/>
      <c r="D779" s="73"/>
      <c r="E779" s="73"/>
      <c r="F779" s="72"/>
    </row>
    <row r="780" ht="14.25" customHeight="1">
      <c r="A780" s="73"/>
      <c r="B780" s="73"/>
      <c r="C780" s="73"/>
      <c r="D780" s="73"/>
      <c r="E780" s="73"/>
      <c r="F780" s="72"/>
    </row>
    <row r="781" ht="14.25" customHeight="1">
      <c r="A781" s="73"/>
      <c r="B781" s="73"/>
      <c r="C781" s="73"/>
      <c r="D781" s="73"/>
      <c r="E781" s="73"/>
      <c r="F781" s="72"/>
    </row>
    <row r="782" ht="14.25" customHeight="1">
      <c r="A782" s="73"/>
      <c r="B782" s="73"/>
      <c r="C782" s="73"/>
      <c r="D782" s="73"/>
      <c r="E782" s="73"/>
      <c r="F782" s="72"/>
    </row>
    <row r="783" ht="14.25" customHeight="1">
      <c r="A783" s="73"/>
      <c r="B783" s="73"/>
      <c r="C783" s="73"/>
      <c r="D783" s="73"/>
      <c r="E783" s="73"/>
      <c r="F783" s="72"/>
    </row>
    <row r="784" ht="14.25" customHeight="1">
      <c r="A784" s="73"/>
      <c r="B784" s="73"/>
      <c r="C784" s="73"/>
      <c r="D784" s="73"/>
      <c r="E784" s="73"/>
      <c r="F784" s="72"/>
    </row>
    <row r="785" ht="14.25" customHeight="1">
      <c r="A785" s="73"/>
      <c r="B785" s="73"/>
      <c r="C785" s="73"/>
      <c r="D785" s="73"/>
      <c r="E785" s="73"/>
      <c r="F785" s="72"/>
    </row>
    <row r="786" ht="14.25" customHeight="1">
      <c r="A786" s="73"/>
      <c r="B786" s="73"/>
      <c r="C786" s="73"/>
      <c r="D786" s="73"/>
      <c r="E786" s="73"/>
      <c r="F786" s="72"/>
    </row>
    <row r="787" ht="14.25" customHeight="1">
      <c r="A787" s="73"/>
      <c r="B787" s="73"/>
      <c r="C787" s="73"/>
      <c r="D787" s="73"/>
      <c r="E787" s="73"/>
      <c r="F787" s="72"/>
    </row>
    <row r="788" ht="14.25" customHeight="1">
      <c r="A788" s="73"/>
      <c r="B788" s="73"/>
      <c r="C788" s="73"/>
      <c r="D788" s="73"/>
      <c r="E788" s="73"/>
      <c r="F788" s="72"/>
    </row>
    <row r="789" ht="14.25" customHeight="1">
      <c r="A789" s="73"/>
      <c r="B789" s="73"/>
      <c r="C789" s="73"/>
      <c r="D789" s="73"/>
      <c r="E789" s="73"/>
      <c r="F789" s="72"/>
    </row>
    <row r="790" ht="14.25" customHeight="1">
      <c r="A790" s="73"/>
      <c r="B790" s="73"/>
      <c r="C790" s="73"/>
      <c r="D790" s="73"/>
      <c r="E790" s="73"/>
      <c r="F790" s="72"/>
    </row>
    <row r="791" ht="14.25" customHeight="1">
      <c r="A791" s="73"/>
      <c r="B791" s="73"/>
      <c r="C791" s="73"/>
      <c r="D791" s="73"/>
      <c r="E791" s="73"/>
      <c r="F791" s="72"/>
    </row>
    <row r="792" ht="14.25" customHeight="1">
      <c r="A792" s="73"/>
      <c r="B792" s="73"/>
      <c r="C792" s="73"/>
      <c r="D792" s="73"/>
      <c r="E792" s="73"/>
      <c r="F792" s="72"/>
    </row>
    <row r="793" ht="14.25" customHeight="1">
      <c r="A793" s="73"/>
      <c r="B793" s="73"/>
      <c r="C793" s="73"/>
      <c r="D793" s="73"/>
      <c r="E793" s="73"/>
      <c r="F793" s="72"/>
    </row>
    <row r="794" ht="14.25" customHeight="1">
      <c r="A794" s="73"/>
      <c r="B794" s="73"/>
      <c r="C794" s="73"/>
      <c r="D794" s="73"/>
      <c r="E794" s="73"/>
      <c r="F794" s="72"/>
    </row>
    <row r="795" ht="14.25" customHeight="1">
      <c r="A795" s="73"/>
      <c r="B795" s="73"/>
      <c r="C795" s="73"/>
      <c r="D795" s="73"/>
      <c r="E795" s="73"/>
      <c r="F795" s="72"/>
    </row>
    <row r="796" ht="14.25" customHeight="1">
      <c r="A796" s="73"/>
      <c r="B796" s="73"/>
      <c r="C796" s="73"/>
      <c r="D796" s="73"/>
      <c r="E796" s="73"/>
      <c r="F796" s="72"/>
    </row>
    <row r="797" ht="14.25" customHeight="1">
      <c r="A797" s="73"/>
      <c r="B797" s="73"/>
      <c r="C797" s="73"/>
      <c r="D797" s="73"/>
      <c r="E797" s="73"/>
      <c r="F797" s="72"/>
    </row>
    <row r="798" ht="14.25" customHeight="1">
      <c r="A798" s="73"/>
      <c r="B798" s="73"/>
      <c r="C798" s="73"/>
      <c r="D798" s="73"/>
      <c r="E798" s="73"/>
      <c r="F798" s="72"/>
    </row>
    <row r="799" ht="14.25" customHeight="1">
      <c r="A799" s="73"/>
      <c r="B799" s="73"/>
      <c r="C799" s="73"/>
      <c r="D799" s="73"/>
      <c r="E799" s="73"/>
      <c r="F799" s="72"/>
    </row>
    <row r="800" ht="14.25" customHeight="1">
      <c r="A800" s="73"/>
      <c r="B800" s="73"/>
      <c r="C800" s="73"/>
      <c r="D800" s="73"/>
      <c r="E800" s="73"/>
      <c r="F800" s="72"/>
    </row>
    <row r="801" ht="14.25" customHeight="1">
      <c r="A801" s="73"/>
      <c r="B801" s="73"/>
      <c r="C801" s="73"/>
      <c r="D801" s="73"/>
      <c r="E801" s="73"/>
      <c r="F801" s="72"/>
    </row>
    <row r="802" ht="14.25" customHeight="1">
      <c r="A802" s="73"/>
      <c r="B802" s="73"/>
      <c r="C802" s="73"/>
      <c r="D802" s="73"/>
      <c r="E802" s="73"/>
      <c r="F802" s="72"/>
    </row>
    <row r="803" ht="14.25" customHeight="1">
      <c r="A803" s="73"/>
      <c r="B803" s="73"/>
      <c r="C803" s="73"/>
      <c r="D803" s="73"/>
      <c r="E803" s="73"/>
      <c r="F803" s="72"/>
    </row>
    <row r="804" ht="14.25" customHeight="1">
      <c r="A804" s="73"/>
      <c r="B804" s="73"/>
      <c r="C804" s="73"/>
      <c r="D804" s="73"/>
      <c r="E804" s="73"/>
      <c r="F804" s="72"/>
    </row>
    <row r="805" ht="14.25" customHeight="1">
      <c r="A805" s="73"/>
      <c r="B805" s="73"/>
      <c r="C805" s="73"/>
      <c r="D805" s="73"/>
      <c r="E805" s="73"/>
      <c r="F805" s="72"/>
    </row>
    <row r="806" ht="14.25" customHeight="1">
      <c r="A806" s="73"/>
      <c r="B806" s="73"/>
      <c r="C806" s="73"/>
      <c r="D806" s="73"/>
      <c r="E806" s="73"/>
      <c r="F806" s="72"/>
    </row>
    <row r="807" ht="14.25" customHeight="1">
      <c r="A807" s="73"/>
      <c r="B807" s="73"/>
      <c r="C807" s="73"/>
      <c r="D807" s="73"/>
      <c r="E807" s="73"/>
      <c r="F807" s="72"/>
    </row>
    <row r="808" ht="14.25" customHeight="1">
      <c r="A808" s="73"/>
      <c r="B808" s="73"/>
      <c r="C808" s="73"/>
      <c r="D808" s="73"/>
      <c r="E808" s="73"/>
      <c r="F808" s="72"/>
    </row>
    <row r="809" ht="14.25" customHeight="1">
      <c r="A809" s="73"/>
      <c r="B809" s="73"/>
      <c r="C809" s="73"/>
      <c r="D809" s="73"/>
      <c r="E809" s="73"/>
      <c r="F809" s="72"/>
    </row>
    <row r="810" ht="14.25" customHeight="1">
      <c r="A810" s="73"/>
      <c r="B810" s="73"/>
      <c r="C810" s="73"/>
      <c r="D810" s="73"/>
      <c r="E810" s="73"/>
      <c r="F810" s="72"/>
    </row>
    <row r="811" ht="14.25" customHeight="1">
      <c r="A811" s="73"/>
      <c r="B811" s="73"/>
      <c r="C811" s="73"/>
      <c r="D811" s="73"/>
      <c r="E811" s="73"/>
      <c r="F811" s="72"/>
    </row>
    <row r="812" ht="14.25" customHeight="1">
      <c r="A812" s="73"/>
      <c r="B812" s="73"/>
      <c r="C812" s="73"/>
      <c r="D812" s="73"/>
      <c r="E812" s="73"/>
      <c r="F812" s="72"/>
    </row>
    <row r="813" ht="14.25" customHeight="1">
      <c r="A813" s="73"/>
      <c r="B813" s="73"/>
      <c r="C813" s="73"/>
      <c r="D813" s="73"/>
      <c r="E813" s="73"/>
      <c r="F813" s="72"/>
    </row>
    <row r="814" ht="14.25" customHeight="1">
      <c r="A814" s="73"/>
      <c r="B814" s="73"/>
      <c r="C814" s="73"/>
      <c r="D814" s="73"/>
      <c r="E814" s="73"/>
      <c r="F814" s="72"/>
    </row>
    <row r="815" ht="14.25" customHeight="1">
      <c r="A815" s="73"/>
      <c r="B815" s="73"/>
      <c r="C815" s="73"/>
      <c r="D815" s="73"/>
      <c r="E815" s="73"/>
      <c r="F815" s="72"/>
    </row>
    <row r="816" ht="14.25" customHeight="1">
      <c r="A816" s="73"/>
      <c r="B816" s="73"/>
      <c r="C816" s="73"/>
      <c r="D816" s="73"/>
      <c r="E816" s="73"/>
      <c r="F816" s="72"/>
    </row>
    <row r="817" ht="14.25" customHeight="1">
      <c r="A817" s="73"/>
      <c r="B817" s="73"/>
      <c r="C817" s="73"/>
      <c r="D817" s="73"/>
      <c r="E817" s="73"/>
      <c r="F817" s="72"/>
    </row>
    <row r="818" ht="14.25" customHeight="1">
      <c r="A818" s="73"/>
      <c r="B818" s="73"/>
      <c r="C818" s="73"/>
      <c r="D818" s="73"/>
      <c r="E818" s="73"/>
      <c r="F818" s="72"/>
    </row>
    <row r="819" ht="14.25" customHeight="1">
      <c r="A819" s="73"/>
      <c r="B819" s="73"/>
      <c r="C819" s="73"/>
      <c r="D819" s="73"/>
      <c r="E819" s="73"/>
      <c r="F819" s="72"/>
    </row>
    <row r="820" ht="14.25" customHeight="1">
      <c r="A820" s="73"/>
      <c r="B820" s="73"/>
      <c r="C820" s="73"/>
      <c r="D820" s="73"/>
      <c r="E820" s="73"/>
      <c r="F820" s="72"/>
    </row>
    <row r="821" ht="14.25" customHeight="1">
      <c r="A821" s="73"/>
      <c r="B821" s="73"/>
      <c r="C821" s="73"/>
      <c r="D821" s="73"/>
      <c r="E821" s="73"/>
      <c r="F821" s="72"/>
    </row>
    <row r="822" ht="14.25" customHeight="1">
      <c r="A822" s="73"/>
      <c r="B822" s="73"/>
      <c r="C822" s="73"/>
      <c r="D822" s="73"/>
      <c r="E822" s="73"/>
      <c r="F822" s="72"/>
    </row>
    <row r="823" ht="14.25" customHeight="1">
      <c r="A823" s="73"/>
      <c r="B823" s="73"/>
      <c r="C823" s="73"/>
      <c r="D823" s="73"/>
      <c r="E823" s="73"/>
      <c r="F823" s="72"/>
    </row>
    <row r="824" ht="14.25" customHeight="1">
      <c r="A824" s="73"/>
      <c r="B824" s="73"/>
      <c r="C824" s="73"/>
      <c r="D824" s="73"/>
      <c r="E824" s="73"/>
      <c r="F824" s="72"/>
    </row>
    <row r="825" ht="14.25" customHeight="1">
      <c r="A825" s="73"/>
      <c r="B825" s="73"/>
      <c r="C825" s="73"/>
      <c r="D825" s="73"/>
      <c r="E825" s="73"/>
      <c r="F825" s="72"/>
    </row>
    <row r="826" ht="14.25" customHeight="1">
      <c r="A826" s="73"/>
      <c r="B826" s="73"/>
      <c r="C826" s="73"/>
      <c r="D826" s="73"/>
      <c r="E826" s="73"/>
      <c r="F826" s="72"/>
    </row>
    <row r="827" ht="14.25" customHeight="1">
      <c r="A827" s="73"/>
      <c r="B827" s="73"/>
      <c r="C827" s="73"/>
      <c r="D827" s="73"/>
      <c r="E827" s="73"/>
      <c r="F827" s="72"/>
    </row>
    <row r="828" ht="14.25" customHeight="1">
      <c r="A828" s="73"/>
      <c r="B828" s="73"/>
      <c r="C828" s="73"/>
      <c r="D828" s="73"/>
      <c r="E828" s="73"/>
      <c r="F828" s="72"/>
    </row>
    <row r="829" ht="14.25" customHeight="1">
      <c r="A829" s="73"/>
      <c r="B829" s="73"/>
      <c r="C829" s="73"/>
      <c r="D829" s="73"/>
      <c r="E829" s="73"/>
      <c r="F829" s="72"/>
    </row>
    <row r="830" ht="14.25" customHeight="1">
      <c r="A830" s="73"/>
      <c r="B830" s="73"/>
      <c r="C830" s="73"/>
      <c r="D830" s="73"/>
      <c r="E830" s="73"/>
      <c r="F830" s="72"/>
    </row>
    <row r="831" ht="14.25" customHeight="1">
      <c r="A831" s="73"/>
      <c r="B831" s="73"/>
      <c r="C831" s="73"/>
      <c r="D831" s="73"/>
      <c r="E831" s="73"/>
      <c r="F831" s="72"/>
    </row>
    <row r="832" ht="14.25" customHeight="1">
      <c r="A832" s="73"/>
      <c r="B832" s="73"/>
      <c r="C832" s="73"/>
      <c r="D832" s="73"/>
      <c r="E832" s="73"/>
      <c r="F832" s="72"/>
    </row>
    <row r="833" ht="14.25" customHeight="1">
      <c r="A833" s="73"/>
      <c r="B833" s="73"/>
      <c r="C833" s="73"/>
      <c r="D833" s="73"/>
      <c r="E833" s="73"/>
      <c r="F833" s="72"/>
    </row>
    <row r="834" ht="14.25" customHeight="1">
      <c r="A834" s="73"/>
      <c r="B834" s="73"/>
      <c r="C834" s="73"/>
      <c r="D834" s="73"/>
      <c r="E834" s="73"/>
      <c r="F834" s="72"/>
    </row>
    <row r="835" ht="14.25" customHeight="1">
      <c r="A835" s="73"/>
      <c r="B835" s="73"/>
      <c r="C835" s="73"/>
      <c r="D835" s="73"/>
      <c r="E835" s="73"/>
      <c r="F835" s="72"/>
    </row>
    <row r="836" ht="14.25" customHeight="1">
      <c r="A836" s="73"/>
      <c r="B836" s="73"/>
      <c r="C836" s="73"/>
      <c r="D836" s="73"/>
      <c r="E836" s="73"/>
      <c r="F836" s="72"/>
    </row>
    <row r="837" ht="14.25" customHeight="1">
      <c r="A837" s="73"/>
      <c r="B837" s="73"/>
      <c r="C837" s="73"/>
      <c r="D837" s="73"/>
      <c r="E837" s="73"/>
      <c r="F837" s="72"/>
    </row>
    <row r="838" ht="14.25" customHeight="1">
      <c r="A838" s="73"/>
      <c r="B838" s="73"/>
      <c r="C838" s="73"/>
      <c r="D838" s="73"/>
      <c r="E838" s="73"/>
      <c r="F838" s="72"/>
    </row>
    <row r="839" ht="14.25" customHeight="1">
      <c r="A839" s="73"/>
      <c r="B839" s="73"/>
      <c r="C839" s="73"/>
      <c r="D839" s="73"/>
      <c r="E839" s="73"/>
      <c r="F839" s="72"/>
    </row>
    <row r="840" ht="14.25" customHeight="1">
      <c r="A840" s="73"/>
      <c r="B840" s="73"/>
      <c r="C840" s="73"/>
      <c r="D840" s="73"/>
      <c r="E840" s="73"/>
      <c r="F840" s="72"/>
    </row>
    <row r="841" ht="14.25" customHeight="1">
      <c r="A841" s="73"/>
      <c r="B841" s="73"/>
      <c r="C841" s="73"/>
      <c r="D841" s="73"/>
      <c r="E841" s="73"/>
      <c r="F841" s="72"/>
    </row>
    <row r="842" ht="14.25" customHeight="1">
      <c r="A842" s="73"/>
      <c r="B842" s="73"/>
      <c r="C842" s="73"/>
      <c r="D842" s="73"/>
      <c r="E842" s="73"/>
      <c r="F842" s="72"/>
    </row>
    <row r="843" ht="14.25" customHeight="1">
      <c r="A843" s="73"/>
      <c r="B843" s="73"/>
      <c r="C843" s="73"/>
      <c r="D843" s="73"/>
      <c r="E843" s="73"/>
      <c r="F843" s="72"/>
    </row>
    <row r="844" ht="14.25" customHeight="1">
      <c r="A844" s="73"/>
      <c r="B844" s="73"/>
      <c r="C844" s="73"/>
      <c r="D844" s="73"/>
      <c r="E844" s="73"/>
      <c r="F844" s="72"/>
    </row>
    <row r="845" ht="14.25" customHeight="1">
      <c r="A845" s="73"/>
      <c r="B845" s="73"/>
      <c r="C845" s="73"/>
      <c r="D845" s="73"/>
      <c r="E845" s="73"/>
      <c r="F845" s="72"/>
    </row>
    <row r="846" ht="14.25" customHeight="1">
      <c r="A846" s="73"/>
      <c r="B846" s="73"/>
      <c r="C846" s="73"/>
      <c r="D846" s="73"/>
      <c r="E846" s="73"/>
      <c r="F846" s="72"/>
    </row>
    <row r="847" ht="14.25" customHeight="1">
      <c r="A847" s="73"/>
      <c r="B847" s="73"/>
      <c r="C847" s="73"/>
      <c r="D847" s="73"/>
      <c r="E847" s="73"/>
      <c r="F847" s="72"/>
    </row>
    <row r="848" ht="14.25" customHeight="1">
      <c r="A848" s="73"/>
      <c r="B848" s="73"/>
      <c r="C848" s="73"/>
      <c r="D848" s="73"/>
      <c r="E848" s="73"/>
      <c r="F848" s="72"/>
    </row>
    <row r="849" ht="14.25" customHeight="1">
      <c r="A849" s="73"/>
      <c r="B849" s="73"/>
      <c r="C849" s="73"/>
      <c r="D849" s="73"/>
      <c r="E849" s="73"/>
      <c r="F849" s="72"/>
    </row>
    <row r="850" ht="14.25" customHeight="1">
      <c r="A850" s="73"/>
      <c r="B850" s="73"/>
      <c r="C850" s="73"/>
      <c r="D850" s="73"/>
      <c r="E850" s="73"/>
      <c r="F850" s="72"/>
    </row>
    <row r="851" ht="14.25" customHeight="1">
      <c r="A851" s="73"/>
      <c r="B851" s="73"/>
      <c r="C851" s="73"/>
      <c r="D851" s="73"/>
      <c r="E851" s="73"/>
      <c r="F851" s="72"/>
    </row>
    <row r="852" ht="14.25" customHeight="1">
      <c r="A852" s="73"/>
      <c r="B852" s="73"/>
      <c r="C852" s="73"/>
      <c r="D852" s="73"/>
      <c r="E852" s="73"/>
      <c r="F852" s="72"/>
    </row>
    <row r="853" ht="14.25" customHeight="1">
      <c r="A853" s="73"/>
      <c r="B853" s="73"/>
      <c r="C853" s="73"/>
      <c r="D853" s="73"/>
      <c r="E853" s="73"/>
      <c r="F853" s="72"/>
    </row>
    <row r="854" ht="14.25" customHeight="1">
      <c r="A854" s="73"/>
      <c r="B854" s="73"/>
      <c r="C854" s="73"/>
      <c r="D854" s="73"/>
      <c r="E854" s="73"/>
      <c r="F854" s="72"/>
    </row>
    <row r="855" ht="14.25" customHeight="1">
      <c r="A855" s="73"/>
      <c r="B855" s="73"/>
      <c r="C855" s="73"/>
      <c r="D855" s="73"/>
      <c r="E855" s="73"/>
      <c r="F855" s="72"/>
    </row>
    <row r="856" ht="14.25" customHeight="1">
      <c r="A856" s="73"/>
      <c r="B856" s="73"/>
      <c r="C856" s="73"/>
      <c r="D856" s="73"/>
      <c r="E856" s="73"/>
      <c r="F856" s="72"/>
    </row>
    <row r="857" ht="14.25" customHeight="1">
      <c r="A857" s="73"/>
      <c r="B857" s="73"/>
      <c r="C857" s="73"/>
      <c r="D857" s="73"/>
      <c r="E857" s="73"/>
      <c r="F857" s="72"/>
    </row>
    <row r="858" ht="14.25" customHeight="1">
      <c r="A858" s="73"/>
      <c r="B858" s="73"/>
      <c r="C858" s="73"/>
      <c r="D858" s="73"/>
      <c r="E858" s="73"/>
      <c r="F858" s="72"/>
    </row>
    <row r="859" ht="14.25" customHeight="1">
      <c r="A859" s="73"/>
      <c r="B859" s="73"/>
      <c r="C859" s="73"/>
      <c r="D859" s="73"/>
      <c r="E859" s="73"/>
      <c r="F859" s="72"/>
    </row>
    <row r="860" ht="14.25" customHeight="1">
      <c r="A860" s="73"/>
      <c r="B860" s="73"/>
      <c r="C860" s="73"/>
      <c r="D860" s="73"/>
      <c r="E860" s="73"/>
      <c r="F860" s="72"/>
    </row>
    <row r="861" ht="14.25" customHeight="1">
      <c r="A861" s="73"/>
      <c r="B861" s="73"/>
      <c r="C861" s="73"/>
      <c r="D861" s="73"/>
      <c r="E861" s="73"/>
      <c r="F861" s="72"/>
    </row>
    <row r="862" ht="14.25" customHeight="1">
      <c r="A862" s="73"/>
      <c r="B862" s="73"/>
      <c r="C862" s="73"/>
      <c r="D862" s="73"/>
      <c r="E862" s="73"/>
      <c r="F862" s="72"/>
    </row>
    <row r="863" ht="14.25" customHeight="1">
      <c r="A863" s="73"/>
      <c r="B863" s="73"/>
      <c r="C863" s="73"/>
      <c r="D863" s="73"/>
      <c r="E863" s="73"/>
      <c r="F863" s="72"/>
    </row>
    <row r="864" ht="14.25" customHeight="1">
      <c r="A864" s="73"/>
      <c r="B864" s="73"/>
      <c r="C864" s="73"/>
      <c r="D864" s="73"/>
      <c r="E864" s="73"/>
      <c r="F864" s="72"/>
    </row>
    <row r="865" ht="14.25" customHeight="1">
      <c r="A865" s="73"/>
      <c r="B865" s="73"/>
      <c r="C865" s="73"/>
      <c r="D865" s="73"/>
      <c r="E865" s="73"/>
      <c r="F865" s="72"/>
    </row>
    <row r="866" ht="14.25" customHeight="1">
      <c r="A866" s="73"/>
      <c r="B866" s="73"/>
      <c r="C866" s="73"/>
      <c r="D866" s="73"/>
      <c r="E866" s="73"/>
      <c r="F866" s="72"/>
    </row>
    <row r="867" ht="14.25" customHeight="1">
      <c r="A867" s="73"/>
      <c r="B867" s="73"/>
      <c r="C867" s="73"/>
      <c r="D867" s="73"/>
      <c r="E867" s="73"/>
      <c r="F867" s="72"/>
    </row>
    <row r="868" ht="14.25" customHeight="1">
      <c r="A868" s="73"/>
      <c r="B868" s="73"/>
      <c r="C868" s="73"/>
      <c r="D868" s="73"/>
      <c r="E868" s="73"/>
      <c r="F868" s="72"/>
    </row>
    <row r="869" ht="14.25" customHeight="1">
      <c r="A869" s="73"/>
      <c r="B869" s="73"/>
      <c r="C869" s="73"/>
      <c r="D869" s="73"/>
      <c r="E869" s="73"/>
      <c r="F869" s="72"/>
    </row>
    <row r="870" ht="14.25" customHeight="1">
      <c r="A870" s="73"/>
      <c r="B870" s="73"/>
      <c r="C870" s="73"/>
      <c r="D870" s="73"/>
      <c r="E870" s="73"/>
      <c r="F870" s="72"/>
    </row>
    <row r="871" ht="14.25" customHeight="1">
      <c r="A871" s="73"/>
      <c r="B871" s="73"/>
      <c r="C871" s="73"/>
      <c r="D871" s="73"/>
      <c r="E871" s="73"/>
      <c r="F871" s="72"/>
    </row>
    <row r="872" ht="14.25" customHeight="1">
      <c r="A872" s="73"/>
      <c r="B872" s="73"/>
      <c r="C872" s="73"/>
      <c r="D872" s="73"/>
      <c r="E872" s="73"/>
      <c r="F872" s="72"/>
    </row>
    <row r="873" ht="14.25" customHeight="1">
      <c r="A873" s="73"/>
      <c r="B873" s="73"/>
      <c r="C873" s="73"/>
      <c r="D873" s="73"/>
      <c r="E873" s="73"/>
      <c r="F873" s="72"/>
    </row>
    <row r="874" ht="14.25" customHeight="1">
      <c r="A874" s="73"/>
      <c r="B874" s="73"/>
      <c r="C874" s="73"/>
      <c r="D874" s="73"/>
      <c r="E874" s="73"/>
      <c r="F874" s="72"/>
    </row>
    <row r="875" ht="14.25" customHeight="1">
      <c r="A875" s="73"/>
      <c r="B875" s="73"/>
      <c r="C875" s="73"/>
      <c r="D875" s="73"/>
      <c r="E875" s="73"/>
      <c r="F875" s="72"/>
    </row>
    <row r="876" ht="14.25" customHeight="1">
      <c r="A876" s="73"/>
      <c r="B876" s="73"/>
      <c r="C876" s="73"/>
      <c r="D876" s="73"/>
      <c r="E876" s="73"/>
      <c r="F876" s="72"/>
    </row>
    <row r="877" ht="14.25" customHeight="1">
      <c r="A877" s="73"/>
      <c r="B877" s="73"/>
      <c r="C877" s="73"/>
      <c r="D877" s="73"/>
      <c r="E877" s="73"/>
      <c r="F877" s="72"/>
    </row>
    <row r="878" ht="14.25" customHeight="1">
      <c r="A878" s="73"/>
      <c r="B878" s="73"/>
      <c r="C878" s="73"/>
      <c r="D878" s="73"/>
      <c r="E878" s="73"/>
      <c r="F878" s="72"/>
    </row>
    <row r="879" ht="14.25" customHeight="1">
      <c r="A879" s="73"/>
      <c r="B879" s="73"/>
      <c r="C879" s="73"/>
      <c r="D879" s="73"/>
      <c r="E879" s="73"/>
      <c r="F879" s="72"/>
    </row>
    <row r="880" ht="14.25" customHeight="1">
      <c r="A880" s="73"/>
      <c r="B880" s="73"/>
      <c r="C880" s="73"/>
      <c r="D880" s="73"/>
      <c r="E880" s="73"/>
      <c r="F880" s="72"/>
    </row>
    <row r="881" ht="14.25" customHeight="1">
      <c r="A881" s="73"/>
      <c r="B881" s="73"/>
      <c r="C881" s="73"/>
      <c r="D881" s="73"/>
      <c r="E881" s="73"/>
      <c r="F881" s="72"/>
    </row>
    <row r="882" ht="14.25" customHeight="1">
      <c r="A882" s="73"/>
      <c r="B882" s="73"/>
      <c r="C882" s="73"/>
      <c r="D882" s="73"/>
      <c r="E882" s="73"/>
      <c r="F882" s="72"/>
    </row>
    <row r="883" ht="14.25" customHeight="1">
      <c r="A883" s="73"/>
      <c r="B883" s="73"/>
      <c r="C883" s="73"/>
      <c r="D883" s="73"/>
      <c r="E883" s="73"/>
      <c r="F883" s="72"/>
    </row>
    <row r="884" ht="14.25" customHeight="1">
      <c r="A884" s="73"/>
      <c r="B884" s="73"/>
      <c r="C884" s="73"/>
      <c r="D884" s="73"/>
      <c r="E884" s="73"/>
      <c r="F884" s="72"/>
    </row>
    <row r="885" ht="14.25" customHeight="1">
      <c r="A885" s="73"/>
      <c r="B885" s="73"/>
      <c r="C885" s="73"/>
      <c r="D885" s="73"/>
      <c r="E885" s="73"/>
      <c r="F885" s="72"/>
    </row>
    <row r="886" ht="14.25" customHeight="1">
      <c r="A886" s="73"/>
      <c r="B886" s="73"/>
      <c r="C886" s="73"/>
      <c r="D886" s="73"/>
      <c r="E886" s="73"/>
      <c r="F886" s="72"/>
    </row>
    <row r="887" ht="14.25" customHeight="1">
      <c r="A887" s="73"/>
      <c r="B887" s="73"/>
      <c r="C887" s="73"/>
      <c r="D887" s="73"/>
      <c r="E887" s="73"/>
      <c r="F887" s="72"/>
    </row>
    <row r="888" ht="14.25" customHeight="1">
      <c r="A888" s="73"/>
      <c r="B888" s="73"/>
      <c r="C888" s="73"/>
      <c r="D888" s="73"/>
      <c r="E888" s="73"/>
      <c r="F888" s="72"/>
    </row>
    <row r="889" ht="14.25" customHeight="1">
      <c r="A889" s="73"/>
      <c r="B889" s="73"/>
      <c r="C889" s="73"/>
      <c r="D889" s="73"/>
      <c r="E889" s="73"/>
      <c r="F889" s="72"/>
    </row>
    <row r="890" ht="14.25" customHeight="1">
      <c r="A890" s="73"/>
      <c r="B890" s="73"/>
      <c r="C890" s="73"/>
      <c r="D890" s="73"/>
      <c r="E890" s="73"/>
      <c r="F890" s="72"/>
    </row>
    <row r="891" ht="14.25" customHeight="1">
      <c r="A891" s="73"/>
      <c r="B891" s="73"/>
      <c r="C891" s="73"/>
      <c r="D891" s="73"/>
      <c r="E891" s="73"/>
      <c r="F891" s="72"/>
    </row>
    <row r="892" ht="14.25" customHeight="1">
      <c r="A892" s="73"/>
      <c r="B892" s="73"/>
      <c r="C892" s="73"/>
      <c r="D892" s="73"/>
      <c r="E892" s="73"/>
      <c r="F892" s="72"/>
    </row>
    <row r="893" ht="14.25" customHeight="1">
      <c r="A893" s="73"/>
      <c r="B893" s="73"/>
      <c r="C893" s="73"/>
      <c r="D893" s="73"/>
      <c r="E893" s="73"/>
      <c r="F893" s="72"/>
    </row>
    <row r="894" ht="14.25" customHeight="1">
      <c r="A894" s="73"/>
      <c r="B894" s="73"/>
      <c r="C894" s="73"/>
      <c r="D894" s="73"/>
      <c r="E894" s="73"/>
      <c r="F894" s="72"/>
    </row>
    <row r="895" ht="14.25" customHeight="1">
      <c r="A895" s="73"/>
      <c r="B895" s="73"/>
      <c r="C895" s="73"/>
      <c r="D895" s="73"/>
      <c r="E895" s="73"/>
      <c r="F895" s="72"/>
    </row>
    <row r="896" ht="14.25" customHeight="1">
      <c r="A896" s="73"/>
      <c r="B896" s="73"/>
      <c r="C896" s="73"/>
      <c r="D896" s="73"/>
      <c r="E896" s="73"/>
      <c r="F896" s="72"/>
    </row>
    <row r="897" ht="14.25" customHeight="1">
      <c r="A897" s="73"/>
      <c r="B897" s="73"/>
      <c r="C897" s="73"/>
      <c r="D897" s="73"/>
      <c r="E897" s="73"/>
      <c r="F897" s="72"/>
    </row>
    <row r="898" ht="14.25" customHeight="1">
      <c r="A898" s="73"/>
      <c r="B898" s="73"/>
      <c r="C898" s="73"/>
      <c r="D898" s="73"/>
      <c r="E898" s="73"/>
      <c r="F898" s="72"/>
    </row>
    <row r="899" ht="14.25" customHeight="1">
      <c r="A899" s="73"/>
      <c r="B899" s="73"/>
      <c r="C899" s="73"/>
      <c r="D899" s="73"/>
      <c r="E899" s="73"/>
      <c r="F899" s="72"/>
    </row>
    <row r="900" ht="14.25" customHeight="1">
      <c r="A900" s="73"/>
      <c r="B900" s="73"/>
      <c r="C900" s="73"/>
      <c r="D900" s="73"/>
      <c r="E900" s="73"/>
      <c r="F900" s="72"/>
    </row>
    <row r="901" ht="14.25" customHeight="1">
      <c r="A901" s="73"/>
      <c r="B901" s="73"/>
      <c r="C901" s="73"/>
      <c r="D901" s="73"/>
      <c r="E901" s="73"/>
      <c r="F901" s="72"/>
    </row>
    <row r="902" ht="14.25" customHeight="1">
      <c r="A902" s="73"/>
      <c r="B902" s="73"/>
      <c r="C902" s="73"/>
      <c r="D902" s="73"/>
      <c r="E902" s="73"/>
      <c r="F902" s="72"/>
    </row>
    <row r="903" ht="14.25" customHeight="1">
      <c r="A903" s="73"/>
      <c r="B903" s="73"/>
      <c r="C903" s="73"/>
      <c r="D903" s="73"/>
      <c r="E903" s="73"/>
      <c r="F903" s="72"/>
    </row>
    <row r="904" ht="14.25" customHeight="1">
      <c r="A904" s="73"/>
      <c r="B904" s="73"/>
      <c r="C904" s="73"/>
      <c r="D904" s="73"/>
      <c r="E904" s="73"/>
      <c r="F904" s="72"/>
    </row>
    <row r="905" ht="14.25" customHeight="1">
      <c r="A905" s="73"/>
      <c r="B905" s="73"/>
      <c r="C905" s="73"/>
      <c r="D905" s="73"/>
      <c r="E905" s="73"/>
      <c r="F905" s="72"/>
    </row>
    <row r="906" ht="14.25" customHeight="1">
      <c r="A906" s="73"/>
      <c r="B906" s="73"/>
      <c r="C906" s="73"/>
      <c r="D906" s="73"/>
      <c r="E906" s="73"/>
      <c r="F906" s="72"/>
    </row>
    <row r="907" ht="14.25" customHeight="1">
      <c r="A907" s="73"/>
      <c r="B907" s="73"/>
      <c r="C907" s="73"/>
      <c r="D907" s="73"/>
      <c r="E907" s="73"/>
      <c r="F907" s="72"/>
    </row>
    <row r="908" ht="14.25" customHeight="1">
      <c r="A908" s="73"/>
      <c r="B908" s="73"/>
      <c r="C908" s="73"/>
      <c r="D908" s="73"/>
      <c r="E908" s="73"/>
      <c r="F908" s="72"/>
    </row>
    <row r="909" ht="14.25" customHeight="1">
      <c r="A909" s="73"/>
      <c r="B909" s="73"/>
      <c r="C909" s="73"/>
      <c r="D909" s="73"/>
      <c r="E909" s="73"/>
      <c r="F909" s="72"/>
    </row>
    <row r="910" ht="14.25" customHeight="1">
      <c r="A910" s="73"/>
      <c r="B910" s="73"/>
      <c r="C910" s="73"/>
      <c r="D910" s="73"/>
      <c r="E910" s="73"/>
      <c r="F910" s="72"/>
    </row>
    <row r="911" ht="14.25" customHeight="1">
      <c r="A911" s="73"/>
      <c r="B911" s="73"/>
      <c r="C911" s="73"/>
      <c r="D911" s="73"/>
      <c r="E911" s="73"/>
      <c r="F911" s="72"/>
    </row>
    <row r="912" ht="14.25" customHeight="1">
      <c r="A912" s="73"/>
      <c r="B912" s="73"/>
      <c r="C912" s="73"/>
      <c r="D912" s="73"/>
      <c r="E912" s="73"/>
      <c r="F912" s="72"/>
    </row>
    <row r="913" ht="14.25" customHeight="1">
      <c r="A913" s="73"/>
      <c r="B913" s="73"/>
      <c r="C913" s="73"/>
      <c r="D913" s="73"/>
      <c r="E913" s="73"/>
      <c r="F913" s="72"/>
    </row>
    <row r="914" ht="14.25" customHeight="1">
      <c r="A914" s="73"/>
      <c r="B914" s="73"/>
      <c r="C914" s="73"/>
      <c r="D914" s="73"/>
      <c r="E914" s="73"/>
      <c r="F914" s="72"/>
    </row>
    <row r="915" ht="14.25" customHeight="1">
      <c r="A915" s="73"/>
      <c r="B915" s="73"/>
      <c r="C915" s="73"/>
      <c r="D915" s="73"/>
      <c r="E915" s="73"/>
      <c r="F915" s="72"/>
    </row>
    <row r="916" ht="14.25" customHeight="1">
      <c r="A916" s="73"/>
      <c r="B916" s="73"/>
      <c r="C916" s="73"/>
      <c r="D916" s="73"/>
      <c r="E916" s="73"/>
      <c r="F916" s="72"/>
    </row>
    <row r="917" ht="14.25" customHeight="1">
      <c r="A917" s="73"/>
      <c r="B917" s="73"/>
      <c r="C917" s="73"/>
      <c r="D917" s="73"/>
      <c r="E917" s="73"/>
      <c r="F917" s="72"/>
    </row>
    <row r="918" ht="14.25" customHeight="1">
      <c r="A918" s="73"/>
      <c r="B918" s="73"/>
      <c r="C918" s="73"/>
      <c r="D918" s="73"/>
      <c r="E918" s="73"/>
      <c r="F918" s="72"/>
    </row>
    <row r="919" ht="14.25" customHeight="1">
      <c r="A919" s="73"/>
      <c r="B919" s="73"/>
      <c r="C919" s="73"/>
      <c r="D919" s="73"/>
      <c r="E919" s="73"/>
      <c r="F919" s="72"/>
    </row>
    <row r="920" ht="14.25" customHeight="1">
      <c r="A920" s="73"/>
      <c r="B920" s="73"/>
      <c r="C920" s="73"/>
      <c r="D920" s="73"/>
      <c r="E920" s="73"/>
      <c r="F920" s="72"/>
    </row>
    <row r="921" ht="14.25" customHeight="1">
      <c r="A921" s="73"/>
      <c r="B921" s="73"/>
      <c r="C921" s="73"/>
      <c r="D921" s="73"/>
      <c r="E921" s="73"/>
      <c r="F921" s="72"/>
    </row>
    <row r="922" ht="14.25" customHeight="1">
      <c r="A922" s="73"/>
      <c r="B922" s="73"/>
      <c r="C922" s="73"/>
      <c r="D922" s="73"/>
      <c r="E922" s="73"/>
      <c r="F922" s="72"/>
    </row>
    <row r="923" ht="14.25" customHeight="1">
      <c r="A923" s="73"/>
      <c r="B923" s="73"/>
      <c r="C923" s="73"/>
      <c r="D923" s="73"/>
      <c r="E923" s="73"/>
      <c r="F923" s="72"/>
    </row>
    <row r="924" ht="14.25" customHeight="1">
      <c r="A924" s="73"/>
      <c r="B924" s="73"/>
      <c r="C924" s="73"/>
      <c r="D924" s="73"/>
      <c r="E924" s="73"/>
      <c r="F924" s="72"/>
    </row>
    <row r="925" ht="14.25" customHeight="1">
      <c r="A925" s="73"/>
      <c r="B925" s="73"/>
      <c r="C925" s="73"/>
      <c r="D925" s="73"/>
      <c r="E925" s="73"/>
      <c r="F925" s="72"/>
    </row>
    <row r="926" ht="14.25" customHeight="1">
      <c r="A926" s="73"/>
      <c r="B926" s="73"/>
      <c r="C926" s="73"/>
      <c r="D926" s="73"/>
      <c r="E926" s="73"/>
      <c r="F926" s="72"/>
    </row>
    <row r="927" ht="14.25" customHeight="1">
      <c r="A927" s="73"/>
      <c r="B927" s="73"/>
      <c r="C927" s="73"/>
      <c r="D927" s="73"/>
      <c r="E927" s="73"/>
      <c r="F927" s="72"/>
    </row>
    <row r="928" ht="14.25" customHeight="1">
      <c r="A928" s="73"/>
      <c r="B928" s="73"/>
      <c r="C928" s="73"/>
      <c r="D928" s="73"/>
      <c r="E928" s="73"/>
      <c r="F928" s="72"/>
    </row>
    <row r="929" ht="14.25" customHeight="1">
      <c r="A929" s="73"/>
      <c r="B929" s="73"/>
      <c r="C929" s="73"/>
      <c r="D929" s="73"/>
      <c r="E929" s="73"/>
      <c r="F929" s="72"/>
    </row>
    <row r="930" ht="14.25" customHeight="1">
      <c r="A930" s="73"/>
      <c r="B930" s="73"/>
      <c r="C930" s="73"/>
      <c r="D930" s="73"/>
      <c r="E930" s="73"/>
      <c r="F930" s="72"/>
    </row>
    <row r="931" ht="14.25" customHeight="1">
      <c r="A931" s="73"/>
      <c r="B931" s="73"/>
      <c r="C931" s="73"/>
      <c r="D931" s="73"/>
      <c r="E931" s="73"/>
      <c r="F931" s="72"/>
    </row>
    <row r="932" ht="14.25" customHeight="1">
      <c r="A932" s="73"/>
      <c r="B932" s="73"/>
      <c r="C932" s="73"/>
      <c r="D932" s="73"/>
      <c r="E932" s="73"/>
      <c r="F932" s="72"/>
    </row>
    <row r="933" ht="14.25" customHeight="1">
      <c r="A933" s="73"/>
      <c r="B933" s="73"/>
      <c r="C933" s="73"/>
      <c r="D933" s="73"/>
      <c r="E933" s="73"/>
      <c r="F933" s="72"/>
    </row>
    <row r="934" ht="14.25" customHeight="1">
      <c r="A934" s="73"/>
      <c r="B934" s="73"/>
      <c r="C934" s="73"/>
      <c r="D934" s="73"/>
      <c r="E934" s="73"/>
      <c r="F934" s="72"/>
    </row>
    <row r="935" ht="14.25" customHeight="1">
      <c r="A935" s="73"/>
      <c r="B935" s="73"/>
      <c r="C935" s="73"/>
      <c r="D935" s="73"/>
      <c r="E935" s="73"/>
      <c r="F935" s="72"/>
    </row>
    <row r="936" ht="14.25" customHeight="1">
      <c r="A936" s="73"/>
      <c r="B936" s="73"/>
      <c r="C936" s="73"/>
      <c r="D936" s="73"/>
      <c r="E936" s="73"/>
      <c r="F936" s="72"/>
    </row>
    <row r="937" ht="14.25" customHeight="1">
      <c r="A937" s="73"/>
      <c r="B937" s="73"/>
      <c r="C937" s="73"/>
      <c r="D937" s="73"/>
      <c r="E937" s="73"/>
      <c r="F937" s="72"/>
    </row>
    <row r="938" ht="14.25" customHeight="1">
      <c r="A938" s="73"/>
      <c r="B938" s="73"/>
      <c r="C938" s="73"/>
      <c r="D938" s="73"/>
      <c r="E938" s="73"/>
      <c r="F938" s="72"/>
    </row>
    <row r="939" ht="14.25" customHeight="1">
      <c r="A939" s="73"/>
      <c r="B939" s="73"/>
      <c r="C939" s="73"/>
      <c r="D939" s="73"/>
      <c r="E939" s="73"/>
      <c r="F939" s="72"/>
    </row>
    <row r="940" ht="14.25" customHeight="1">
      <c r="A940" s="73"/>
      <c r="B940" s="73"/>
      <c r="C940" s="73"/>
      <c r="D940" s="73"/>
      <c r="E940" s="73"/>
      <c r="F940" s="72"/>
    </row>
    <row r="941" ht="14.25" customHeight="1">
      <c r="A941" s="73"/>
      <c r="B941" s="73"/>
      <c r="C941" s="73"/>
      <c r="D941" s="73"/>
      <c r="E941" s="73"/>
      <c r="F941" s="72"/>
    </row>
    <row r="942" ht="14.25" customHeight="1">
      <c r="A942" s="73"/>
      <c r="B942" s="73"/>
      <c r="C942" s="73"/>
      <c r="D942" s="73"/>
      <c r="E942" s="73"/>
      <c r="F942" s="72"/>
    </row>
    <row r="943" ht="14.25" customHeight="1">
      <c r="A943" s="73"/>
      <c r="B943" s="73"/>
      <c r="C943" s="73"/>
      <c r="D943" s="73"/>
      <c r="E943" s="73"/>
      <c r="F943" s="72"/>
    </row>
    <row r="944" ht="14.25" customHeight="1">
      <c r="A944" s="73"/>
      <c r="B944" s="73"/>
      <c r="C944" s="73"/>
      <c r="D944" s="73"/>
      <c r="E944" s="73"/>
      <c r="F944" s="72"/>
    </row>
    <row r="945" ht="14.25" customHeight="1">
      <c r="A945" s="73"/>
      <c r="B945" s="73"/>
      <c r="C945" s="73"/>
      <c r="D945" s="73"/>
      <c r="E945" s="73"/>
      <c r="F945" s="72"/>
    </row>
    <row r="946" ht="14.25" customHeight="1">
      <c r="A946" s="73"/>
      <c r="B946" s="73"/>
      <c r="C946" s="73"/>
      <c r="D946" s="73"/>
      <c r="E946" s="73"/>
      <c r="F946" s="72"/>
    </row>
    <row r="947" ht="14.25" customHeight="1">
      <c r="A947" s="73"/>
      <c r="B947" s="73"/>
      <c r="C947" s="73"/>
      <c r="D947" s="73"/>
      <c r="E947" s="73"/>
      <c r="F947" s="72"/>
    </row>
    <row r="948" ht="14.25" customHeight="1">
      <c r="A948" s="73"/>
      <c r="B948" s="73"/>
      <c r="C948" s="73"/>
      <c r="D948" s="73"/>
      <c r="E948" s="73"/>
      <c r="F948" s="72"/>
    </row>
    <row r="949" ht="14.25" customHeight="1">
      <c r="A949" s="73"/>
      <c r="B949" s="73"/>
      <c r="C949" s="73"/>
      <c r="D949" s="73"/>
      <c r="E949" s="73"/>
      <c r="F949" s="72"/>
    </row>
    <row r="950" ht="14.25" customHeight="1">
      <c r="A950" s="73"/>
      <c r="B950" s="73"/>
      <c r="C950" s="73"/>
      <c r="D950" s="73"/>
      <c r="E950" s="73"/>
      <c r="F950" s="72"/>
    </row>
    <row r="951" ht="14.25" customHeight="1">
      <c r="A951" s="73"/>
      <c r="B951" s="73"/>
      <c r="C951" s="73"/>
      <c r="D951" s="73"/>
      <c r="E951" s="73"/>
      <c r="F951" s="72"/>
    </row>
    <row r="952" ht="14.25" customHeight="1">
      <c r="A952" s="73"/>
      <c r="B952" s="73"/>
      <c r="C952" s="73"/>
      <c r="D952" s="73"/>
      <c r="E952" s="73"/>
      <c r="F952" s="72"/>
    </row>
    <row r="953" ht="14.25" customHeight="1">
      <c r="A953" s="73"/>
      <c r="B953" s="73"/>
      <c r="C953" s="73"/>
      <c r="D953" s="73"/>
      <c r="E953" s="73"/>
      <c r="F953" s="72"/>
    </row>
    <row r="954" ht="14.25" customHeight="1">
      <c r="A954" s="73"/>
      <c r="B954" s="73"/>
      <c r="C954" s="73"/>
      <c r="D954" s="73"/>
      <c r="E954" s="73"/>
      <c r="F954" s="72"/>
    </row>
    <row r="955" ht="14.25" customHeight="1">
      <c r="A955" s="73"/>
      <c r="B955" s="73"/>
      <c r="C955" s="73"/>
      <c r="D955" s="73"/>
      <c r="E955" s="73"/>
      <c r="F955" s="72"/>
    </row>
    <row r="956" ht="14.25" customHeight="1">
      <c r="A956" s="73"/>
      <c r="B956" s="73"/>
      <c r="C956" s="73"/>
      <c r="D956" s="73"/>
      <c r="E956" s="73"/>
      <c r="F956" s="72"/>
    </row>
    <row r="957" ht="14.25" customHeight="1">
      <c r="A957" s="73"/>
      <c r="B957" s="73"/>
      <c r="C957" s="73"/>
      <c r="D957" s="73"/>
      <c r="E957" s="73"/>
      <c r="F957" s="72"/>
    </row>
    <row r="958" ht="14.25" customHeight="1">
      <c r="A958" s="73"/>
      <c r="B958" s="73"/>
      <c r="C958" s="73"/>
      <c r="D958" s="73"/>
      <c r="E958" s="73"/>
      <c r="F958" s="72"/>
    </row>
    <row r="959" ht="14.25" customHeight="1">
      <c r="A959" s="73"/>
      <c r="B959" s="73"/>
      <c r="C959" s="73"/>
      <c r="D959" s="73"/>
      <c r="E959" s="73"/>
      <c r="F959" s="72"/>
    </row>
    <row r="960" ht="14.25" customHeight="1">
      <c r="A960" s="73"/>
      <c r="B960" s="73"/>
      <c r="C960" s="73"/>
      <c r="D960" s="73"/>
      <c r="E960" s="73"/>
      <c r="F960" s="72"/>
    </row>
    <row r="961" ht="14.25" customHeight="1">
      <c r="A961" s="73"/>
      <c r="B961" s="73"/>
      <c r="C961" s="73"/>
      <c r="D961" s="73"/>
      <c r="E961" s="73"/>
      <c r="F961" s="72"/>
    </row>
    <row r="962" ht="14.25" customHeight="1">
      <c r="A962" s="73"/>
      <c r="B962" s="73"/>
      <c r="C962" s="73"/>
      <c r="D962" s="73"/>
      <c r="E962" s="73"/>
      <c r="F962" s="72"/>
    </row>
    <row r="963" ht="14.25" customHeight="1">
      <c r="A963" s="73"/>
      <c r="B963" s="73"/>
      <c r="C963" s="73"/>
      <c r="D963" s="73"/>
      <c r="E963" s="73"/>
      <c r="F963" s="72"/>
    </row>
    <row r="964" ht="14.25" customHeight="1">
      <c r="A964" s="73"/>
      <c r="B964" s="73"/>
      <c r="C964" s="73"/>
      <c r="D964" s="73"/>
      <c r="E964" s="73"/>
      <c r="F964" s="72"/>
    </row>
    <row r="965" ht="14.25" customHeight="1">
      <c r="A965" s="73"/>
      <c r="B965" s="73"/>
      <c r="C965" s="73"/>
      <c r="D965" s="73"/>
      <c r="E965" s="73"/>
      <c r="F965" s="72"/>
    </row>
    <row r="966" ht="14.25" customHeight="1">
      <c r="A966" s="73"/>
      <c r="B966" s="73"/>
      <c r="C966" s="73"/>
      <c r="D966" s="73"/>
      <c r="E966" s="73"/>
      <c r="F966" s="72"/>
    </row>
    <row r="967" ht="14.25" customHeight="1">
      <c r="A967" s="73"/>
      <c r="B967" s="73"/>
      <c r="C967" s="73"/>
      <c r="D967" s="73"/>
      <c r="E967" s="73"/>
      <c r="F967" s="72"/>
    </row>
    <row r="968" ht="14.25" customHeight="1">
      <c r="A968" s="73"/>
      <c r="B968" s="73"/>
      <c r="C968" s="73"/>
      <c r="D968" s="73"/>
      <c r="E968" s="73"/>
      <c r="F968" s="72"/>
    </row>
    <row r="969" ht="14.25" customHeight="1">
      <c r="A969" s="73"/>
      <c r="B969" s="73"/>
      <c r="C969" s="73"/>
      <c r="D969" s="73"/>
      <c r="E969" s="73"/>
      <c r="F969" s="72"/>
    </row>
    <row r="970" ht="14.25" customHeight="1">
      <c r="A970" s="73"/>
      <c r="B970" s="73"/>
      <c r="C970" s="73"/>
      <c r="D970" s="73"/>
      <c r="E970" s="73"/>
      <c r="F970" s="72"/>
    </row>
    <row r="971" ht="14.25" customHeight="1">
      <c r="A971" s="73"/>
      <c r="B971" s="73"/>
      <c r="C971" s="73"/>
      <c r="D971" s="73"/>
      <c r="E971" s="73"/>
      <c r="F971" s="72"/>
    </row>
    <row r="972" ht="14.25" customHeight="1">
      <c r="A972" s="73"/>
      <c r="B972" s="73"/>
      <c r="C972" s="73"/>
      <c r="D972" s="73"/>
      <c r="E972" s="73"/>
      <c r="F972" s="72"/>
    </row>
    <row r="973" ht="14.25" customHeight="1">
      <c r="A973" s="73"/>
      <c r="B973" s="73"/>
      <c r="C973" s="73"/>
      <c r="D973" s="73"/>
      <c r="E973" s="73"/>
      <c r="F973" s="72"/>
    </row>
    <row r="974" ht="14.25" customHeight="1">
      <c r="A974" s="73"/>
      <c r="B974" s="73"/>
      <c r="C974" s="73"/>
      <c r="D974" s="73"/>
      <c r="E974" s="73"/>
      <c r="F974" s="72"/>
    </row>
    <row r="975" ht="14.25" customHeight="1">
      <c r="A975" s="73"/>
      <c r="B975" s="73"/>
      <c r="C975" s="73"/>
      <c r="D975" s="73"/>
      <c r="E975" s="73"/>
      <c r="F975" s="72"/>
    </row>
    <row r="976" ht="14.25" customHeight="1">
      <c r="A976" s="73"/>
      <c r="B976" s="73"/>
      <c r="C976" s="73"/>
      <c r="D976" s="73"/>
      <c r="E976" s="73"/>
      <c r="F976" s="72"/>
    </row>
    <row r="977" ht="14.25" customHeight="1">
      <c r="A977" s="73"/>
      <c r="B977" s="73"/>
      <c r="C977" s="73"/>
      <c r="D977" s="73"/>
      <c r="E977" s="73"/>
      <c r="F977" s="72"/>
    </row>
    <row r="978" ht="14.25" customHeight="1">
      <c r="A978" s="73"/>
      <c r="B978" s="73"/>
      <c r="C978" s="73"/>
      <c r="D978" s="73"/>
      <c r="E978" s="73"/>
      <c r="F978" s="72"/>
    </row>
    <row r="979" ht="14.25" customHeight="1">
      <c r="A979" s="73"/>
      <c r="B979" s="73"/>
      <c r="C979" s="73"/>
      <c r="D979" s="73"/>
      <c r="E979" s="73"/>
      <c r="F979" s="72"/>
    </row>
    <row r="980" ht="14.25" customHeight="1">
      <c r="A980" s="73"/>
      <c r="B980" s="73"/>
      <c r="C980" s="73"/>
      <c r="D980" s="73"/>
      <c r="E980" s="73"/>
      <c r="F980" s="72"/>
    </row>
    <row r="981" ht="14.25" customHeight="1">
      <c r="A981" s="73"/>
      <c r="B981" s="73"/>
      <c r="C981" s="73"/>
      <c r="D981" s="73"/>
      <c r="E981" s="73"/>
      <c r="F981" s="72"/>
    </row>
    <row r="982" ht="14.25" customHeight="1">
      <c r="A982" s="73"/>
      <c r="B982" s="73"/>
      <c r="C982" s="73"/>
      <c r="D982" s="73"/>
      <c r="E982" s="73"/>
      <c r="F982" s="72"/>
    </row>
    <row r="983" ht="14.25" customHeight="1">
      <c r="A983" s="73"/>
      <c r="B983" s="73"/>
      <c r="C983" s="73"/>
      <c r="D983" s="73"/>
      <c r="E983" s="73"/>
      <c r="F983" s="72"/>
    </row>
    <row r="984" ht="14.25" customHeight="1">
      <c r="A984" s="73"/>
      <c r="B984" s="73"/>
      <c r="C984" s="73"/>
      <c r="D984" s="73"/>
      <c r="E984" s="73"/>
      <c r="F984" s="72"/>
    </row>
    <row r="985" ht="14.25" customHeight="1">
      <c r="A985" s="73"/>
      <c r="B985" s="73"/>
      <c r="C985" s="73"/>
      <c r="D985" s="73"/>
      <c r="E985" s="73"/>
      <c r="F985" s="72"/>
    </row>
    <row r="986" ht="14.25" customHeight="1">
      <c r="A986" s="73"/>
      <c r="B986" s="73"/>
      <c r="C986" s="73"/>
      <c r="D986" s="73"/>
      <c r="E986" s="73"/>
      <c r="F986" s="72"/>
    </row>
    <row r="987" ht="14.25" customHeight="1">
      <c r="A987" s="73"/>
      <c r="B987" s="73"/>
      <c r="C987" s="73"/>
      <c r="D987" s="73"/>
      <c r="E987" s="73"/>
      <c r="F987" s="72"/>
    </row>
    <row r="988" ht="14.25" customHeight="1">
      <c r="A988" s="73"/>
      <c r="B988" s="73"/>
      <c r="C988" s="73"/>
      <c r="D988" s="73"/>
      <c r="E988" s="73"/>
      <c r="F988" s="72"/>
    </row>
    <row r="989" ht="14.25" customHeight="1">
      <c r="A989" s="73"/>
      <c r="B989" s="73"/>
      <c r="C989" s="73"/>
      <c r="D989" s="73"/>
      <c r="E989" s="73"/>
      <c r="F989" s="72"/>
    </row>
    <row r="990" ht="14.25" customHeight="1">
      <c r="A990" s="73"/>
      <c r="B990" s="73"/>
      <c r="C990" s="73"/>
      <c r="D990" s="73"/>
      <c r="E990" s="73"/>
      <c r="F990" s="72"/>
    </row>
    <row r="991" ht="14.25" customHeight="1">
      <c r="A991" s="73"/>
      <c r="B991" s="73"/>
      <c r="C991" s="73"/>
      <c r="D991" s="73"/>
      <c r="E991" s="73"/>
      <c r="F991" s="72"/>
    </row>
    <row r="992" ht="14.25" customHeight="1">
      <c r="A992" s="73"/>
      <c r="B992" s="73"/>
      <c r="C992" s="73"/>
      <c r="D992" s="73"/>
      <c r="E992" s="73"/>
      <c r="F992" s="72"/>
    </row>
    <row r="993" ht="14.25" customHeight="1">
      <c r="A993" s="73"/>
      <c r="B993" s="73"/>
      <c r="C993" s="73"/>
      <c r="D993" s="73"/>
      <c r="E993" s="73"/>
      <c r="F993" s="72"/>
    </row>
    <row r="994" ht="14.25" customHeight="1">
      <c r="A994" s="73"/>
      <c r="B994" s="73"/>
      <c r="C994" s="73"/>
      <c r="D994" s="73"/>
      <c r="E994" s="73"/>
      <c r="F994" s="72"/>
    </row>
    <row r="995" ht="14.25" customHeight="1">
      <c r="A995" s="73"/>
      <c r="B995" s="73"/>
      <c r="C995" s="73"/>
      <c r="D995" s="73"/>
      <c r="E995" s="73"/>
      <c r="F995" s="72"/>
    </row>
    <row r="996" ht="14.25" customHeight="1">
      <c r="A996" s="73"/>
      <c r="B996" s="73"/>
      <c r="C996" s="73"/>
      <c r="D996" s="73"/>
      <c r="E996" s="73"/>
      <c r="F996" s="72"/>
    </row>
    <row r="997" ht="14.25" customHeight="1">
      <c r="A997" s="73"/>
      <c r="B997" s="73"/>
      <c r="C997" s="73"/>
      <c r="D997" s="73"/>
      <c r="E997" s="73"/>
      <c r="F997" s="72"/>
    </row>
    <row r="998" ht="14.25" customHeight="1">
      <c r="A998" s="73"/>
      <c r="B998" s="73"/>
      <c r="C998" s="73"/>
      <c r="D998" s="73"/>
      <c r="E998" s="73"/>
      <c r="F998" s="72"/>
    </row>
    <row r="999" ht="14.25" customHeight="1">
      <c r="A999" s="73"/>
      <c r="B999" s="73"/>
      <c r="C999" s="73"/>
      <c r="D999" s="73"/>
      <c r="E999" s="73"/>
      <c r="F999" s="72"/>
    </row>
    <row r="1000" ht="14.25" customHeight="1">
      <c r="A1000" s="73"/>
      <c r="B1000" s="73"/>
      <c r="C1000" s="73"/>
      <c r="D1000" s="73"/>
      <c r="E1000" s="73"/>
      <c r="F1000" s="72"/>
    </row>
  </sheetData>
  <mergeCells count="143">
    <mergeCell ref="M48:O48"/>
    <mergeCell ref="P48:R48"/>
    <mergeCell ref="S48:U48"/>
    <mergeCell ref="V48:X48"/>
    <mergeCell ref="Y48:AA48"/>
    <mergeCell ref="AB48:AB49"/>
    <mergeCell ref="A44:E44"/>
    <mergeCell ref="A47:AC47"/>
    <mergeCell ref="A48:B49"/>
    <mergeCell ref="C48:C49"/>
    <mergeCell ref="D48:D49"/>
    <mergeCell ref="E48:E49"/>
    <mergeCell ref="F48:F49"/>
    <mergeCell ref="AC48:AC49"/>
    <mergeCell ref="M2:O2"/>
    <mergeCell ref="P2:R2"/>
    <mergeCell ref="S2:U2"/>
    <mergeCell ref="V2:X2"/>
    <mergeCell ref="Y2:AA2"/>
    <mergeCell ref="AB2:AB3"/>
    <mergeCell ref="AC2:AC3"/>
    <mergeCell ref="AF6:AI6"/>
    <mergeCell ref="AG13:AH13"/>
    <mergeCell ref="AG14:AH14"/>
    <mergeCell ref="A1:F1"/>
    <mergeCell ref="G1:AA1"/>
    <mergeCell ref="A2:B3"/>
    <mergeCell ref="C2:C3"/>
    <mergeCell ref="D2:D3"/>
    <mergeCell ref="E2:E3"/>
    <mergeCell ref="F2:F3"/>
    <mergeCell ref="G2:I2"/>
    <mergeCell ref="J2:L2"/>
    <mergeCell ref="B4:B5"/>
    <mergeCell ref="C4:C5"/>
    <mergeCell ref="B6:B7"/>
    <mergeCell ref="C6:C7"/>
    <mergeCell ref="B13:B14"/>
    <mergeCell ref="G48:I48"/>
    <mergeCell ref="J48:L48"/>
    <mergeCell ref="AF51:AI51"/>
    <mergeCell ref="B16:B18"/>
    <mergeCell ref="B21:B24"/>
    <mergeCell ref="C21:C24"/>
    <mergeCell ref="C28:C29"/>
    <mergeCell ref="B31:B33"/>
    <mergeCell ref="C31:C33"/>
    <mergeCell ref="B34:B35"/>
    <mergeCell ref="A52:A53"/>
    <mergeCell ref="A58:E58"/>
    <mergeCell ref="A62:O62"/>
    <mergeCell ref="A63:B64"/>
    <mergeCell ref="C63:C64"/>
    <mergeCell ref="D63:D64"/>
    <mergeCell ref="E63:E64"/>
    <mergeCell ref="O63:O64"/>
    <mergeCell ref="G76:H76"/>
    <mergeCell ref="I76:J76"/>
    <mergeCell ref="K76:L76"/>
    <mergeCell ref="M76:N76"/>
    <mergeCell ref="R78:R87"/>
    <mergeCell ref="F63:F64"/>
    <mergeCell ref="N63:N64"/>
    <mergeCell ref="C65:C71"/>
    <mergeCell ref="V65:AB65"/>
    <mergeCell ref="A72:E72"/>
    <mergeCell ref="A75:R75"/>
    <mergeCell ref="A76:B77"/>
    <mergeCell ref="O76:P76"/>
    <mergeCell ref="L95:M96"/>
    <mergeCell ref="N95:O96"/>
    <mergeCell ref="P95:P101"/>
    <mergeCell ref="C76:D76"/>
    <mergeCell ref="E76:F76"/>
    <mergeCell ref="A88:B89"/>
    <mergeCell ref="B94:P94"/>
    <mergeCell ref="B95:C96"/>
    <mergeCell ref="D95:E96"/>
    <mergeCell ref="F95:G96"/>
    <mergeCell ref="D120:E120"/>
    <mergeCell ref="B124:H124"/>
    <mergeCell ref="E230:E231"/>
    <mergeCell ref="F230:F231"/>
    <mergeCell ref="B230:C231"/>
    <mergeCell ref="B234:B235"/>
    <mergeCell ref="C234:C235"/>
    <mergeCell ref="D234:D235"/>
    <mergeCell ref="B239:F239"/>
    <mergeCell ref="C208:C211"/>
    <mergeCell ref="C218:C220"/>
    <mergeCell ref="C221:C222"/>
    <mergeCell ref="B228:F228"/>
    <mergeCell ref="B229:G229"/>
    <mergeCell ref="D230:D231"/>
    <mergeCell ref="G230:G231"/>
    <mergeCell ref="H95:I96"/>
    <mergeCell ref="J95:K96"/>
    <mergeCell ref="B107:F107"/>
    <mergeCell ref="C108:F108"/>
    <mergeCell ref="B109:B110"/>
    <mergeCell ref="H110:I110"/>
    <mergeCell ref="K110:M110"/>
    <mergeCell ref="C109:C110"/>
    <mergeCell ref="B113:E114"/>
    <mergeCell ref="F113:F114"/>
    <mergeCell ref="H113:H114"/>
    <mergeCell ref="I113:I114"/>
    <mergeCell ref="B116:F116"/>
    <mergeCell ref="D117:F117"/>
    <mergeCell ref="G149:G151"/>
    <mergeCell ref="G152:G153"/>
    <mergeCell ref="G154:G156"/>
    <mergeCell ref="H154:H156"/>
    <mergeCell ref="B143:G143"/>
    <mergeCell ref="B147:H147"/>
    <mergeCell ref="B149:B151"/>
    <mergeCell ref="E149:E151"/>
    <mergeCell ref="H149:H151"/>
    <mergeCell ref="B152:B153"/>
    <mergeCell ref="E152:E153"/>
    <mergeCell ref="H152:H153"/>
    <mergeCell ref="D149:D151"/>
    <mergeCell ref="D152:D153"/>
    <mergeCell ref="B154:B156"/>
    <mergeCell ref="D154:D156"/>
    <mergeCell ref="E154:E156"/>
    <mergeCell ref="B163:C163"/>
    <mergeCell ref="B187:G188"/>
    <mergeCell ref="B189:G189"/>
    <mergeCell ref="B190:C191"/>
    <mergeCell ref="D190:D191"/>
    <mergeCell ref="E190:E191"/>
    <mergeCell ref="F190:F191"/>
    <mergeCell ref="G190:G191"/>
    <mergeCell ref="D192:D193"/>
    <mergeCell ref="C192:C193"/>
    <mergeCell ref="C194:C195"/>
    <mergeCell ref="D194:D195"/>
    <mergeCell ref="C201:C202"/>
    <mergeCell ref="C204:C205"/>
    <mergeCell ref="D208:D211"/>
    <mergeCell ref="D215:D216"/>
    <mergeCell ref="D218:D220"/>
  </mergeCells>
  <conditionalFormatting sqref="AB4:AB43">
    <cfRule type="cellIs" dxfId="0" priority="1" operator="lessThan">
      <formula>-1</formula>
    </cfRule>
  </conditionalFormatting>
  <conditionalFormatting sqref="AB44">
    <cfRule type="cellIs" dxfId="1" priority="2" operator="greaterThan">
      <formula>0</formula>
    </cfRule>
  </conditionalFormatting>
  <conditionalFormatting sqref="AB50:AB57">
    <cfRule type="cellIs" dxfId="0" priority="3" operator="lessThan">
      <formula>0</formula>
    </cfRule>
  </conditionalFormatting>
  <conditionalFormatting sqref="AC4">
    <cfRule type="cellIs" dxfId="0" priority="4" operator="greaterThan">
      <formula>$F$4</formula>
    </cfRule>
  </conditionalFormatting>
  <conditionalFormatting sqref="AC5">
    <cfRule type="cellIs" dxfId="0" priority="5" operator="greaterThan">
      <formula>$F$5</formula>
    </cfRule>
  </conditionalFormatting>
  <conditionalFormatting sqref="AC6">
    <cfRule type="cellIs" dxfId="0" priority="6" operator="greaterThan">
      <formula>$F$6</formula>
    </cfRule>
  </conditionalFormatting>
  <conditionalFormatting sqref="AC7">
    <cfRule type="cellIs" dxfId="0" priority="7" operator="greaterThan">
      <formula>$F$7</formula>
    </cfRule>
  </conditionalFormatting>
  <conditionalFormatting sqref="AC8">
    <cfRule type="cellIs" dxfId="0" priority="8" operator="greaterThan">
      <formula>$F$8</formula>
    </cfRule>
  </conditionalFormatting>
  <conditionalFormatting sqref="AC9">
    <cfRule type="cellIs" dxfId="0" priority="9" operator="greaterThan">
      <formula>$F$9</formula>
    </cfRule>
  </conditionalFormatting>
  <conditionalFormatting sqref="AC10">
    <cfRule type="cellIs" dxfId="0" priority="10" operator="greaterThan">
      <formula>$F$10</formula>
    </cfRule>
  </conditionalFormatting>
  <conditionalFormatting sqref="AC11">
    <cfRule type="cellIs" dxfId="0" priority="11" operator="greaterThan">
      <formula>$F$11</formula>
    </cfRule>
  </conditionalFormatting>
  <conditionalFormatting sqref="AC12">
    <cfRule type="cellIs" dxfId="0" priority="12" operator="greaterThan">
      <formula>$F$12</formula>
    </cfRule>
  </conditionalFormatting>
  <conditionalFormatting sqref="AC13">
    <cfRule type="cellIs" dxfId="0" priority="13" operator="greaterThan">
      <formula>$F$13</formula>
    </cfRule>
  </conditionalFormatting>
  <conditionalFormatting sqref="AC14">
    <cfRule type="cellIs" dxfId="0" priority="14" operator="greaterThan">
      <formula>$F$14</formula>
    </cfRule>
  </conditionalFormatting>
  <conditionalFormatting sqref="AC15">
    <cfRule type="cellIs" dxfId="0" priority="15" operator="greaterThan">
      <formula>$F$15</formula>
    </cfRule>
  </conditionalFormatting>
  <conditionalFormatting sqref="AC16:AC18">
    <cfRule type="cellIs" dxfId="0" priority="16" operator="greaterThan">
      <formula>$F$16</formula>
    </cfRule>
  </conditionalFormatting>
  <conditionalFormatting sqref="AC19">
    <cfRule type="cellIs" dxfId="0" priority="17" operator="greaterThan">
      <formula>$F$19</formula>
    </cfRule>
  </conditionalFormatting>
  <conditionalFormatting sqref="AC20">
    <cfRule type="cellIs" dxfId="0" priority="18" operator="greaterThan">
      <formula>$F$20</formula>
    </cfRule>
  </conditionalFormatting>
  <conditionalFormatting sqref="AC21">
    <cfRule type="cellIs" dxfId="0" priority="19" operator="greaterThan">
      <formula>$F$21</formula>
    </cfRule>
  </conditionalFormatting>
  <conditionalFormatting sqref="AC22">
    <cfRule type="cellIs" dxfId="0" priority="20" operator="greaterThan">
      <formula>$F$22</formula>
    </cfRule>
  </conditionalFormatting>
  <conditionalFormatting sqref="AC25">
    <cfRule type="cellIs" dxfId="0" priority="21" operator="greaterThan">
      <formula>$F$25</formula>
    </cfRule>
  </conditionalFormatting>
  <conditionalFormatting sqref="AC26">
    <cfRule type="cellIs" dxfId="0" priority="22" operator="greaterThan">
      <formula>$F$26</formula>
    </cfRule>
  </conditionalFormatting>
  <conditionalFormatting sqref="AC27">
    <cfRule type="cellIs" dxfId="0" priority="23" operator="greaterThan">
      <formula>$F$27</formula>
    </cfRule>
  </conditionalFormatting>
  <conditionalFormatting sqref="AC28">
    <cfRule type="cellIs" dxfId="0" priority="24" operator="greaterThan">
      <formula>$F$28</formula>
    </cfRule>
  </conditionalFormatting>
  <conditionalFormatting sqref="AC29">
    <cfRule type="cellIs" dxfId="0" priority="25" operator="greaterThan">
      <formula>$F$29</formula>
    </cfRule>
  </conditionalFormatting>
  <conditionalFormatting sqref="AC30">
    <cfRule type="cellIs" dxfId="0" priority="26" operator="greaterThan">
      <formula>$F$30</formula>
    </cfRule>
  </conditionalFormatting>
  <conditionalFormatting sqref="AC31">
    <cfRule type="cellIs" dxfId="0" priority="27" operator="greaterThan">
      <formula>$F$31</formula>
    </cfRule>
  </conditionalFormatting>
  <conditionalFormatting sqref="AC32 AC36 AC40">
    <cfRule type="cellIs" dxfId="0" priority="28" operator="greaterThan">
      <formula>$F$32</formula>
    </cfRule>
  </conditionalFormatting>
  <conditionalFormatting sqref="AC33 AC37 AC41">
    <cfRule type="cellIs" dxfId="0" priority="29" operator="greaterThan">
      <formula>$F$33</formula>
    </cfRule>
  </conditionalFormatting>
  <conditionalFormatting sqref="AC34 AC38 AC42:AC43">
    <cfRule type="cellIs" dxfId="0" priority="30" operator="greaterThan">
      <formula>$F$34</formula>
    </cfRule>
  </conditionalFormatting>
  <conditionalFormatting sqref="AC35 AC39">
    <cfRule type="cellIs" dxfId="0" priority="31" operator="greaterThan">
      <formula>$F$35</formula>
    </cfRule>
  </conditionalFormatting>
  <conditionalFormatting sqref="AC44">
    <cfRule type="cellIs" dxfId="1" priority="32" operator="lessThan">
      <formula>46700</formula>
    </cfRule>
  </conditionalFormatting>
  <printOptions/>
  <pageMargins bottom="0.75" footer="0.0" header="0.0" left="0.25" right="0.25" top="0.7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36.88"/>
    <col customWidth="1" min="4" max="4" width="32.38"/>
    <col customWidth="1" min="5" max="5" width="19.75"/>
    <col customWidth="1" min="6" max="6" width="21.5"/>
    <col customWidth="1" min="7" max="7" width="20.0"/>
    <col customWidth="1" min="8" max="8" width="17.0"/>
    <col customWidth="1" min="9" max="9" width="36.75"/>
    <col customWidth="1" min="10" max="10" width="17.0"/>
    <col customWidth="1" min="11" max="11" width="17.25"/>
    <col customWidth="1" min="12" max="13" width="15.25"/>
    <col customWidth="1" min="14" max="14" width="24.38"/>
    <col customWidth="1" min="15" max="15" width="16.75"/>
    <col customWidth="1" min="16" max="17" width="21.63"/>
    <col customWidth="1" min="18" max="18" width="20.88"/>
    <col customWidth="1" min="19" max="19" width="19.0"/>
    <col customWidth="1" min="20" max="21" width="15.63"/>
    <col customWidth="1" min="22" max="22" width="14.88"/>
    <col customWidth="1" min="23" max="23" width="18.5"/>
    <col customWidth="1" min="24" max="25" width="22.25"/>
    <col customWidth="1" min="26" max="26" width="16.5"/>
    <col customWidth="1" min="27" max="27" width="16.63"/>
    <col customWidth="1" min="28" max="28" width="17.25"/>
    <col customWidth="1" min="29" max="32" width="10.63"/>
    <col customWidth="1" min="33" max="33" width="19.13"/>
    <col customWidth="1" min="34" max="34" width="18.63"/>
    <col customWidth="1" min="35" max="35" width="14.63"/>
    <col customWidth="1" min="36" max="36" width="10.63"/>
    <col customWidth="1" min="37" max="37" width="21.38"/>
    <col customWidth="1" min="38" max="38" width="16.5"/>
    <col customWidth="1" min="39" max="39" width="21.0"/>
    <col customWidth="1" min="40" max="40" width="18.25"/>
    <col customWidth="1" min="41" max="41" width="10.63"/>
    <col customWidth="1" min="42" max="42" width="15.63"/>
    <col customWidth="1" min="43" max="44" width="10.63"/>
    <col customWidth="1" min="45" max="47" width="13.88"/>
    <col customWidth="1" min="48" max="49" width="14.38"/>
    <col customWidth="1" min="50" max="51" width="14.75"/>
    <col customWidth="1" min="52" max="53" width="18.38"/>
    <col customWidth="1" min="54" max="54" width="10.63"/>
    <col customWidth="1" min="55" max="55" width="13.38"/>
    <col customWidth="1" min="56" max="58" width="10.63"/>
    <col customWidth="1" min="59" max="59" width="15.5"/>
    <col customWidth="1" min="60" max="60" width="10.63"/>
  </cols>
  <sheetData>
    <row r="1" ht="14.25" customHeight="1">
      <c r="A1" s="1"/>
      <c r="B1" s="2"/>
      <c r="C1" s="2"/>
      <c r="D1" s="2"/>
      <c r="E1" s="2"/>
      <c r="F1" s="3"/>
      <c r="G1" s="344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  <c r="AG1" s="345"/>
      <c r="AH1" s="345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352">
        <v>46230.0</v>
      </c>
      <c r="H2" s="2"/>
      <c r="I2" s="2"/>
      <c r="J2" s="3"/>
      <c r="K2" s="352">
        <v>46231.0</v>
      </c>
      <c r="L2" s="2"/>
      <c r="M2" s="2"/>
      <c r="N2" s="3"/>
      <c r="O2" s="352">
        <v>46232.0</v>
      </c>
      <c r="P2" s="2"/>
      <c r="Q2" s="2"/>
      <c r="R2" s="3"/>
      <c r="S2" s="352">
        <v>46233.0</v>
      </c>
      <c r="T2" s="2"/>
      <c r="U2" s="2"/>
      <c r="V2" s="3"/>
      <c r="W2" s="352">
        <v>46234.0</v>
      </c>
      <c r="X2" s="2"/>
      <c r="Y2" s="2"/>
      <c r="Z2" s="3"/>
      <c r="AA2" s="352">
        <v>46235.0</v>
      </c>
      <c r="AB2" s="2"/>
      <c r="AC2" s="3"/>
      <c r="AD2" s="352">
        <v>46236.0</v>
      </c>
      <c r="AE2" s="2"/>
      <c r="AF2" s="3"/>
      <c r="AG2" s="8" t="s">
        <v>7</v>
      </c>
      <c r="AH2" s="2"/>
      <c r="AI2" s="3"/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8" t="s">
        <v>10</v>
      </c>
      <c r="I3" s="3"/>
      <c r="J3" s="13" t="s">
        <v>11</v>
      </c>
      <c r="K3" s="13" t="s">
        <v>9</v>
      </c>
      <c r="L3" s="8" t="s">
        <v>10</v>
      </c>
      <c r="M3" s="3"/>
      <c r="N3" s="13" t="s">
        <v>12</v>
      </c>
      <c r="O3" s="13" t="s">
        <v>9</v>
      </c>
      <c r="P3" s="8" t="s">
        <v>10</v>
      </c>
      <c r="Q3" s="3"/>
      <c r="R3" s="13" t="s">
        <v>12</v>
      </c>
      <c r="S3" s="13" t="s">
        <v>9</v>
      </c>
      <c r="T3" s="8" t="s">
        <v>10</v>
      </c>
      <c r="U3" s="3"/>
      <c r="V3" s="13" t="s">
        <v>12</v>
      </c>
      <c r="W3" s="13" t="s">
        <v>9</v>
      </c>
      <c r="X3" s="8" t="s">
        <v>10</v>
      </c>
      <c r="Y3" s="3"/>
      <c r="Z3" s="13" t="s">
        <v>11</v>
      </c>
      <c r="AA3" s="13" t="s">
        <v>9</v>
      </c>
      <c r="AB3" s="13" t="s">
        <v>10</v>
      </c>
      <c r="AC3" s="13" t="s">
        <v>11</v>
      </c>
      <c r="AD3" s="13" t="s">
        <v>9</v>
      </c>
      <c r="AE3" s="13" t="s">
        <v>10</v>
      </c>
      <c r="AF3" s="13" t="s">
        <v>11</v>
      </c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18"/>
      <c r="H4" s="18"/>
      <c r="I4" s="18"/>
      <c r="J4" s="346"/>
      <c r="K4" s="18"/>
      <c r="L4" s="18"/>
      <c r="M4" s="18"/>
      <c r="N4" s="18"/>
      <c r="O4" s="18"/>
      <c r="P4" s="18"/>
      <c r="Q4" s="18"/>
      <c r="R4" s="346"/>
      <c r="S4" s="18"/>
      <c r="T4" s="18"/>
      <c r="U4" s="18"/>
      <c r="V4" s="346"/>
      <c r="W4" s="18"/>
      <c r="X4" s="18"/>
      <c r="Y4" s="18"/>
      <c r="Z4" s="346"/>
      <c r="AA4" s="18"/>
      <c r="AB4" s="18"/>
      <c r="AC4" s="18"/>
      <c r="AD4" s="18"/>
      <c r="AE4" s="18"/>
      <c r="AF4" s="18"/>
      <c r="AG4" s="18">
        <f t="shared" ref="AG4:AG43" si="1">F4-(SUM(G4:AF4))</f>
        <v>1200</v>
      </c>
      <c r="AH4" s="18">
        <f t="shared" ref="AH4:AH18" si="2">SUM(G4:AC4)</f>
        <v>0</v>
      </c>
      <c r="AI4" s="20"/>
    </row>
    <row r="5" ht="14.25" customHeight="1">
      <c r="A5" s="14">
        <v>2.0</v>
      </c>
      <c r="B5" s="12"/>
      <c r="C5" s="12"/>
      <c r="D5" s="21" t="s">
        <v>17</v>
      </c>
      <c r="E5" s="21"/>
      <c r="F5" s="22">
        <v>500.0</v>
      </c>
      <c r="G5" s="24"/>
      <c r="H5" s="24"/>
      <c r="I5" s="24"/>
      <c r="J5" s="85"/>
      <c r="K5" s="24"/>
      <c r="L5" s="24"/>
      <c r="M5" s="24"/>
      <c r="N5" s="24"/>
      <c r="O5" s="24"/>
      <c r="P5" s="24"/>
      <c r="Q5" s="24"/>
      <c r="R5" s="85"/>
      <c r="S5" s="24"/>
      <c r="T5" s="24"/>
      <c r="U5" s="24"/>
      <c r="V5" s="85"/>
      <c r="W5" s="24"/>
      <c r="X5" s="24"/>
      <c r="Y5" s="24"/>
      <c r="Z5" s="85"/>
      <c r="AA5" s="24"/>
      <c r="AB5" s="24"/>
      <c r="AC5" s="24"/>
      <c r="AD5" s="24"/>
      <c r="AE5" s="24"/>
      <c r="AF5" s="24"/>
      <c r="AG5" s="18">
        <f t="shared" si="1"/>
        <v>500</v>
      </c>
      <c r="AH5" s="18">
        <f t="shared" si="2"/>
        <v>0</v>
      </c>
      <c r="AI5" s="20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4"/>
      <c r="H6" s="353">
        <v>1904.88</v>
      </c>
      <c r="I6" s="353" t="s">
        <v>501</v>
      </c>
      <c r="J6" s="85"/>
      <c r="K6" s="24"/>
      <c r="L6" s="24"/>
      <c r="M6" s="24"/>
      <c r="N6" s="24"/>
      <c r="O6" s="24"/>
      <c r="P6" s="24"/>
      <c r="Q6" s="24"/>
      <c r="R6" s="85"/>
      <c r="S6" s="24"/>
      <c r="T6" s="24"/>
      <c r="U6" s="24"/>
      <c r="V6" s="85"/>
      <c r="W6" s="24"/>
      <c r="X6" s="24"/>
      <c r="Y6" s="24"/>
      <c r="Z6" s="85"/>
      <c r="AA6" s="24"/>
      <c r="AB6" s="24"/>
      <c r="AC6" s="24"/>
      <c r="AD6" s="24"/>
      <c r="AE6" s="24"/>
      <c r="AF6" s="24"/>
      <c r="AG6" s="18">
        <f t="shared" si="1"/>
        <v>595.12</v>
      </c>
      <c r="AH6" s="18">
        <f t="shared" si="2"/>
        <v>1904.88</v>
      </c>
      <c r="AI6" s="20"/>
      <c r="AK6" s="31" t="s">
        <v>23</v>
      </c>
      <c r="AL6" s="2"/>
      <c r="AM6" s="2"/>
      <c r="AN6" s="3"/>
      <c r="AP6" s="32"/>
    </row>
    <row r="7" ht="14.25" customHeight="1">
      <c r="A7" s="25">
        <v>4.0</v>
      </c>
      <c r="B7" s="12"/>
      <c r="C7" s="12"/>
      <c r="D7" s="27" t="s">
        <v>17</v>
      </c>
      <c r="E7" s="27"/>
      <c r="F7" s="28">
        <v>500.0</v>
      </c>
      <c r="G7" s="24"/>
      <c r="H7" s="24"/>
      <c r="I7" s="24"/>
      <c r="J7" s="85"/>
      <c r="K7" s="24"/>
      <c r="L7" s="24"/>
      <c r="M7" s="24"/>
      <c r="N7" s="24"/>
      <c r="O7" s="24"/>
      <c r="P7" s="24"/>
      <c r="Q7" s="24"/>
      <c r="R7" s="85"/>
      <c r="S7" s="24"/>
      <c r="T7" s="24"/>
      <c r="U7" s="24"/>
      <c r="V7" s="85"/>
      <c r="W7" s="24"/>
      <c r="X7" s="24"/>
      <c r="Y7" s="24"/>
      <c r="Z7" s="85"/>
      <c r="AA7" s="24"/>
      <c r="AB7" s="24"/>
      <c r="AC7" s="24"/>
      <c r="AD7" s="24"/>
      <c r="AE7" s="24"/>
      <c r="AF7" s="24"/>
      <c r="AG7" s="18">
        <f t="shared" si="1"/>
        <v>500</v>
      </c>
      <c r="AH7" s="18">
        <f t="shared" si="2"/>
        <v>0</v>
      </c>
      <c r="AI7" s="20"/>
      <c r="AK7" s="35" t="s">
        <v>25</v>
      </c>
      <c r="AL7" s="35" t="s">
        <v>26</v>
      </c>
      <c r="AM7" s="35" t="s">
        <v>27</v>
      </c>
      <c r="AN7" s="35" t="s">
        <v>28</v>
      </c>
      <c r="AP7" s="32"/>
    </row>
    <row r="8" ht="14.25" customHeight="1">
      <c r="A8" s="25">
        <v>5.0</v>
      </c>
      <c r="B8" s="27" t="s">
        <v>30</v>
      </c>
      <c r="C8" s="27" t="s">
        <v>19</v>
      </c>
      <c r="D8" s="27" t="s">
        <v>31</v>
      </c>
      <c r="E8" s="27" t="s">
        <v>32</v>
      </c>
      <c r="F8" s="28">
        <v>1500.0</v>
      </c>
      <c r="G8" s="24"/>
      <c r="H8" s="24"/>
      <c r="I8" s="24"/>
      <c r="J8" s="85"/>
      <c r="K8" s="24"/>
      <c r="L8" s="24"/>
      <c r="M8" s="24"/>
      <c r="N8" s="24"/>
      <c r="O8" s="24"/>
      <c r="P8" s="24"/>
      <c r="Q8" s="24"/>
      <c r="R8" s="85"/>
      <c r="S8" s="24"/>
      <c r="T8" s="24"/>
      <c r="U8" s="24"/>
      <c r="V8" s="85"/>
      <c r="W8" s="24"/>
      <c r="X8" s="24"/>
      <c r="Y8" s="24"/>
      <c r="Z8" s="85"/>
      <c r="AA8" s="24"/>
      <c r="AB8" s="24"/>
      <c r="AC8" s="24"/>
      <c r="AD8" s="24"/>
      <c r="AE8" s="24"/>
      <c r="AF8" s="24"/>
      <c r="AG8" s="18">
        <f t="shared" si="1"/>
        <v>1500</v>
      </c>
      <c r="AH8" s="18">
        <f t="shared" si="2"/>
        <v>0</v>
      </c>
      <c r="AI8" s="20"/>
      <c r="AK8" s="37" t="s">
        <v>9</v>
      </c>
      <c r="AL8" s="38">
        <f>AN8/AM8</f>
        <v>1322.866317</v>
      </c>
      <c r="AM8" s="39">
        <v>22.89</v>
      </c>
      <c r="AN8" s="40">
        <f>G44+K44+O44+S44+W44+AA44</f>
        <v>30280.41</v>
      </c>
    </row>
    <row r="9" ht="14.25" customHeight="1">
      <c r="A9" s="25">
        <v>6.0</v>
      </c>
      <c r="B9" s="27" t="s">
        <v>35</v>
      </c>
      <c r="C9" s="27" t="s">
        <v>19</v>
      </c>
      <c r="D9" s="27" t="s">
        <v>31</v>
      </c>
      <c r="E9" s="27" t="s">
        <v>36</v>
      </c>
      <c r="F9" s="28">
        <v>1500.0</v>
      </c>
      <c r="G9" s="24"/>
      <c r="H9" s="24"/>
      <c r="I9" s="24"/>
      <c r="J9" s="85"/>
      <c r="K9" s="354">
        <v>1167.65</v>
      </c>
      <c r="L9" s="24"/>
      <c r="M9" s="24"/>
      <c r="N9" s="24"/>
      <c r="O9" s="24"/>
      <c r="P9" s="24"/>
      <c r="Q9" s="24"/>
      <c r="R9" s="85"/>
      <c r="S9" s="24"/>
      <c r="T9" s="24"/>
      <c r="U9" s="24"/>
      <c r="V9" s="85"/>
      <c r="W9" s="24"/>
      <c r="X9" s="24"/>
      <c r="Y9" s="24"/>
      <c r="Z9" s="85"/>
      <c r="AA9" s="24"/>
      <c r="AB9" s="24"/>
      <c r="AC9" s="24"/>
      <c r="AD9" s="24"/>
      <c r="AE9" s="24"/>
      <c r="AF9" s="24"/>
      <c r="AG9" s="18">
        <f t="shared" si="1"/>
        <v>332.35</v>
      </c>
      <c r="AH9" s="18">
        <f t="shared" si="2"/>
        <v>1167.65</v>
      </c>
      <c r="AI9" s="20"/>
      <c r="AK9" s="37" t="s">
        <v>10</v>
      </c>
      <c r="AL9" s="38"/>
      <c r="AM9" s="39">
        <v>22.89</v>
      </c>
      <c r="AN9" s="43">
        <f>I44+L44+P44+T44+X44+AB44+AE44</f>
        <v>6824.56</v>
      </c>
    </row>
    <row r="10" ht="14.25" customHeight="1">
      <c r="A10" s="25">
        <v>7.0</v>
      </c>
      <c r="B10" s="27" t="s">
        <v>39</v>
      </c>
      <c r="C10" s="27" t="s">
        <v>19</v>
      </c>
      <c r="D10" s="27"/>
      <c r="E10" s="355" t="s">
        <v>38</v>
      </c>
      <c r="F10" s="28">
        <v>1500.0</v>
      </c>
      <c r="G10" s="24"/>
      <c r="H10" s="24"/>
      <c r="I10" s="24"/>
      <c r="J10" s="85"/>
      <c r="K10" s="24"/>
      <c r="L10" s="24"/>
      <c r="M10" s="24"/>
      <c r="N10" s="24"/>
      <c r="O10" s="24"/>
      <c r="P10" s="24"/>
      <c r="Q10" s="24"/>
      <c r="R10" s="85"/>
      <c r="S10" s="24"/>
      <c r="T10" s="24"/>
      <c r="U10" s="24"/>
      <c r="V10" s="85"/>
      <c r="W10" s="24"/>
      <c r="X10" s="24"/>
      <c r="Y10" s="24"/>
      <c r="Z10" s="85"/>
      <c r="AA10" s="24"/>
      <c r="AB10" s="24"/>
      <c r="AC10" s="24"/>
      <c r="AD10" s="24"/>
      <c r="AE10" s="24"/>
      <c r="AF10" s="24"/>
      <c r="AG10" s="18">
        <f t="shared" si="1"/>
        <v>1500</v>
      </c>
      <c r="AH10" s="18">
        <f t="shared" si="2"/>
        <v>0</v>
      </c>
      <c r="AI10" s="20"/>
      <c r="AK10" s="37" t="s">
        <v>11</v>
      </c>
      <c r="AL10" s="39"/>
      <c r="AM10" s="39"/>
      <c r="AN10" s="40">
        <f>V44+Z44+R44</f>
        <v>0</v>
      </c>
    </row>
    <row r="11" ht="14.25" customHeight="1">
      <c r="A11" s="14">
        <v>8.0</v>
      </c>
      <c r="B11" s="21" t="s">
        <v>41</v>
      </c>
      <c r="C11" s="21" t="s">
        <v>42</v>
      </c>
      <c r="D11" s="21" t="s">
        <v>43</v>
      </c>
      <c r="E11" s="21" t="s">
        <v>44</v>
      </c>
      <c r="F11" s="22">
        <v>700.0</v>
      </c>
      <c r="G11" s="24"/>
      <c r="H11" s="24"/>
      <c r="I11" s="24"/>
      <c r="J11" s="85"/>
      <c r="K11" s="24"/>
      <c r="L11" s="24"/>
      <c r="M11" s="24"/>
      <c r="N11" s="24"/>
      <c r="O11" s="24"/>
      <c r="P11" s="24"/>
      <c r="Q11" s="24"/>
      <c r="R11" s="85"/>
      <c r="S11" s="24"/>
      <c r="T11" s="24"/>
      <c r="U11" s="24"/>
      <c r="V11" s="85"/>
      <c r="W11" s="24"/>
      <c r="X11" s="24"/>
      <c r="Y11" s="24"/>
      <c r="Z11" s="85"/>
      <c r="AA11" s="24"/>
      <c r="AB11" s="24"/>
      <c r="AC11" s="24"/>
      <c r="AD11" s="24"/>
      <c r="AE11" s="24"/>
      <c r="AF11" s="24"/>
      <c r="AG11" s="18">
        <f t="shared" si="1"/>
        <v>700</v>
      </c>
      <c r="AH11" s="18">
        <f t="shared" si="2"/>
        <v>0</v>
      </c>
      <c r="AI11" s="20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</row>
    <row r="12" ht="14.25" customHeight="1">
      <c r="A12" s="14">
        <v>9.0</v>
      </c>
      <c r="B12" s="21" t="s">
        <v>45</v>
      </c>
      <c r="C12" s="21" t="s">
        <v>46</v>
      </c>
      <c r="D12" s="21" t="s">
        <v>47</v>
      </c>
      <c r="E12" s="21" t="s">
        <v>48</v>
      </c>
      <c r="F12" s="22">
        <v>1500.0</v>
      </c>
      <c r="G12" s="24"/>
      <c r="H12" s="24"/>
      <c r="I12" s="24"/>
      <c r="J12" s="85"/>
      <c r="K12" s="24"/>
      <c r="L12" s="24"/>
      <c r="M12" s="24"/>
      <c r="N12" s="24"/>
      <c r="O12" s="24"/>
      <c r="P12" s="24"/>
      <c r="Q12" s="24"/>
      <c r="R12" s="85"/>
      <c r="S12" s="24"/>
      <c r="T12" s="24"/>
      <c r="U12" s="24"/>
      <c r="V12" s="85"/>
      <c r="W12" s="24"/>
      <c r="X12" s="24"/>
      <c r="Y12" s="24"/>
      <c r="Z12" s="85"/>
      <c r="AA12" s="24"/>
      <c r="AB12" s="24"/>
      <c r="AC12" s="24"/>
      <c r="AD12" s="24"/>
      <c r="AE12" s="24"/>
      <c r="AF12" s="24"/>
      <c r="AG12" s="18">
        <f t="shared" si="1"/>
        <v>1500</v>
      </c>
      <c r="AH12" s="18">
        <f t="shared" si="2"/>
        <v>0</v>
      </c>
      <c r="AI12" s="20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</row>
    <row r="13" ht="14.25" customHeight="1">
      <c r="A13" s="25">
        <v>10.0</v>
      </c>
      <c r="B13" s="26" t="s">
        <v>50</v>
      </c>
      <c r="C13" s="27" t="s">
        <v>51</v>
      </c>
      <c r="D13" s="27" t="s">
        <v>52</v>
      </c>
      <c r="E13" s="27" t="s">
        <v>53</v>
      </c>
      <c r="F13" s="28">
        <v>1500.0</v>
      </c>
      <c r="G13" s="24"/>
      <c r="H13" s="24"/>
      <c r="I13" s="24"/>
      <c r="J13" s="85"/>
      <c r="K13" s="24"/>
      <c r="L13" s="24"/>
      <c r="M13" s="24"/>
      <c r="N13" s="24"/>
      <c r="O13" s="24"/>
      <c r="P13" s="24"/>
      <c r="Q13" s="24"/>
      <c r="R13" s="85"/>
      <c r="S13" s="354">
        <v>1488.35</v>
      </c>
      <c r="T13" s="24"/>
      <c r="U13" s="24"/>
      <c r="V13" s="85"/>
      <c r="W13" s="24"/>
      <c r="X13" s="24"/>
      <c r="Y13" s="24"/>
      <c r="Z13" s="85"/>
      <c r="AA13" s="24"/>
      <c r="AB13" s="24"/>
      <c r="AC13" s="24"/>
      <c r="AD13" s="24"/>
      <c r="AE13" s="24"/>
      <c r="AF13" s="24"/>
      <c r="AG13" s="18">
        <f t="shared" si="1"/>
        <v>11.65</v>
      </c>
      <c r="AH13" s="18">
        <f t="shared" si="2"/>
        <v>1488.35</v>
      </c>
      <c r="AI13" s="20"/>
      <c r="AL13" s="45"/>
      <c r="AN13" s="46"/>
      <c r="AO13" s="46"/>
      <c r="AP13" s="46"/>
    </row>
    <row r="14" ht="14.25" customHeight="1">
      <c r="A14" s="25">
        <v>11.0</v>
      </c>
      <c r="B14" s="12"/>
      <c r="C14" s="27" t="s">
        <v>54</v>
      </c>
      <c r="D14" s="27" t="s">
        <v>17</v>
      </c>
      <c r="E14" s="27"/>
      <c r="F14" s="28">
        <v>500.0</v>
      </c>
      <c r="G14" s="24"/>
      <c r="H14" s="24"/>
      <c r="I14" s="24"/>
      <c r="J14" s="85"/>
      <c r="K14" s="24"/>
      <c r="L14" s="24"/>
      <c r="M14" s="24"/>
      <c r="N14" s="24"/>
      <c r="O14" s="24"/>
      <c r="P14" s="24"/>
      <c r="Q14" s="24"/>
      <c r="R14" s="85"/>
      <c r="S14" s="24"/>
      <c r="T14" s="24"/>
      <c r="U14" s="24"/>
      <c r="V14" s="85"/>
      <c r="W14" s="24"/>
      <c r="X14" s="24"/>
      <c r="Y14" s="24"/>
      <c r="Z14" s="85"/>
      <c r="AA14" s="24"/>
      <c r="AB14" s="24"/>
      <c r="AC14" s="24"/>
      <c r="AD14" s="24"/>
      <c r="AE14" s="24"/>
      <c r="AF14" s="24"/>
      <c r="AG14" s="18">
        <f t="shared" si="1"/>
        <v>500</v>
      </c>
      <c r="AH14" s="18">
        <f t="shared" si="2"/>
        <v>0</v>
      </c>
      <c r="AI14" s="20"/>
      <c r="AL14" s="48" t="s">
        <v>55</v>
      </c>
      <c r="AM14" s="3"/>
      <c r="AN14" s="50"/>
      <c r="AO14" s="50"/>
      <c r="AP14" s="46"/>
    </row>
    <row r="15" ht="14.25" customHeight="1">
      <c r="A15" s="25">
        <v>12.0</v>
      </c>
      <c r="B15" s="27" t="s">
        <v>57</v>
      </c>
      <c r="C15" s="27" t="s">
        <v>51</v>
      </c>
      <c r="D15" s="27" t="s">
        <v>58</v>
      </c>
      <c r="E15" s="27" t="s">
        <v>59</v>
      </c>
      <c r="F15" s="28">
        <v>1500.0</v>
      </c>
      <c r="G15" s="24"/>
      <c r="H15" s="24"/>
      <c r="I15" s="24"/>
      <c r="J15" s="85"/>
      <c r="K15" s="356">
        <v>1500.0</v>
      </c>
      <c r="L15" s="24"/>
      <c r="M15" s="24"/>
      <c r="N15" s="24"/>
      <c r="O15" s="24"/>
      <c r="P15" s="24"/>
      <c r="Q15" s="24"/>
      <c r="R15" s="85"/>
      <c r="S15" s="24"/>
      <c r="T15" s="24"/>
      <c r="U15" s="24"/>
      <c r="V15" s="85"/>
      <c r="W15" s="356">
        <v>1500.0</v>
      </c>
      <c r="X15" s="24"/>
      <c r="Y15" s="24"/>
      <c r="Z15" s="85"/>
      <c r="AA15" s="24"/>
      <c r="AB15" s="24"/>
      <c r="AC15" s="24"/>
      <c r="AD15" s="24"/>
      <c r="AE15" s="24"/>
      <c r="AF15" s="24"/>
      <c r="AG15" s="18">
        <f t="shared" si="1"/>
        <v>-1500</v>
      </c>
      <c r="AH15" s="18">
        <f t="shared" si="2"/>
        <v>3000</v>
      </c>
      <c r="AI15" s="20"/>
      <c r="AL15" s="52" t="s">
        <v>9</v>
      </c>
      <c r="AM15" s="54">
        <f>AN8+AN53</f>
        <v>41969.3</v>
      </c>
      <c r="AN15" s="50">
        <f>AA59+W59+S59+O59+K59+G60</f>
        <v>41969.3</v>
      </c>
      <c r="AO15" s="46"/>
      <c r="AP15" s="50"/>
    </row>
    <row r="16" ht="14.25" customHeight="1">
      <c r="A16" s="14">
        <v>13.0</v>
      </c>
      <c r="B16" s="55" t="s">
        <v>61</v>
      </c>
      <c r="C16" s="21" t="s">
        <v>63</v>
      </c>
      <c r="D16" s="21" t="s">
        <v>65</v>
      </c>
      <c r="E16" s="21" t="s">
        <v>66</v>
      </c>
      <c r="F16" s="357">
        <v>1500.0</v>
      </c>
      <c r="G16" s="354">
        <v>1500.35</v>
      </c>
      <c r="H16" s="24"/>
      <c r="I16" s="24"/>
      <c r="J16" s="85"/>
      <c r="K16" s="24"/>
      <c r="L16" s="24"/>
      <c r="M16" s="24"/>
      <c r="N16" s="24"/>
      <c r="O16" s="24"/>
      <c r="P16" s="24"/>
      <c r="Q16" s="24"/>
      <c r="R16" s="85"/>
      <c r="S16" s="354">
        <v>1000.0</v>
      </c>
      <c r="T16" s="24"/>
      <c r="U16" s="24"/>
      <c r="V16" s="85"/>
      <c r="W16" s="24"/>
      <c r="X16" s="24"/>
      <c r="Y16" s="24"/>
      <c r="Z16" s="85"/>
      <c r="AA16" s="24"/>
      <c r="AB16" s="24"/>
      <c r="AC16" s="24"/>
      <c r="AD16" s="24"/>
      <c r="AE16" s="24"/>
      <c r="AF16" s="24"/>
      <c r="AG16" s="18">
        <f t="shared" si="1"/>
        <v>-1000.35</v>
      </c>
      <c r="AH16" s="18">
        <f t="shared" si="2"/>
        <v>2500.35</v>
      </c>
      <c r="AI16" s="20"/>
      <c r="AL16" s="52" t="s">
        <v>10</v>
      </c>
      <c r="AM16" s="56">
        <f>X44+T44+P44+L44+G44</f>
        <v>16700.29</v>
      </c>
      <c r="AN16" s="46"/>
      <c r="AO16" s="46"/>
      <c r="AP16" s="46"/>
      <c r="BH16" s="19"/>
    </row>
    <row r="17" ht="14.25" customHeight="1">
      <c r="A17" s="14"/>
      <c r="B17" s="55" t="s">
        <v>61</v>
      </c>
      <c r="C17" s="21" t="s">
        <v>63</v>
      </c>
      <c r="D17" s="21"/>
      <c r="E17" s="21" t="s">
        <v>481</v>
      </c>
      <c r="F17" s="357">
        <v>2500.0</v>
      </c>
      <c r="G17" s="354">
        <v>1500.0</v>
      </c>
      <c r="H17" s="24"/>
      <c r="I17" s="24"/>
      <c r="J17" s="85"/>
      <c r="K17" s="24"/>
      <c r="L17" s="24"/>
      <c r="M17" s="24"/>
      <c r="N17" s="24"/>
      <c r="O17" s="24"/>
      <c r="P17" s="24"/>
      <c r="Q17" s="24"/>
      <c r="R17" s="85"/>
      <c r="S17" s="354">
        <v>1203.21</v>
      </c>
      <c r="T17" s="24"/>
      <c r="U17" s="24"/>
      <c r="V17" s="85"/>
      <c r="W17" s="24"/>
      <c r="X17" s="24"/>
      <c r="Y17" s="24"/>
      <c r="Z17" s="85"/>
      <c r="AA17" s="24"/>
      <c r="AB17" s="24"/>
      <c r="AC17" s="24"/>
      <c r="AD17" s="24"/>
      <c r="AE17" s="24"/>
      <c r="AF17" s="24"/>
      <c r="AG17" s="18">
        <f t="shared" si="1"/>
        <v>-203.21</v>
      </c>
      <c r="AH17" s="18">
        <f t="shared" si="2"/>
        <v>2703.21</v>
      </c>
      <c r="AI17" s="20"/>
      <c r="AL17" s="52"/>
      <c r="AM17" s="56"/>
      <c r="AN17" s="46"/>
      <c r="AO17" s="46"/>
      <c r="AP17" s="46"/>
      <c r="BH17" s="19"/>
    </row>
    <row r="18" ht="14.25" customHeight="1">
      <c r="A18" s="14"/>
      <c r="B18" s="55" t="s">
        <v>61</v>
      </c>
      <c r="C18" s="21" t="s">
        <v>63</v>
      </c>
      <c r="D18" s="21" t="s">
        <v>17</v>
      </c>
      <c r="E18" s="21"/>
      <c r="F18" s="22">
        <v>300.0</v>
      </c>
      <c r="G18" s="24"/>
      <c r="H18" s="24"/>
      <c r="I18" s="24"/>
      <c r="J18" s="85"/>
      <c r="K18" s="24"/>
      <c r="L18" s="24"/>
      <c r="M18" s="24"/>
      <c r="N18" s="24"/>
      <c r="O18" s="354">
        <v>300.0</v>
      </c>
      <c r="P18" s="24"/>
      <c r="Q18" s="24"/>
      <c r="R18" s="85"/>
      <c r="S18" s="24"/>
      <c r="T18" s="24"/>
      <c r="U18" s="24"/>
      <c r="V18" s="85"/>
      <c r="W18" s="24"/>
      <c r="X18" s="24"/>
      <c r="Y18" s="24"/>
      <c r="Z18" s="85"/>
      <c r="AA18" s="24"/>
      <c r="AB18" s="24"/>
      <c r="AC18" s="24"/>
      <c r="AD18" s="24"/>
      <c r="AE18" s="24"/>
      <c r="AF18" s="24"/>
      <c r="AG18" s="18">
        <f t="shared" si="1"/>
        <v>0</v>
      </c>
      <c r="AH18" s="18">
        <f t="shared" si="2"/>
        <v>300</v>
      </c>
      <c r="AI18" s="20"/>
      <c r="AL18" s="52" t="s">
        <v>12</v>
      </c>
      <c r="AM18" s="24">
        <f>AN10+AN55</f>
        <v>0</v>
      </c>
      <c r="BH18" s="19"/>
    </row>
    <row r="19" ht="14.25" customHeight="1">
      <c r="A19" s="14">
        <v>14.0</v>
      </c>
      <c r="B19" s="21" t="s">
        <v>68</v>
      </c>
      <c r="C19" s="21" t="s">
        <v>63</v>
      </c>
      <c r="D19" s="21" t="s">
        <v>69</v>
      </c>
      <c r="E19" s="21" t="s">
        <v>70</v>
      </c>
      <c r="F19" s="22">
        <v>2500.0</v>
      </c>
      <c r="G19" s="24"/>
      <c r="H19" s="24"/>
      <c r="I19" s="24"/>
      <c r="J19" s="85"/>
      <c r="K19" s="24"/>
      <c r="L19" s="24"/>
      <c r="M19" s="24"/>
      <c r="N19" s="24"/>
      <c r="O19" s="24"/>
      <c r="P19" s="24"/>
      <c r="Q19" s="24"/>
      <c r="R19" s="85"/>
      <c r="S19" s="24"/>
      <c r="T19" s="24"/>
      <c r="U19" s="24"/>
      <c r="V19" s="85"/>
      <c r="W19" s="24"/>
      <c r="X19" s="24"/>
      <c r="Y19" s="24"/>
      <c r="Z19" s="85"/>
      <c r="AA19" s="24"/>
      <c r="AB19" s="24"/>
      <c r="AC19" s="24"/>
      <c r="AD19" s="24"/>
      <c r="AE19" s="24"/>
      <c r="AF19" s="24"/>
      <c r="AG19" s="18">
        <f t="shared" si="1"/>
        <v>2500</v>
      </c>
      <c r="AH19" s="18">
        <f>SUM(I19:AC19)</f>
        <v>0</v>
      </c>
      <c r="AI19" s="20"/>
      <c r="BH19" s="19"/>
    </row>
    <row r="20" ht="14.25" customHeight="1">
      <c r="A20" s="14">
        <v>15.0</v>
      </c>
      <c r="B20" s="21" t="s">
        <v>71</v>
      </c>
      <c r="C20" s="21" t="s">
        <v>63</v>
      </c>
      <c r="D20" s="21" t="s">
        <v>58</v>
      </c>
      <c r="E20" s="21" t="s">
        <v>72</v>
      </c>
      <c r="F20" s="22">
        <v>4000.0</v>
      </c>
      <c r="G20" s="24"/>
      <c r="H20" s="353">
        <v>3511.75</v>
      </c>
      <c r="I20" s="159" t="s">
        <v>528</v>
      </c>
      <c r="J20" s="85"/>
      <c r="K20" s="24"/>
      <c r="L20" s="24"/>
      <c r="M20" s="24"/>
      <c r="N20" s="24"/>
      <c r="O20" s="24"/>
      <c r="P20" s="24"/>
      <c r="Q20" s="24"/>
      <c r="R20" s="85"/>
      <c r="S20" s="24"/>
      <c r="T20" s="353">
        <v>1488.06</v>
      </c>
      <c r="U20" s="353" t="s">
        <v>529</v>
      </c>
      <c r="V20" s="85"/>
      <c r="W20" s="24"/>
      <c r="X20" s="24"/>
      <c r="Y20" s="24"/>
      <c r="Z20" s="85"/>
      <c r="AA20" s="24"/>
      <c r="AB20" s="24"/>
      <c r="AC20" s="24"/>
      <c r="AD20" s="24"/>
      <c r="AE20" s="24"/>
      <c r="AF20" s="24"/>
      <c r="AG20" s="18">
        <f t="shared" si="1"/>
        <v>-999.81</v>
      </c>
      <c r="AH20" s="18">
        <f>SUM(H20:AC20)</f>
        <v>4999.81</v>
      </c>
      <c r="AI20" s="20"/>
      <c r="BH20" s="19"/>
    </row>
    <row r="21" ht="14.25" customHeight="1">
      <c r="A21" s="25">
        <v>16.0</v>
      </c>
      <c r="B21" s="26" t="s">
        <v>74</v>
      </c>
      <c r="C21" s="26" t="s">
        <v>75</v>
      </c>
      <c r="D21" s="27" t="s">
        <v>65</v>
      </c>
      <c r="E21" s="27" t="s">
        <v>76</v>
      </c>
      <c r="F21" s="28">
        <v>2500.0</v>
      </c>
      <c r="G21" s="24"/>
      <c r="H21" s="24"/>
      <c r="I21" s="24"/>
      <c r="J21" s="85"/>
      <c r="K21" s="354">
        <v>1502.5</v>
      </c>
      <c r="L21" s="24"/>
      <c r="M21" s="24"/>
      <c r="N21" s="24"/>
      <c r="O21" s="24"/>
      <c r="P21" s="24"/>
      <c r="Q21" s="24"/>
      <c r="R21" s="85"/>
      <c r="S21" s="354">
        <v>807.51</v>
      </c>
      <c r="T21" s="24"/>
      <c r="U21" s="24"/>
      <c r="V21" s="85"/>
      <c r="W21" s="24"/>
      <c r="X21" s="24"/>
      <c r="Y21" s="24"/>
      <c r="Z21" s="85"/>
      <c r="AA21" s="24"/>
      <c r="AB21" s="24"/>
      <c r="AC21" s="24"/>
      <c r="AD21" s="24"/>
      <c r="AE21" s="24"/>
      <c r="AF21" s="24"/>
      <c r="AG21" s="18">
        <f t="shared" si="1"/>
        <v>189.99</v>
      </c>
      <c r="AH21" s="18">
        <f t="shared" ref="AH21:AH38" si="3">SUM(G21:AC21)</f>
        <v>2310.01</v>
      </c>
      <c r="AI21" s="20"/>
    </row>
    <row r="22" ht="14.25" customHeight="1">
      <c r="A22" s="25">
        <v>17.0</v>
      </c>
      <c r="B22" s="44"/>
      <c r="C22" s="44"/>
      <c r="D22" s="27" t="s">
        <v>77</v>
      </c>
      <c r="E22" s="27"/>
      <c r="F22" s="57">
        <v>1000.0</v>
      </c>
      <c r="G22" s="354">
        <v>1000.0</v>
      </c>
      <c r="H22" s="24"/>
      <c r="I22" s="24"/>
      <c r="J22" s="85"/>
      <c r="K22" s="24"/>
      <c r="L22" s="24"/>
      <c r="M22" s="24"/>
      <c r="N22" s="24"/>
      <c r="O22" s="24"/>
      <c r="P22" s="24"/>
      <c r="Q22" s="24"/>
      <c r="R22" s="85"/>
      <c r="S22" s="24"/>
      <c r="T22" s="24"/>
      <c r="U22" s="24"/>
      <c r="V22" s="85"/>
      <c r="W22" s="24"/>
      <c r="X22" s="24"/>
      <c r="Y22" s="24"/>
      <c r="Z22" s="85"/>
      <c r="AA22" s="24"/>
      <c r="AB22" s="24"/>
      <c r="AC22" s="24"/>
      <c r="AD22" s="24"/>
      <c r="AE22" s="24"/>
      <c r="AF22" s="24"/>
      <c r="AG22" s="18">
        <f t="shared" si="1"/>
        <v>0</v>
      </c>
      <c r="AH22" s="18">
        <f t="shared" si="3"/>
        <v>1000</v>
      </c>
      <c r="AI22" s="20"/>
    </row>
    <row r="23" ht="14.25" customHeight="1">
      <c r="A23" s="25">
        <v>18.0</v>
      </c>
      <c r="B23" s="44"/>
      <c r="C23" s="44"/>
      <c r="D23" s="27" t="s">
        <v>78</v>
      </c>
      <c r="E23" s="27"/>
      <c r="F23" s="57"/>
      <c r="G23" s="24"/>
      <c r="H23" s="24"/>
      <c r="I23" s="24"/>
      <c r="J23" s="85"/>
      <c r="K23" s="24"/>
      <c r="L23" s="24"/>
      <c r="M23" s="24"/>
      <c r="N23" s="24"/>
      <c r="O23" s="24"/>
      <c r="P23" s="24"/>
      <c r="Q23" s="24"/>
      <c r="R23" s="85"/>
      <c r="S23" s="24"/>
      <c r="T23" s="24"/>
      <c r="U23" s="24"/>
      <c r="V23" s="85"/>
      <c r="W23" s="24"/>
      <c r="X23" s="24"/>
      <c r="Y23" s="24"/>
      <c r="Z23" s="85"/>
      <c r="AA23" s="24"/>
      <c r="AB23" s="24"/>
      <c r="AC23" s="24"/>
      <c r="AD23" s="24"/>
      <c r="AE23" s="24"/>
      <c r="AF23" s="24"/>
      <c r="AG23" s="18">
        <f t="shared" si="1"/>
        <v>0</v>
      </c>
      <c r="AH23" s="18">
        <f t="shared" si="3"/>
        <v>0</v>
      </c>
      <c r="AI23" s="20"/>
      <c r="AL23" s="20">
        <f>G44+K44+O44+S44+W44+AA44</f>
        <v>30280.41</v>
      </c>
    </row>
    <row r="24" ht="14.25" customHeight="1">
      <c r="A24" s="25">
        <v>19.0</v>
      </c>
      <c r="B24" s="12"/>
      <c r="C24" s="12"/>
      <c r="D24" s="27" t="s">
        <v>81</v>
      </c>
      <c r="E24" s="27"/>
      <c r="F24" s="57"/>
      <c r="G24" s="24"/>
      <c r="H24" s="24"/>
      <c r="I24" s="24"/>
      <c r="J24" s="85"/>
      <c r="K24" s="24"/>
      <c r="L24" s="24"/>
      <c r="M24" s="24"/>
      <c r="N24" s="24"/>
      <c r="O24" s="24"/>
      <c r="P24" s="24"/>
      <c r="Q24" s="24"/>
      <c r="R24" s="85"/>
      <c r="S24" s="24"/>
      <c r="T24" s="24"/>
      <c r="U24" s="24"/>
      <c r="V24" s="85"/>
      <c r="W24" s="24"/>
      <c r="X24" s="24"/>
      <c r="Y24" s="24"/>
      <c r="Z24" s="85"/>
      <c r="AA24" s="24"/>
      <c r="AB24" s="24"/>
      <c r="AC24" s="24"/>
      <c r="AD24" s="24"/>
      <c r="AE24" s="24"/>
      <c r="AF24" s="24"/>
      <c r="AG24" s="18">
        <f t="shared" si="1"/>
        <v>0</v>
      </c>
      <c r="AH24" s="18">
        <f t="shared" si="3"/>
        <v>0</v>
      </c>
      <c r="AI24" s="20"/>
    </row>
    <row r="25" ht="14.25" customHeight="1">
      <c r="A25" s="25">
        <v>20.0</v>
      </c>
      <c r="B25" s="27" t="s">
        <v>82</v>
      </c>
      <c r="C25" s="27" t="s">
        <v>75</v>
      </c>
      <c r="D25" s="27" t="s">
        <v>65</v>
      </c>
      <c r="E25" s="27" t="s">
        <v>83</v>
      </c>
      <c r="F25" s="28">
        <v>1500.0</v>
      </c>
      <c r="G25" s="24"/>
      <c r="H25" s="24"/>
      <c r="I25" s="24"/>
      <c r="J25" s="85"/>
      <c r="K25" s="354">
        <v>1460.68</v>
      </c>
      <c r="L25" s="24"/>
      <c r="M25" s="24"/>
      <c r="N25" s="24"/>
      <c r="O25" s="24"/>
      <c r="P25" s="24"/>
      <c r="Q25" s="24"/>
      <c r="R25" s="85"/>
      <c r="S25" s="24"/>
      <c r="T25" s="24"/>
      <c r="U25" s="24"/>
      <c r="V25" s="85"/>
      <c r="W25" s="24"/>
      <c r="X25" s="24"/>
      <c r="Y25" s="24"/>
      <c r="Z25" s="85"/>
      <c r="AA25" s="24"/>
      <c r="AB25" s="24"/>
      <c r="AC25" s="24"/>
      <c r="AD25" s="24"/>
      <c r="AE25" s="24"/>
      <c r="AF25" s="24"/>
      <c r="AG25" s="18">
        <f t="shared" si="1"/>
        <v>39.32</v>
      </c>
      <c r="AH25" s="18">
        <f t="shared" si="3"/>
        <v>1460.68</v>
      </c>
      <c r="AI25" s="20"/>
    </row>
    <row r="26" ht="14.25" customHeight="1">
      <c r="A26" s="25">
        <v>21.0</v>
      </c>
      <c r="B26" s="27" t="s">
        <v>89</v>
      </c>
      <c r="C26" s="27" t="s">
        <v>75</v>
      </c>
      <c r="D26" s="27" t="s">
        <v>58</v>
      </c>
      <c r="E26" s="27" t="s">
        <v>90</v>
      </c>
      <c r="F26" s="28">
        <v>3000.0</v>
      </c>
      <c r="G26" s="24"/>
      <c r="H26" s="24"/>
      <c r="I26" s="24"/>
      <c r="J26" s="85"/>
      <c r="K26" s="354">
        <v>3000.0</v>
      </c>
      <c r="L26" s="24"/>
      <c r="M26" s="24"/>
      <c r="N26" s="24"/>
      <c r="O26" s="24"/>
      <c r="P26" s="24"/>
      <c r="Q26" s="24"/>
      <c r="R26" s="85"/>
      <c r="S26" s="24"/>
      <c r="T26" s="24"/>
      <c r="U26" s="24"/>
      <c r="V26" s="85"/>
      <c r="W26" s="354">
        <v>500.0</v>
      </c>
      <c r="X26" s="24"/>
      <c r="Y26" s="24"/>
      <c r="Z26" s="85"/>
      <c r="AA26" s="24"/>
      <c r="AB26" s="24"/>
      <c r="AC26" s="24"/>
      <c r="AD26" s="24"/>
      <c r="AE26" s="24"/>
      <c r="AF26" s="24"/>
      <c r="AG26" s="18">
        <f t="shared" si="1"/>
        <v>-500</v>
      </c>
      <c r="AH26" s="18">
        <f t="shared" si="3"/>
        <v>3500</v>
      </c>
      <c r="AI26" s="20"/>
    </row>
    <row r="27" ht="14.25" customHeight="1">
      <c r="A27" s="25">
        <v>22.0</v>
      </c>
      <c r="B27" s="27" t="s">
        <v>93</v>
      </c>
      <c r="C27" s="27" t="s">
        <v>75</v>
      </c>
      <c r="D27" s="27" t="s">
        <v>69</v>
      </c>
      <c r="E27" s="27" t="s">
        <v>94</v>
      </c>
      <c r="F27" s="28">
        <v>2500.0</v>
      </c>
      <c r="G27" s="24"/>
      <c r="H27" s="24"/>
      <c r="I27" s="24"/>
      <c r="J27" s="85"/>
      <c r="K27" s="24"/>
      <c r="L27" s="24"/>
      <c r="M27" s="24"/>
      <c r="N27" s="24"/>
      <c r="O27" s="354">
        <v>1185.27</v>
      </c>
      <c r="P27" s="24"/>
      <c r="Q27" s="24"/>
      <c r="R27" s="85"/>
      <c r="S27" s="354">
        <v>614.44</v>
      </c>
      <c r="T27" s="24"/>
      <c r="U27" s="24"/>
      <c r="V27" s="85"/>
      <c r="W27" s="24"/>
      <c r="X27" s="24"/>
      <c r="Y27" s="24"/>
      <c r="Z27" s="85"/>
      <c r="AA27" s="24"/>
      <c r="AB27" s="24"/>
      <c r="AD27" s="24"/>
      <c r="AE27" s="24"/>
      <c r="AF27" s="24"/>
      <c r="AG27" s="18">
        <f t="shared" si="1"/>
        <v>700.29</v>
      </c>
      <c r="AH27" s="18">
        <f t="shared" si="3"/>
        <v>1799.71</v>
      </c>
      <c r="AI27" s="20"/>
    </row>
    <row r="28" ht="14.25" customHeight="1">
      <c r="A28" s="14">
        <v>23.0</v>
      </c>
      <c r="B28" s="21" t="s">
        <v>96</v>
      </c>
      <c r="C28" s="55" t="s">
        <v>98</v>
      </c>
      <c r="D28" s="21" t="s">
        <v>99</v>
      </c>
      <c r="E28" s="21" t="s">
        <v>100</v>
      </c>
      <c r="F28" s="22">
        <v>2500.0</v>
      </c>
      <c r="G28" s="353"/>
      <c r="H28" s="353">
        <v>1000.0</v>
      </c>
      <c r="I28" s="353" t="s">
        <v>532</v>
      </c>
      <c r="J28" s="85"/>
      <c r="K28" s="24"/>
      <c r="L28" s="24"/>
      <c r="M28" s="24"/>
      <c r="N28" s="24"/>
      <c r="O28" s="24"/>
      <c r="P28" s="24"/>
      <c r="Q28" s="24"/>
      <c r="R28" s="85"/>
      <c r="S28" s="353"/>
      <c r="T28" s="353">
        <v>1500.0</v>
      </c>
      <c r="U28" s="353" t="s">
        <v>533</v>
      </c>
      <c r="V28" s="85"/>
      <c r="W28" s="24"/>
      <c r="X28" s="24"/>
      <c r="Y28" s="24"/>
      <c r="Z28" s="85"/>
      <c r="AA28" s="24"/>
      <c r="AB28" s="24"/>
      <c r="AC28" s="24"/>
      <c r="AD28" s="24"/>
      <c r="AE28" s="24"/>
      <c r="AF28" s="24"/>
      <c r="AG28" s="18">
        <f t="shared" si="1"/>
        <v>0</v>
      </c>
      <c r="AH28" s="18">
        <f t="shared" si="3"/>
        <v>2500</v>
      </c>
      <c r="AI28" s="20"/>
    </row>
    <row r="29" ht="14.25" customHeight="1">
      <c r="A29" s="14">
        <v>24.0</v>
      </c>
      <c r="B29" s="21" t="s">
        <v>102</v>
      </c>
      <c r="C29" s="12"/>
      <c r="D29" s="21" t="s">
        <v>17</v>
      </c>
      <c r="E29" s="21"/>
      <c r="F29" s="22">
        <v>1000.0</v>
      </c>
      <c r="G29" s="24"/>
      <c r="H29" s="24"/>
      <c r="I29" s="24"/>
      <c r="J29" s="85"/>
      <c r="K29" s="24"/>
      <c r="L29" s="24"/>
      <c r="M29" s="24"/>
      <c r="N29" s="24"/>
      <c r="O29" s="24"/>
      <c r="P29" s="24"/>
      <c r="Q29" s="24"/>
      <c r="R29" s="85"/>
      <c r="S29" s="24"/>
      <c r="T29" s="353">
        <v>836.5</v>
      </c>
      <c r="U29" s="353" t="s">
        <v>534</v>
      </c>
      <c r="V29" s="85"/>
      <c r="W29" s="24"/>
      <c r="X29" s="24"/>
      <c r="Y29" s="24"/>
      <c r="Z29" s="85"/>
      <c r="AA29" s="24"/>
      <c r="AB29" s="24"/>
      <c r="AC29" s="24"/>
      <c r="AD29" s="24"/>
      <c r="AE29" s="24"/>
      <c r="AF29" s="24"/>
      <c r="AG29" s="18">
        <f t="shared" si="1"/>
        <v>163.5</v>
      </c>
      <c r="AH29" s="18">
        <f t="shared" si="3"/>
        <v>836.5</v>
      </c>
      <c r="AI29" s="20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</row>
    <row r="30" ht="14.25" customHeight="1">
      <c r="A30" s="25">
        <v>25.0</v>
      </c>
      <c r="B30" s="27" t="s">
        <v>104</v>
      </c>
      <c r="C30" s="27" t="s">
        <v>105</v>
      </c>
      <c r="D30" s="27" t="s">
        <v>20</v>
      </c>
      <c r="E30" s="27" t="s">
        <v>106</v>
      </c>
      <c r="F30" s="28">
        <v>2500.0</v>
      </c>
      <c r="G30" s="354">
        <v>2075.38</v>
      </c>
      <c r="H30" s="24"/>
      <c r="I30" s="24"/>
      <c r="J30" s="85"/>
      <c r="K30" s="24"/>
      <c r="L30" s="24"/>
      <c r="M30" s="24"/>
      <c r="N30" s="24"/>
      <c r="O30" s="24"/>
      <c r="P30" s="24"/>
      <c r="Q30" s="24"/>
      <c r="R30" s="85"/>
      <c r="S30" s="354">
        <v>1500.0</v>
      </c>
      <c r="T30" s="24"/>
      <c r="U30" s="24"/>
      <c r="V30" s="85"/>
      <c r="W30" s="353"/>
      <c r="X30" s="24"/>
      <c r="Y30" s="24"/>
      <c r="Z30" s="85"/>
      <c r="AA30" s="24"/>
      <c r="AB30" s="24"/>
      <c r="AC30" s="24"/>
      <c r="AD30" s="24"/>
      <c r="AE30" s="24"/>
      <c r="AF30" s="24"/>
      <c r="AG30" s="18">
        <f t="shared" si="1"/>
        <v>-1075.38</v>
      </c>
      <c r="AH30" s="18">
        <f t="shared" si="3"/>
        <v>3575.38</v>
      </c>
      <c r="AI30" s="20"/>
    </row>
    <row r="31" ht="14.25" customHeight="1">
      <c r="A31" s="25">
        <v>26.0</v>
      </c>
      <c r="B31" s="26" t="s">
        <v>107</v>
      </c>
      <c r="C31" s="26" t="s">
        <v>105</v>
      </c>
      <c r="D31" s="27" t="s">
        <v>109</v>
      </c>
      <c r="E31" s="27" t="s">
        <v>110</v>
      </c>
      <c r="F31" s="28">
        <v>1000.0</v>
      </c>
      <c r="G31" s="354">
        <v>1000.0</v>
      </c>
      <c r="H31" s="24"/>
      <c r="I31" s="24"/>
      <c r="J31" s="85"/>
      <c r="K31" s="24"/>
      <c r="L31" s="24"/>
      <c r="M31" s="24"/>
      <c r="N31" s="24"/>
      <c r="O31" s="24"/>
      <c r="P31" s="24"/>
      <c r="Q31" s="24"/>
      <c r="R31" s="85"/>
      <c r="S31" s="24"/>
      <c r="T31" s="24"/>
      <c r="U31" s="24"/>
      <c r="V31" s="85"/>
      <c r="W31" s="356">
        <v>500.0</v>
      </c>
      <c r="X31" s="24"/>
      <c r="Y31" s="24"/>
      <c r="Z31" s="85"/>
      <c r="AA31" s="24"/>
      <c r="AB31" s="24"/>
      <c r="AC31" s="24"/>
      <c r="AD31" s="24"/>
      <c r="AE31" s="24"/>
      <c r="AF31" s="24"/>
      <c r="AG31" s="18">
        <f t="shared" si="1"/>
        <v>-500</v>
      </c>
      <c r="AH31" s="18">
        <f t="shared" si="3"/>
        <v>1500</v>
      </c>
      <c r="AI31" s="20"/>
    </row>
    <row r="32" ht="14.25" customHeight="1">
      <c r="A32" s="25">
        <v>27.0</v>
      </c>
      <c r="B32" s="44"/>
      <c r="C32" s="44"/>
      <c r="D32" s="27" t="s">
        <v>111</v>
      </c>
      <c r="E32" s="27"/>
      <c r="F32" s="28">
        <v>500.0</v>
      </c>
      <c r="G32" s="354">
        <v>500.0</v>
      </c>
      <c r="H32" s="24"/>
      <c r="I32" s="24"/>
      <c r="J32" s="85"/>
      <c r="K32" s="24"/>
      <c r="L32" s="24"/>
      <c r="M32" s="24"/>
      <c r="N32" s="24"/>
      <c r="O32" s="24"/>
      <c r="P32" s="24"/>
      <c r="Q32" s="24"/>
      <c r="R32" s="85"/>
      <c r="S32" s="24"/>
      <c r="T32" s="24"/>
      <c r="U32" s="24"/>
      <c r="V32" s="85"/>
      <c r="W32" s="24"/>
      <c r="X32" s="24"/>
      <c r="Y32" s="24"/>
      <c r="Z32" s="85"/>
      <c r="AA32" s="24"/>
      <c r="AB32" s="24"/>
      <c r="AC32" s="24"/>
      <c r="AD32" s="24"/>
      <c r="AE32" s="24"/>
      <c r="AF32" s="24"/>
      <c r="AG32" s="18">
        <f t="shared" si="1"/>
        <v>0</v>
      </c>
      <c r="AH32" s="18">
        <f t="shared" si="3"/>
        <v>500</v>
      </c>
      <c r="AI32" s="20"/>
    </row>
    <row r="33" ht="14.25" customHeight="1">
      <c r="A33" s="25">
        <v>28.0</v>
      </c>
      <c r="B33" s="12"/>
      <c r="C33" s="12"/>
      <c r="D33" s="27" t="s">
        <v>111</v>
      </c>
      <c r="E33" s="27"/>
      <c r="F33" s="28">
        <v>500.0</v>
      </c>
      <c r="G33" s="24"/>
      <c r="H33" s="24"/>
      <c r="I33" s="24"/>
      <c r="J33" s="85"/>
      <c r="K33" s="24"/>
      <c r="L33" s="24"/>
      <c r="M33" s="24"/>
      <c r="N33" s="24"/>
      <c r="O33" s="24"/>
      <c r="P33" s="24"/>
      <c r="Q33" s="24"/>
      <c r="R33" s="85"/>
      <c r="S33" s="24"/>
      <c r="T33" s="24"/>
      <c r="U33" s="24"/>
      <c r="V33" s="85"/>
      <c r="W33" s="24"/>
      <c r="X33" s="24"/>
      <c r="Y33" s="24"/>
      <c r="Z33" s="85"/>
      <c r="AA33" s="24"/>
      <c r="AB33" s="24"/>
      <c r="AC33" s="24"/>
      <c r="AD33" s="24"/>
      <c r="AE33" s="24"/>
      <c r="AF33" s="24"/>
      <c r="AG33" s="18">
        <f t="shared" si="1"/>
        <v>500</v>
      </c>
      <c r="AH33" s="18">
        <f t="shared" si="3"/>
        <v>0</v>
      </c>
      <c r="AI33" s="20"/>
    </row>
    <row r="34" ht="14.25" customHeight="1">
      <c r="A34" s="25">
        <v>29.0</v>
      </c>
      <c r="B34" s="26" t="s">
        <v>114</v>
      </c>
      <c r="C34" s="27"/>
      <c r="D34" s="27"/>
      <c r="E34" s="27" t="s">
        <v>115</v>
      </c>
      <c r="F34" s="28">
        <v>800.0</v>
      </c>
      <c r="G34" s="354">
        <v>800.0</v>
      </c>
      <c r="H34" s="24"/>
      <c r="I34" s="24"/>
      <c r="J34" s="85"/>
      <c r="K34" s="24"/>
      <c r="L34" s="24"/>
      <c r="M34" s="24"/>
      <c r="N34" s="24"/>
      <c r="O34" s="24"/>
      <c r="P34" s="24"/>
      <c r="Q34" s="24"/>
      <c r="R34" s="85"/>
      <c r="S34" s="24"/>
      <c r="T34" s="24"/>
      <c r="U34" s="24"/>
      <c r="V34" s="85"/>
      <c r="W34" s="24"/>
      <c r="X34" s="24"/>
      <c r="Y34" s="24"/>
      <c r="Z34" s="85"/>
      <c r="AA34" s="24"/>
      <c r="AB34" s="24"/>
      <c r="AC34" s="24"/>
      <c r="AD34" s="24"/>
      <c r="AE34" s="24"/>
      <c r="AF34" s="24"/>
      <c r="AG34" s="18">
        <f t="shared" si="1"/>
        <v>0</v>
      </c>
      <c r="AH34" s="18">
        <f t="shared" si="3"/>
        <v>800</v>
      </c>
      <c r="AI34" s="20"/>
    </row>
    <row r="35" ht="14.25" customHeight="1">
      <c r="A35" s="25">
        <v>30.0</v>
      </c>
      <c r="B35" s="12"/>
      <c r="C35" s="27"/>
      <c r="D35" s="27" t="s">
        <v>17</v>
      </c>
      <c r="E35" s="27"/>
      <c r="F35" s="28">
        <v>500.0</v>
      </c>
      <c r="G35" s="24"/>
      <c r="H35" s="24"/>
      <c r="I35" s="24"/>
      <c r="J35" s="85"/>
      <c r="K35" s="24"/>
      <c r="L35" s="24"/>
      <c r="M35" s="24"/>
      <c r="N35" s="24"/>
      <c r="O35" s="24"/>
      <c r="P35" s="24"/>
      <c r="Q35" s="24"/>
      <c r="R35" s="85"/>
      <c r="S35" s="24"/>
      <c r="T35" s="24"/>
      <c r="U35" s="24"/>
      <c r="V35" s="85"/>
      <c r="W35" s="353"/>
      <c r="X35" s="24"/>
      <c r="Y35" s="24"/>
      <c r="Z35" s="85"/>
      <c r="AA35" s="353">
        <v>500.0</v>
      </c>
      <c r="AB35" s="24"/>
      <c r="AC35" s="24"/>
      <c r="AD35" s="24"/>
      <c r="AE35" s="24"/>
      <c r="AF35" s="24"/>
      <c r="AG35" s="18">
        <f t="shared" si="1"/>
        <v>0</v>
      </c>
      <c r="AH35" s="18">
        <f t="shared" si="3"/>
        <v>500</v>
      </c>
      <c r="AI35" s="20"/>
    </row>
    <row r="36" ht="14.25" customHeight="1">
      <c r="A36" s="25">
        <v>31.0</v>
      </c>
      <c r="B36" s="82" t="s">
        <v>135</v>
      </c>
      <c r="C36" s="27" t="s">
        <v>136</v>
      </c>
      <c r="D36" s="27"/>
      <c r="E36" s="27" t="s">
        <v>137</v>
      </c>
      <c r="F36" s="28">
        <v>1500.0</v>
      </c>
      <c r="G36" s="24"/>
      <c r="H36" s="24"/>
      <c r="I36" s="24"/>
      <c r="J36" s="85"/>
      <c r="K36" s="354">
        <v>675.07</v>
      </c>
      <c r="L36" s="24"/>
      <c r="M36" s="24"/>
      <c r="N36" s="24"/>
      <c r="O36" s="24"/>
      <c r="P36" s="24"/>
      <c r="Q36" s="24"/>
      <c r="R36" s="85"/>
      <c r="S36" s="24"/>
      <c r="T36" s="24"/>
      <c r="U36" s="24"/>
      <c r="V36" s="85"/>
      <c r="W36" s="24"/>
      <c r="X36" s="24"/>
      <c r="Y36" s="24"/>
      <c r="Z36" s="85"/>
      <c r="AA36" s="24"/>
      <c r="AB36" s="24"/>
      <c r="AC36" s="24"/>
      <c r="AD36" s="24"/>
      <c r="AE36" s="24"/>
      <c r="AF36" s="24"/>
      <c r="AG36" s="18">
        <f t="shared" si="1"/>
        <v>824.93</v>
      </c>
      <c r="AH36" s="18">
        <f t="shared" si="3"/>
        <v>675.07</v>
      </c>
      <c r="AI36" s="20"/>
    </row>
    <row r="37" ht="14.25" customHeight="1">
      <c r="A37" s="25">
        <v>32.0</v>
      </c>
      <c r="B37" s="82" t="s">
        <v>142</v>
      </c>
      <c r="C37" s="27" t="s">
        <v>143</v>
      </c>
      <c r="D37" s="27" t="s">
        <v>20</v>
      </c>
      <c r="E37" s="27" t="s">
        <v>144</v>
      </c>
      <c r="F37" s="28">
        <v>1500.0</v>
      </c>
      <c r="G37" s="24"/>
      <c r="H37" s="24"/>
      <c r="I37" s="24"/>
      <c r="J37" s="85"/>
      <c r="K37" s="24"/>
      <c r="L37" s="24"/>
      <c r="M37" s="24"/>
      <c r="N37" s="24"/>
      <c r="O37" s="24"/>
      <c r="P37" s="24"/>
      <c r="Q37" s="24"/>
      <c r="R37" s="85"/>
      <c r="S37" s="24"/>
      <c r="T37" s="24"/>
      <c r="U37" s="24"/>
      <c r="V37" s="85"/>
      <c r="W37" s="24"/>
      <c r="X37" s="24"/>
      <c r="Y37" s="24"/>
      <c r="Z37" s="85"/>
      <c r="AA37" s="24"/>
      <c r="AB37" s="24"/>
      <c r="AC37" s="24"/>
      <c r="AD37" s="24"/>
      <c r="AE37" s="24"/>
      <c r="AF37" s="24"/>
      <c r="AG37" s="18">
        <f t="shared" si="1"/>
        <v>1500</v>
      </c>
      <c r="AH37" s="18">
        <f t="shared" si="3"/>
        <v>0</v>
      </c>
      <c r="AI37" s="20"/>
    </row>
    <row r="38" ht="14.25" customHeight="1">
      <c r="A38" s="25">
        <v>33.0</v>
      </c>
      <c r="B38" s="82" t="s">
        <v>145</v>
      </c>
      <c r="C38" s="27" t="s">
        <v>146</v>
      </c>
      <c r="D38" s="27" t="s">
        <v>43</v>
      </c>
      <c r="E38" s="27"/>
      <c r="F38" s="28">
        <v>700.0</v>
      </c>
      <c r="G38" s="354">
        <v>700.0</v>
      </c>
      <c r="H38" s="24"/>
      <c r="I38" s="24"/>
      <c r="J38" s="85"/>
      <c r="K38" s="24"/>
      <c r="L38" s="24"/>
      <c r="M38" s="24"/>
      <c r="N38" s="24"/>
      <c r="O38" s="24"/>
      <c r="P38" s="24"/>
      <c r="Q38" s="24"/>
      <c r="R38" s="85"/>
      <c r="S38" s="24"/>
      <c r="T38" s="24"/>
      <c r="U38" s="24"/>
      <c r="V38" s="85"/>
      <c r="W38" s="24"/>
      <c r="X38" s="24"/>
      <c r="Y38" s="24"/>
      <c r="Z38" s="85"/>
      <c r="AA38" s="24"/>
      <c r="AB38" s="24"/>
      <c r="AC38" s="24"/>
      <c r="AD38" s="24"/>
      <c r="AE38" s="24"/>
      <c r="AF38" s="24"/>
      <c r="AG38" s="18">
        <f t="shared" si="1"/>
        <v>0</v>
      </c>
      <c r="AH38" s="18">
        <f t="shared" si="3"/>
        <v>700</v>
      </c>
      <c r="AI38" s="20"/>
    </row>
    <row r="39" ht="14.25" customHeight="1">
      <c r="A39" s="25">
        <v>34.0</v>
      </c>
      <c r="B39" s="27" t="s">
        <v>118</v>
      </c>
      <c r="C39" s="27"/>
      <c r="D39" s="27" t="s">
        <v>119</v>
      </c>
      <c r="E39" s="27" t="s">
        <v>120</v>
      </c>
      <c r="F39" s="28">
        <v>3000.0</v>
      </c>
      <c r="G39" s="24"/>
      <c r="H39" s="24"/>
      <c r="I39" s="24"/>
      <c r="J39" s="85"/>
      <c r="K39" s="24"/>
      <c r="L39" s="24"/>
      <c r="M39" s="24"/>
      <c r="N39" s="24"/>
      <c r="O39" s="24"/>
      <c r="P39" s="353">
        <v>1000.0</v>
      </c>
      <c r="Q39" s="353" t="s">
        <v>541</v>
      </c>
      <c r="R39" s="85"/>
      <c r="S39" s="24"/>
      <c r="T39" s="353">
        <v>1000.0</v>
      </c>
      <c r="U39" s="353" t="s">
        <v>542</v>
      </c>
      <c r="V39" s="85"/>
      <c r="X39" s="353">
        <v>1000.0</v>
      </c>
      <c r="Y39" s="353" t="s">
        <v>543</v>
      </c>
      <c r="Z39" s="85"/>
      <c r="AA39" s="24"/>
      <c r="AB39" s="24"/>
      <c r="AC39" s="24"/>
      <c r="AD39" s="24"/>
      <c r="AE39" s="24"/>
      <c r="AF39" s="24"/>
      <c r="AG39" s="18">
        <f t="shared" si="1"/>
        <v>0</v>
      </c>
      <c r="AH39" s="18">
        <f>SUM(I39:AC39)</f>
        <v>3000</v>
      </c>
      <c r="AI39" s="20"/>
    </row>
    <row r="40" ht="14.25" customHeight="1">
      <c r="A40" s="25"/>
      <c r="B40" s="82" t="s">
        <v>155</v>
      </c>
      <c r="C40" s="27"/>
      <c r="D40" s="27" t="s">
        <v>20</v>
      </c>
      <c r="E40" s="27" t="s">
        <v>156</v>
      </c>
      <c r="F40" s="28">
        <v>1500.0</v>
      </c>
      <c r="G40" s="24"/>
      <c r="H40" s="24"/>
      <c r="I40" s="24"/>
      <c r="J40" s="85"/>
      <c r="K40" s="24"/>
      <c r="L40" s="24"/>
      <c r="M40" s="24"/>
      <c r="N40" s="24"/>
      <c r="O40" s="24"/>
      <c r="P40" s="24"/>
      <c r="Q40" s="24"/>
      <c r="R40" s="85"/>
      <c r="S40" s="24"/>
      <c r="T40" s="24"/>
      <c r="U40" s="24"/>
      <c r="V40" s="85"/>
      <c r="W40" s="24"/>
      <c r="X40" s="24"/>
      <c r="Y40" s="24"/>
      <c r="Z40" s="85"/>
      <c r="AA40" s="24"/>
      <c r="AB40" s="24"/>
      <c r="AC40" s="24"/>
      <c r="AD40" s="24"/>
      <c r="AE40" s="24"/>
      <c r="AF40" s="24"/>
      <c r="AG40" s="18">
        <f t="shared" si="1"/>
        <v>1500</v>
      </c>
      <c r="AH40" s="18">
        <f t="shared" ref="AH40:AH43" si="4">SUM(G40:AC40)</f>
        <v>0</v>
      </c>
      <c r="AI40" s="20"/>
    </row>
    <row r="41" ht="14.25" customHeight="1">
      <c r="A41" s="25"/>
      <c r="B41" s="27"/>
      <c r="C41" s="27"/>
      <c r="D41" s="27" t="s">
        <v>20</v>
      </c>
      <c r="E41" s="27" t="s">
        <v>159</v>
      </c>
      <c r="F41" s="28">
        <v>1500.0</v>
      </c>
      <c r="G41" s="24"/>
      <c r="H41" s="24"/>
      <c r="I41" s="24"/>
      <c r="J41" s="85"/>
      <c r="K41" s="24"/>
      <c r="L41" s="24"/>
      <c r="M41" s="24"/>
      <c r="N41" s="24"/>
      <c r="O41" s="24"/>
      <c r="P41" s="24"/>
      <c r="Q41" s="24"/>
      <c r="R41" s="85"/>
      <c r="S41" s="24"/>
      <c r="T41" s="24"/>
      <c r="U41" s="24"/>
      <c r="V41" s="85"/>
      <c r="W41" s="24"/>
      <c r="X41" s="24"/>
      <c r="Y41" s="24"/>
      <c r="Z41" s="85"/>
      <c r="AA41" s="24"/>
      <c r="AB41" s="24"/>
      <c r="AC41" s="24"/>
      <c r="AD41" s="24"/>
      <c r="AE41" s="24"/>
      <c r="AF41" s="24"/>
      <c r="AG41" s="18">
        <f t="shared" si="1"/>
        <v>1500</v>
      </c>
      <c r="AH41" s="18">
        <f t="shared" si="4"/>
        <v>0</v>
      </c>
      <c r="AI41" s="20"/>
    </row>
    <row r="42" ht="14.25" customHeight="1">
      <c r="A42" s="25"/>
      <c r="B42" s="27"/>
      <c r="C42" s="27"/>
      <c r="D42" s="27" t="s">
        <v>20</v>
      </c>
      <c r="E42" s="27" t="s">
        <v>164</v>
      </c>
      <c r="F42" s="28">
        <v>1500.0</v>
      </c>
      <c r="G42" s="24"/>
      <c r="H42" s="24"/>
      <c r="I42" s="24"/>
      <c r="J42" s="85"/>
      <c r="K42" s="24"/>
      <c r="L42" s="24"/>
      <c r="M42" s="24"/>
      <c r="N42" s="24"/>
      <c r="O42" s="24"/>
      <c r="P42" s="24"/>
      <c r="Q42" s="24"/>
      <c r="R42" s="85"/>
      <c r="S42" s="24"/>
      <c r="T42" s="24"/>
      <c r="U42" s="24"/>
      <c r="V42" s="85"/>
      <c r="W42" s="24"/>
      <c r="X42" s="24"/>
      <c r="Y42" s="24"/>
      <c r="Z42" s="85"/>
      <c r="AA42" s="24"/>
      <c r="AB42" s="24"/>
      <c r="AC42" s="24"/>
      <c r="AD42" s="24"/>
      <c r="AE42" s="24"/>
      <c r="AF42" s="24"/>
      <c r="AG42" s="18">
        <f t="shared" si="1"/>
        <v>1500</v>
      </c>
      <c r="AH42" s="18">
        <f t="shared" si="4"/>
        <v>0</v>
      </c>
      <c r="AI42" s="20"/>
    </row>
    <row r="43" ht="14.25" customHeight="1">
      <c r="A43" s="25"/>
      <c r="B43" s="27" t="s">
        <v>500</v>
      </c>
      <c r="C43" s="27"/>
      <c r="D43" s="27"/>
      <c r="E43" s="27" t="s">
        <v>33</v>
      </c>
      <c r="F43" s="28">
        <v>800.0</v>
      </c>
      <c r="G43" s="354">
        <v>800.0</v>
      </c>
      <c r="H43" s="24"/>
      <c r="I43" s="24"/>
      <c r="J43" s="85"/>
      <c r="K43" s="24"/>
      <c r="L43" s="24"/>
      <c r="M43" s="24"/>
      <c r="N43" s="24"/>
      <c r="O43" s="24"/>
      <c r="P43" s="24"/>
      <c r="Q43" s="24"/>
      <c r="R43" s="85"/>
      <c r="S43" s="24"/>
      <c r="T43" s="24"/>
      <c r="U43" s="24"/>
      <c r="V43" s="85"/>
      <c r="W43" s="24"/>
      <c r="X43" s="24"/>
      <c r="Y43" s="24"/>
      <c r="Z43" s="85"/>
      <c r="AA43" s="24"/>
      <c r="AB43" s="24"/>
      <c r="AC43" s="24"/>
      <c r="AD43" s="24"/>
      <c r="AE43" s="24"/>
      <c r="AF43" s="24"/>
      <c r="AG43" s="18">
        <f t="shared" si="1"/>
        <v>0</v>
      </c>
      <c r="AH43" s="18">
        <f t="shared" si="4"/>
        <v>800</v>
      </c>
      <c r="AI43" s="20"/>
    </row>
    <row r="44" ht="14.25" customHeight="1">
      <c r="A44" s="68" t="s">
        <v>122</v>
      </c>
      <c r="B44" s="2"/>
      <c r="C44" s="2"/>
      <c r="D44" s="2"/>
      <c r="E44" s="3"/>
      <c r="F44" s="69">
        <f t="shared" ref="F44:G44" si="5">SUM(F4:F43)</f>
        <v>57500</v>
      </c>
      <c r="G44" s="70">
        <f t="shared" si="5"/>
        <v>9875.73</v>
      </c>
      <c r="H44" s="70">
        <f>SUM(H3:H43)</f>
        <v>6416.63</v>
      </c>
      <c r="I44" s="70"/>
      <c r="J44" s="70">
        <f t="shared" ref="J44:L44" si="6">SUM(J4:J43)</f>
        <v>0</v>
      </c>
      <c r="K44" s="70">
        <f t="shared" si="6"/>
        <v>9305.9</v>
      </c>
      <c r="L44" s="70">
        <f t="shared" si="6"/>
        <v>0</v>
      </c>
      <c r="M44" s="70"/>
      <c r="N44" s="70">
        <f t="shared" ref="N44:P44" si="7">SUM(N4:N43)</f>
        <v>0</v>
      </c>
      <c r="O44" s="70">
        <f t="shared" si="7"/>
        <v>1485.27</v>
      </c>
      <c r="P44" s="70">
        <f t="shared" si="7"/>
        <v>1000</v>
      </c>
      <c r="Q44" s="70"/>
      <c r="R44" s="70">
        <f t="shared" ref="R44:T44" si="8">SUM(R4:R43)</f>
        <v>0</v>
      </c>
      <c r="S44" s="70">
        <f t="shared" si="8"/>
        <v>6613.51</v>
      </c>
      <c r="T44" s="70">
        <f t="shared" si="8"/>
        <v>4824.56</v>
      </c>
      <c r="U44" s="70"/>
      <c r="V44" s="70">
        <f t="shared" ref="V44:X44" si="9">SUM(V4:V43)</f>
        <v>0</v>
      </c>
      <c r="W44" s="70">
        <f t="shared" si="9"/>
        <v>2500</v>
      </c>
      <c r="X44" s="70">
        <f t="shared" si="9"/>
        <v>1000</v>
      </c>
      <c r="Y44" s="70"/>
      <c r="Z44" s="70">
        <f t="shared" ref="Z44:AF44" si="10">SUM(Z4:Z43)</f>
        <v>0</v>
      </c>
      <c r="AA44" s="70">
        <f t="shared" si="10"/>
        <v>500</v>
      </c>
      <c r="AB44" s="70">
        <f t="shared" si="10"/>
        <v>0</v>
      </c>
      <c r="AC44" s="70">
        <f t="shared" si="10"/>
        <v>0</v>
      </c>
      <c r="AD44" s="70">
        <f t="shared" si="10"/>
        <v>0</v>
      </c>
      <c r="AE44" s="70">
        <f t="shared" si="10"/>
        <v>0</v>
      </c>
      <c r="AF44" s="70">
        <f t="shared" si="10"/>
        <v>0</v>
      </c>
      <c r="AG44" s="70">
        <f>SUM(AG4:AG42)</f>
        <v>13978.4</v>
      </c>
      <c r="AH44" s="70">
        <f>SUM(AH4:AH39)</f>
        <v>42721.6</v>
      </c>
    </row>
    <row r="45" ht="14.25" customHeight="1">
      <c r="A45" s="73"/>
      <c r="B45" s="73"/>
      <c r="C45" s="73"/>
      <c r="D45" s="73"/>
      <c r="E45" s="73"/>
      <c r="F45" s="72"/>
      <c r="I45" s="34">
        <v>14.0</v>
      </c>
      <c r="K45" s="34">
        <v>3.0</v>
      </c>
      <c r="O45" s="34">
        <v>9.0</v>
      </c>
      <c r="S45" s="34">
        <v>6.0</v>
      </c>
      <c r="X45" s="34">
        <v>4.0</v>
      </c>
      <c r="AA45" s="34">
        <v>4.0</v>
      </c>
      <c r="AG45" s="20">
        <f>F44-AH44</f>
        <v>14778.4</v>
      </c>
      <c r="AH45" s="20">
        <f>G44+I44+K44+L44+O44+P44+R44+S44+T44+V44+W44+X44+Z44+AA44+AB44</f>
        <v>37104.97</v>
      </c>
    </row>
    <row r="46" ht="14.25" customHeight="1">
      <c r="A46" s="73"/>
      <c r="B46" s="73"/>
      <c r="C46" s="73"/>
      <c r="D46" s="73"/>
      <c r="E46" s="73"/>
      <c r="F46" s="72"/>
    </row>
    <row r="47" ht="14.25" customHeight="1">
      <c r="A47" s="77" t="s">
        <v>177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9"/>
    </row>
    <row r="48" ht="28.5" customHeight="1">
      <c r="A48" s="4" t="s">
        <v>2</v>
      </c>
      <c r="B48" s="5"/>
      <c r="C48" s="6" t="s">
        <v>3</v>
      </c>
      <c r="D48" s="6" t="s">
        <v>4</v>
      </c>
      <c r="E48" s="6" t="s">
        <v>5</v>
      </c>
      <c r="F48" s="7" t="s">
        <v>134</v>
      </c>
      <c r="G48" s="8">
        <f>G2</f>
        <v>46230</v>
      </c>
      <c r="H48" s="2"/>
      <c r="I48" s="2"/>
      <c r="J48" s="3"/>
      <c r="K48" s="8">
        <f>K2</f>
        <v>46231</v>
      </c>
      <c r="L48" s="2"/>
      <c r="M48" s="2"/>
      <c r="N48" s="3"/>
      <c r="O48" s="8">
        <f>O2</f>
        <v>46232</v>
      </c>
      <c r="P48" s="2"/>
      <c r="Q48" s="2"/>
      <c r="R48" s="3"/>
      <c r="S48" s="8">
        <f>S2</f>
        <v>46233</v>
      </c>
      <c r="T48" s="2"/>
      <c r="U48" s="2"/>
      <c r="V48" s="3"/>
      <c r="W48" s="8">
        <f>W2</f>
        <v>46234</v>
      </c>
      <c r="X48" s="2"/>
      <c r="Y48" s="2"/>
      <c r="Z48" s="3"/>
      <c r="AA48" s="8">
        <f>AA2</f>
        <v>46235</v>
      </c>
      <c r="AB48" s="2"/>
      <c r="AC48" s="3"/>
      <c r="AD48" s="8">
        <f>AD2</f>
        <v>46236</v>
      </c>
      <c r="AE48" s="2"/>
      <c r="AF48" s="3"/>
      <c r="AG48" s="9" t="s">
        <v>7</v>
      </c>
      <c r="AH48" s="7" t="s">
        <v>8</v>
      </c>
    </row>
    <row r="49" ht="14.25" customHeight="1">
      <c r="A49" s="10"/>
      <c r="B49" s="11"/>
      <c r="C49" s="12"/>
      <c r="D49" s="12"/>
      <c r="E49" s="12"/>
      <c r="F49" s="12"/>
      <c r="G49" s="13" t="s">
        <v>9</v>
      </c>
      <c r="H49" s="8" t="s">
        <v>10</v>
      </c>
      <c r="I49" s="3"/>
      <c r="J49" s="13" t="s">
        <v>12</v>
      </c>
      <c r="K49" s="13" t="s">
        <v>9</v>
      </c>
      <c r="L49" s="13" t="s">
        <v>10</v>
      </c>
      <c r="M49" s="13"/>
      <c r="N49" s="13" t="s">
        <v>12</v>
      </c>
      <c r="O49" s="13" t="s">
        <v>9</v>
      </c>
      <c r="P49" s="13" t="s">
        <v>10</v>
      </c>
      <c r="Q49" s="13"/>
      <c r="R49" s="13" t="s">
        <v>12</v>
      </c>
      <c r="S49" s="13" t="s">
        <v>9</v>
      </c>
      <c r="T49" s="13" t="s">
        <v>10</v>
      </c>
      <c r="U49" s="13"/>
      <c r="V49" s="13" t="s">
        <v>12</v>
      </c>
      <c r="W49" s="13" t="s">
        <v>9</v>
      </c>
      <c r="X49" s="13" t="s">
        <v>10</v>
      </c>
      <c r="Y49" s="13"/>
      <c r="Z49" s="13" t="s">
        <v>12</v>
      </c>
      <c r="AA49" s="13" t="s">
        <v>9</v>
      </c>
      <c r="AB49" s="13" t="s">
        <v>10</v>
      </c>
      <c r="AC49" s="13" t="s">
        <v>12</v>
      </c>
      <c r="AD49" s="13" t="s">
        <v>9</v>
      </c>
      <c r="AE49" s="13" t="s">
        <v>10</v>
      </c>
      <c r="AF49" s="13" t="s">
        <v>12</v>
      </c>
      <c r="AG49" s="12"/>
      <c r="AH49" s="12"/>
    </row>
    <row r="50" ht="14.25" customHeight="1">
      <c r="A50" s="25">
        <v>1.0</v>
      </c>
      <c r="B50" s="27" t="s">
        <v>138</v>
      </c>
      <c r="C50" s="27" t="s">
        <v>139</v>
      </c>
      <c r="D50" s="27" t="s">
        <v>140</v>
      </c>
      <c r="E50" s="27" t="s">
        <v>141</v>
      </c>
      <c r="F50" s="28">
        <v>2500.0</v>
      </c>
      <c r="G50" s="354">
        <v>1299.98</v>
      </c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356">
        <v>1000.0</v>
      </c>
      <c r="T50" s="24"/>
      <c r="U50" s="24"/>
      <c r="V50" s="24"/>
      <c r="W50" s="24"/>
      <c r="X50" s="24"/>
      <c r="Y50" s="24"/>
      <c r="Z50" s="24"/>
      <c r="AA50" s="24"/>
      <c r="AB50" s="24"/>
      <c r="AC50" s="23"/>
      <c r="AD50" s="24"/>
      <c r="AE50" s="24"/>
      <c r="AF50" s="24"/>
      <c r="AG50" s="24">
        <f t="shared" ref="AG50:AG57" si="11">F50-(SUM(G50:AF50))</f>
        <v>200.02</v>
      </c>
      <c r="AH50" s="24">
        <f t="shared" ref="AH50:AH57" si="12">SUM(G50:AF50)</f>
        <v>2299.98</v>
      </c>
    </row>
    <row r="51" ht="14.25" customHeight="1">
      <c r="A51" s="25">
        <v>2.0</v>
      </c>
      <c r="B51" s="27" t="s">
        <v>147</v>
      </c>
      <c r="C51" s="27" t="s">
        <v>139</v>
      </c>
      <c r="D51" s="27" t="s">
        <v>119</v>
      </c>
      <c r="E51" s="27" t="s">
        <v>148</v>
      </c>
      <c r="F51" s="28">
        <v>1500.0</v>
      </c>
      <c r="G51" s="24"/>
      <c r="H51" s="24"/>
      <c r="I51" s="24"/>
      <c r="J51" s="24"/>
      <c r="K51" s="354">
        <v>1500.0</v>
      </c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>
        <f t="shared" si="11"/>
        <v>0</v>
      </c>
      <c r="AH51" s="24">
        <f t="shared" si="12"/>
        <v>1500</v>
      </c>
      <c r="AI51" s="34">
        <v>8.0</v>
      </c>
      <c r="AK51" s="31" t="s">
        <v>22</v>
      </c>
      <c r="AL51" s="2"/>
      <c r="AM51" s="2"/>
      <c r="AN51" s="3"/>
    </row>
    <row r="52" ht="14.25" customHeight="1">
      <c r="A52" s="84">
        <v>3.0</v>
      </c>
      <c r="B52" s="132" t="s">
        <v>157</v>
      </c>
      <c r="C52" s="132" t="s">
        <v>139</v>
      </c>
      <c r="D52" s="27" t="s">
        <v>158</v>
      </c>
      <c r="E52" s="27" t="s">
        <v>16</v>
      </c>
      <c r="F52" s="28">
        <v>2000.0</v>
      </c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356">
        <v>1000.22</v>
      </c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>
        <f t="shared" si="11"/>
        <v>999.78</v>
      </c>
      <c r="AH52" s="24">
        <f t="shared" si="12"/>
        <v>1000.22</v>
      </c>
      <c r="AK52" s="35" t="s">
        <v>25</v>
      </c>
      <c r="AL52" s="35" t="s">
        <v>26</v>
      </c>
      <c r="AM52" s="35" t="s">
        <v>27</v>
      </c>
      <c r="AN52" s="35" t="s">
        <v>28</v>
      </c>
    </row>
    <row r="53" ht="14.25" customHeight="1">
      <c r="A53" s="12"/>
      <c r="B53" s="132" t="s">
        <v>157</v>
      </c>
      <c r="C53" s="132" t="s">
        <v>139</v>
      </c>
      <c r="D53" s="27" t="s">
        <v>17</v>
      </c>
      <c r="E53" s="27"/>
      <c r="F53" s="28">
        <v>300.0</v>
      </c>
      <c r="G53" s="353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354">
        <v>228.9</v>
      </c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>
        <f t="shared" si="11"/>
        <v>71.1</v>
      </c>
      <c r="AH53" s="24">
        <f t="shared" si="12"/>
        <v>228.9</v>
      </c>
      <c r="AK53" s="37" t="s">
        <v>9</v>
      </c>
      <c r="AL53" s="85"/>
      <c r="AM53" s="85"/>
      <c r="AN53" s="24">
        <f>(G58+K58+O58+S58+W58+AA58)</f>
        <v>11688.89</v>
      </c>
    </row>
    <row r="54" ht="14.25" customHeight="1">
      <c r="A54" s="25">
        <v>4.0</v>
      </c>
      <c r="B54" s="27" t="s">
        <v>165</v>
      </c>
      <c r="C54" s="27" t="s">
        <v>166</v>
      </c>
      <c r="D54" s="27" t="s">
        <v>119</v>
      </c>
      <c r="E54" s="27" t="s">
        <v>167</v>
      </c>
      <c r="F54" s="28">
        <v>1500.0</v>
      </c>
      <c r="G54" s="354">
        <v>1478.63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>
        <f t="shared" si="11"/>
        <v>21.37</v>
      </c>
      <c r="AH54" s="24">
        <f t="shared" si="12"/>
        <v>1478.63</v>
      </c>
      <c r="AK54" s="37" t="s">
        <v>10</v>
      </c>
      <c r="AL54" s="85"/>
      <c r="AM54" s="85"/>
      <c r="AN54" s="24">
        <f>I58+L58+P58+T58+X58+AB58</f>
        <v>0</v>
      </c>
    </row>
    <row r="55" ht="14.25" customHeight="1">
      <c r="A55" s="25">
        <v>5.0</v>
      </c>
      <c r="B55" s="27" t="s">
        <v>168</v>
      </c>
      <c r="C55" s="27" t="s">
        <v>166</v>
      </c>
      <c r="D55" s="27" t="s">
        <v>119</v>
      </c>
      <c r="E55" s="27" t="s">
        <v>169</v>
      </c>
      <c r="F55" s="28">
        <v>1500.0</v>
      </c>
      <c r="G55" s="354">
        <v>1500.0</v>
      </c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>
        <f t="shared" si="11"/>
        <v>0</v>
      </c>
      <c r="AH55" s="24">
        <f t="shared" si="12"/>
        <v>1500</v>
      </c>
      <c r="AK55" s="37" t="s">
        <v>12</v>
      </c>
      <c r="AL55" s="85"/>
      <c r="AM55" s="85"/>
      <c r="AN55" s="85"/>
    </row>
    <row r="56" ht="14.25" customHeight="1">
      <c r="A56" s="25">
        <v>6.0</v>
      </c>
      <c r="B56" s="27" t="s">
        <v>170</v>
      </c>
      <c r="C56" s="27" t="s">
        <v>171</v>
      </c>
      <c r="D56" s="27" t="s">
        <v>158</v>
      </c>
      <c r="E56" s="27" t="s">
        <v>172</v>
      </c>
      <c r="F56" s="28">
        <v>2000.0</v>
      </c>
      <c r="G56" s="356">
        <v>2000.0</v>
      </c>
      <c r="H56" s="24"/>
      <c r="I56" s="24"/>
      <c r="J56" s="24"/>
      <c r="K56" s="24"/>
      <c r="L56" s="24"/>
      <c r="M56" s="24"/>
      <c r="N56" s="24"/>
      <c r="O56" s="356">
        <v>1223.36</v>
      </c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>
        <f t="shared" si="11"/>
        <v>-1223.36</v>
      </c>
      <c r="AH56" s="24">
        <f t="shared" si="12"/>
        <v>3223.36</v>
      </c>
    </row>
    <row r="57" ht="14.25" customHeight="1">
      <c r="A57" s="361">
        <v>7.0</v>
      </c>
      <c r="B57" s="355" t="s">
        <v>548</v>
      </c>
      <c r="C57" s="355" t="s">
        <v>166</v>
      </c>
      <c r="D57" s="27" t="s">
        <v>17</v>
      </c>
      <c r="E57" s="27"/>
      <c r="F57" s="362">
        <v>500.0</v>
      </c>
      <c r="G57" s="354">
        <v>457.8</v>
      </c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>
        <f t="shared" si="11"/>
        <v>42.2</v>
      </c>
      <c r="AH57" s="24">
        <f t="shared" si="12"/>
        <v>457.8</v>
      </c>
    </row>
    <row r="58" ht="14.25" customHeight="1">
      <c r="A58" s="68" t="s">
        <v>122</v>
      </c>
      <c r="B58" s="2"/>
      <c r="C58" s="2"/>
      <c r="D58" s="2"/>
      <c r="E58" s="3"/>
      <c r="F58" s="69">
        <f t="shared" ref="F58:G58" si="13">SUM(F50:F57)</f>
        <v>11800</v>
      </c>
      <c r="G58" s="86">
        <f t="shared" si="13"/>
        <v>6736.41</v>
      </c>
      <c r="H58" s="86"/>
      <c r="I58" s="86">
        <f>SUM(I50:I56)</f>
        <v>0</v>
      </c>
      <c r="J58" s="86"/>
      <c r="K58" s="86">
        <f t="shared" ref="K58:L58" si="14">SUM(K50:K56)</f>
        <v>1500</v>
      </c>
      <c r="L58" s="86">
        <f t="shared" si="14"/>
        <v>0</v>
      </c>
      <c r="M58" s="86"/>
      <c r="N58" s="86"/>
      <c r="O58" s="86">
        <f t="shared" ref="O58:P58" si="15">SUM(O50:O56)</f>
        <v>1223.36</v>
      </c>
      <c r="P58" s="86">
        <f t="shared" si="15"/>
        <v>0</v>
      </c>
      <c r="Q58" s="86"/>
      <c r="R58" s="86"/>
      <c r="S58" s="86">
        <f t="shared" ref="S58:T58" si="16">SUM(S50:S56)</f>
        <v>2229.12</v>
      </c>
      <c r="T58" s="86">
        <f t="shared" si="16"/>
        <v>0</v>
      </c>
      <c r="U58" s="86"/>
      <c r="V58" s="86">
        <f t="shared" ref="V58:X58" si="17">SUM(V50:V56)</f>
        <v>0</v>
      </c>
      <c r="W58" s="86">
        <f t="shared" si="17"/>
        <v>0</v>
      </c>
      <c r="X58" s="86">
        <f t="shared" si="17"/>
        <v>0</v>
      </c>
      <c r="Y58" s="86"/>
      <c r="Z58" s="86"/>
      <c r="AA58" s="86">
        <f t="shared" ref="AA58:AB58" si="18">SUM(AA50:AA56)</f>
        <v>0</v>
      </c>
      <c r="AB58" s="86">
        <f t="shared" si="18"/>
        <v>0</v>
      </c>
      <c r="AC58" s="86"/>
      <c r="AD58" s="86"/>
      <c r="AE58" s="86"/>
      <c r="AF58" s="86"/>
      <c r="AG58" s="70">
        <f t="shared" ref="AG58:AH58" si="19">SUM(AG50:AG56)</f>
        <v>68.91</v>
      </c>
      <c r="AH58" s="70">
        <f t="shared" si="19"/>
        <v>11231.09</v>
      </c>
    </row>
    <row r="59" ht="14.25" customHeight="1">
      <c r="A59" s="73"/>
      <c r="B59" s="73"/>
      <c r="C59" s="73"/>
      <c r="D59" s="73"/>
      <c r="E59" s="73"/>
      <c r="F59" s="72"/>
      <c r="K59" s="105">
        <f>K58+K44</f>
        <v>10805.9</v>
      </c>
      <c r="O59" s="105">
        <f>O58+O44</f>
        <v>2708.63</v>
      </c>
      <c r="S59" s="105">
        <f>S58+S44</f>
        <v>8842.63</v>
      </c>
      <c r="W59" s="105">
        <f>W44+W58</f>
        <v>2500</v>
      </c>
      <c r="AA59" s="105">
        <f>AA44+AA58</f>
        <v>500</v>
      </c>
    </row>
    <row r="60" ht="14.25" customHeight="1">
      <c r="A60" s="73"/>
      <c r="B60" s="73"/>
      <c r="C60" s="73"/>
      <c r="D60" s="73"/>
      <c r="E60" s="73"/>
      <c r="F60" s="72"/>
      <c r="G60" s="105">
        <f>G58+G44</f>
        <v>16612.14</v>
      </c>
    </row>
    <row r="61" ht="14.25" customHeight="1">
      <c r="A61" s="73"/>
      <c r="B61" s="73"/>
      <c r="C61" s="73"/>
      <c r="D61" s="73"/>
      <c r="E61" s="73"/>
      <c r="F61" s="72"/>
    </row>
    <row r="62" ht="14.25" customHeight="1">
      <c r="A62" s="1" t="s">
        <v>211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</row>
    <row r="63" ht="28.5" customHeight="1">
      <c r="A63" s="4" t="s">
        <v>2</v>
      </c>
      <c r="B63" s="5"/>
      <c r="C63" s="6" t="s">
        <v>3</v>
      </c>
      <c r="D63" s="6" t="s">
        <v>4</v>
      </c>
      <c r="E63" s="6" t="s">
        <v>5</v>
      </c>
      <c r="F63" s="7" t="s">
        <v>134</v>
      </c>
      <c r="G63" s="352">
        <v>46230.0</v>
      </c>
      <c r="H63" s="3"/>
      <c r="I63" s="352">
        <v>46231.0</v>
      </c>
      <c r="J63" s="3"/>
      <c r="K63" s="352">
        <v>46232.0</v>
      </c>
      <c r="L63" s="3"/>
      <c r="M63" s="352">
        <v>46233.0</v>
      </c>
      <c r="N63" s="3"/>
      <c r="O63" s="352">
        <v>46234.0</v>
      </c>
      <c r="P63" s="3"/>
      <c r="Q63" s="13"/>
      <c r="R63" s="7" t="s">
        <v>8</v>
      </c>
      <c r="V63" s="111"/>
      <c r="X63" s="111"/>
      <c r="Y63" s="111"/>
      <c r="Z63" s="111"/>
      <c r="AB63" s="111"/>
      <c r="AC63" s="111"/>
      <c r="AD63" s="111"/>
      <c r="AE63" s="111"/>
      <c r="AF63" s="111"/>
    </row>
    <row r="64" ht="14.25" customHeight="1">
      <c r="A64" s="10"/>
      <c r="B64" s="11"/>
      <c r="C64" s="12"/>
      <c r="D64" s="12"/>
      <c r="E64" s="12"/>
      <c r="F64" s="12"/>
      <c r="G64" s="13" t="s">
        <v>9</v>
      </c>
      <c r="H64" s="364" t="s">
        <v>10</v>
      </c>
      <c r="I64" s="13" t="s">
        <v>9</v>
      </c>
      <c r="J64" s="364" t="s">
        <v>10</v>
      </c>
      <c r="K64" s="13" t="s">
        <v>9</v>
      </c>
      <c r="L64" s="364" t="s">
        <v>10</v>
      </c>
      <c r="M64" s="364" t="s">
        <v>9</v>
      </c>
      <c r="N64" s="364" t="s">
        <v>556</v>
      </c>
      <c r="O64" s="13" t="s">
        <v>9</v>
      </c>
      <c r="P64" s="159" t="s">
        <v>10</v>
      </c>
      <c r="Q64" s="13"/>
      <c r="R64" s="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</row>
    <row r="65" ht="14.25" customHeight="1">
      <c r="A65" s="25">
        <v>1.0</v>
      </c>
      <c r="B65" s="89" t="s">
        <v>178</v>
      </c>
      <c r="C65" s="84" t="s">
        <v>179</v>
      </c>
      <c r="D65" s="27"/>
      <c r="E65" s="90" t="s">
        <v>180</v>
      </c>
      <c r="F65" s="28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24">
        <f t="shared" ref="R65:R72" si="20">SUM(G65:P65)</f>
        <v>0</v>
      </c>
      <c r="AA65" s="113"/>
    </row>
    <row r="66" ht="14.25" customHeight="1">
      <c r="A66" s="25">
        <v>2.0</v>
      </c>
      <c r="B66" s="89" t="s">
        <v>183</v>
      </c>
      <c r="C66" s="44"/>
      <c r="D66" s="27"/>
      <c r="E66" s="90" t="s">
        <v>184</v>
      </c>
      <c r="F66" s="28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24">
        <f t="shared" si="20"/>
        <v>0</v>
      </c>
      <c r="AA66" s="113"/>
      <c r="AB66" s="113"/>
      <c r="AC66" s="113"/>
      <c r="AD66" s="113"/>
      <c r="AE66" s="113"/>
      <c r="AF66" s="113"/>
      <c r="AG66" s="113"/>
    </row>
    <row r="67" ht="14.25" customHeight="1">
      <c r="A67" s="25">
        <v>3.0</v>
      </c>
      <c r="B67" s="89" t="s">
        <v>185</v>
      </c>
      <c r="C67" s="44"/>
      <c r="D67" s="27"/>
      <c r="E67" s="90" t="s">
        <v>186</v>
      </c>
      <c r="F67" s="28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24">
        <f t="shared" si="20"/>
        <v>0</v>
      </c>
      <c r="AA67" s="73"/>
      <c r="AB67" s="73"/>
      <c r="AC67" s="73"/>
      <c r="AD67" s="73"/>
      <c r="AE67" s="73"/>
      <c r="AF67" s="73"/>
      <c r="AG67" s="72"/>
    </row>
    <row r="68" ht="14.25" customHeight="1">
      <c r="A68" s="25">
        <v>4.0</v>
      </c>
      <c r="B68" s="89" t="s">
        <v>185</v>
      </c>
      <c r="C68" s="44"/>
      <c r="D68" s="27"/>
      <c r="E68" s="90" t="s">
        <v>186</v>
      </c>
      <c r="F68" s="28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24">
        <f t="shared" si="20"/>
        <v>0</v>
      </c>
      <c r="AA68" s="73"/>
      <c r="AB68" s="73"/>
      <c r="AC68" s="73"/>
      <c r="AD68" s="73"/>
      <c r="AE68" s="73"/>
      <c r="AF68" s="73"/>
      <c r="AG68" s="73"/>
    </row>
    <row r="69" ht="14.25" customHeight="1">
      <c r="A69" s="25">
        <v>5.0</v>
      </c>
      <c r="B69" s="89" t="s">
        <v>187</v>
      </c>
      <c r="C69" s="44"/>
      <c r="D69" s="27"/>
      <c r="E69" s="90" t="s">
        <v>188</v>
      </c>
      <c r="F69" s="28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24">
        <f t="shared" si="20"/>
        <v>0</v>
      </c>
      <c r="AA69" s="73"/>
      <c r="AB69" s="73"/>
      <c r="AC69" s="73"/>
      <c r="AD69" s="73"/>
      <c r="AE69" s="73"/>
      <c r="AF69" s="73"/>
      <c r="AG69" s="73"/>
    </row>
    <row r="70" ht="14.25" customHeight="1">
      <c r="A70" s="25">
        <v>6.0</v>
      </c>
      <c r="B70" s="89" t="s">
        <v>189</v>
      </c>
      <c r="C70" s="44"/>
      <c r="D70" s="27"/>
      <c r="E70" s="90" t="s">
        <v>190</v>
      </c>
      <c r="F70" s="28"/>
      <c r="G70" s="85"/>
      <c r="H70" s="24"/>
      <c r="I70" s="24"/>
      <c r="J70" s="85"/>
      <c r="K70" s="85"/>
      <c r="L70" s="85"/>
      <c r="M70" s="85"/>
      <c r="N70" s="85"/>
      <c r="O70" s="85"/>
      <c r="P70" s="85"/>
      <c r="Q70" s="85"/>
      <c r="R70" s="24">
        <f t="shared" si="20"/>
        <v>0</v>
      </c>
    </row>
    <row r="71" ht="14.25" customHeight="1">
      <c r="A71" s="25">
        <v>7.0</v>
      </c>
      <c r="B71" s="89" t="s">
        <v>191</v>
      </c>
      <c r="C71" s="12"/>
      <c r="D71" s="27"/>
      <c r="E71" s="90" t="s">
        <v>192</v>
      </c>
      <c r="F71" s="28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24">
        <f t="shared" si="20"/>
        <v>0</v>
      </c>
    </row>
    <row r="72" ht="14.25" customHeight="1">
      <c r="A72" s="361">
        <v>8.0</v>
      </c>
      <c r="B72" s="365" t="s">
        <v>557</v>
      </c>
      <c r="C72" s="361" t="s">
        <v>558</v>
      </c>
      <c r="D72" s="27"/>
      <c r="E72" s="366" t="s">
        <v>559</v>
      </c>
      <c r="F72" s="28"/>
      <c r="G72" s="85"/>
      <c r="H72" s="85"/>
      <c r="I72" s="85"/>
      <c r="J72" s="85"/>
      <c r="K72" s="226" t="s">
        <v>560</v>
      </c>
      <c r="L72" s="226">
        <v>27000.11</v>
      </c>
      <c r="M72" s="85"/>
      <c r="N72" s="85"/>
      <c r="O72" s="226" t="s">
        <v>561</v>
      </c>
      <c r="P72" s="226">
        <v>27000.11</v>
      </c>
      <c r="Q72" s="85"/>
      <c r="R72" s="24">
        <f t="shared" si="20"/>
        <v>54000.22</v>
      </c>
    </row>
    <row r="73" ht="14.25" customHeight="1">
      <c r="A73" s="68" t="s">
        <v>122</v>
      </c>
      <c r="B73" s="2"/>
      <c r="C73" s="2"/>
      <c r="D73" s="2"/>
      <c r="E73" s="3"/>
      <c r="F73" s="93"/>
      <c r="G73" s="85">
        <f>SUM(G65:G71)</f>
        <v>0</v>
      </c>
      <c r="H73" s="24"/>
      <c r="I73" s="24">
        <f t="shared" ref="I73:J73" si="21">SUM(I65:I71)</f>
        <v>0</v>
      </c>
      <c r="J73" s="85">
        <f t="shared" si="21"/>
        <v>0</v>
      </c>
      <c r="K73" s="85">
        <f t="shared" ref="K73:L73" si="22">SUM(K65:K72)</f>
        <v>0</v>
      </c>
      <c r="L73" s="85">
        <f t="shared" si="22"/>
        <v>27000.11</v>
      </c>
      <c r="M73" s="85"/>
      <c r="N73" s="85">
        <f>SUM(N65:N71)</f>
        <v>0</v>
      </c>
      <c r="O73" s="85">
        <f t="shared" ref="O73:P73" si="23">SUM(O65:O72)</f>
        <v>0</v>
      </c>
      <c r="P73" s="85">
        <f t="shared" si="23"/>
        <v>27000.11</v>
      </c>
      <c r="Q73" s="85"/>
      <c r="R73" s="24">
        <f>SUM(R65:R72)</f>
        <v>54000.22</v>
      </c>
    </row>
    <row r="74" ht="14.25" customHeight="1">
      <c r="A74" s="73"/>
      <c r="B74" s="73"/>
      <c r="C74" s="73"/>
      <c r="D74" s="73"/>
      <c r="E74" s="73"/>
      <c r="F74" s="72"/>
    </row>
    <row r="75" ht="14.25" customHeight="1">
      <c r="A75" s="73"/>
      <c r="B75" s="73"/>
      <c r="C75" s="73"/>
      <c r="D75" s="73"/>
      <c r="E75" s="73"/>
      <c r="F75" s="72"/>
    </row>
    <row r="76" ht="14.25" customHeight="1">
      <c r="A76" s="367" t="s">
        <v>562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3"/>
      <c r="W76" s="20"/>
      <c r="Z76" s="20"/>
    </row>
    <row r="77" ht="14.25" customHeight="1">
      <c r="A77" s="4" t="s">
        <v>220</v>
      </c>
      <c r="B77" s="5"/>
      <c r="C77" s="352">
        <v>46230.0</v>
      </c>
      <c r="D77" s="3"/>
      <c r="E77" s="352">
        <v>46231.0</v>
      </c>
      <c r="F77" s="3"/>
      <c r="G77" s="352">
        <v>46232.0</v>
      </c>
      <c r="H77" s="3"/>
      <c r="I77" s="352">
        <v>46233.0</v>
      </c>
      <c r="J77" s="3"/>
      <c r="K77" s="352">
        <v>46234.0</v>
      </c>
      <c r="L77" s="3"/>
      <c r="M77" s="352">
        <v>46235.0</v>
      </c>
      <c r="N77" s="3"/>
      <c r="O77" s="352">
        <v>46236.0</v>
      </c>
      <c r="P77" s="3"/>
      <c r="Q77" s="8">
        <v>46229.0</v>
      </c>
      <c r="R77" s="3"/>
      <c r="S77" s="368"/>
      <c r="T77" s="11"/>
      <c r="U77" s="369"/>
      <c r="V77" s="3"/>
      <c r="W77" s="20"/>
    </row>
    <row r="78" ht="14.25" customHeight="1">
      <c r="A78" s="10"/>
      <c r="B78" s="11"/>
      <c r="C78" s="13" t="s">
        <v>26</v>
      </c>
      <c r="D78" s="13" t="s">
        <v>197</v>
      </c>
      <c r="E78" s="13" t="s">
        <v>26</v>
      </c>
      <c r="F78" s="13" t="s">
        <v>197</v>
      </c>
      <c r="G78" s="13" t="s">
        <v>26</v>
      </c>
      <c r="H78" s="364" t="s">
        <v>564</v>
      </c>
      <c r="I78" s="13" t="s">
        <v>197</v>
      </c>
      <c r="J78" s="13" t="s">
        <v>26</v>
      </c>
      <c r="K78" s="13" t="s">
        <v>197</v>
      </c>
      <c r="L78" s="13" t="s">
        <v>26</v>
      </c>
      <c r="M78" s="364" t="s">
        <v>26</v>
      </c>
      <c r="N78" s="13" t="s">
        <v>197</v>
      </c>
      <c r="O78" s="13" t="s">
        <v>26</v>
      </c>
      <c r="P78" s="13" t="s">
        <v>197</v>
      </c>
      <c r="Q78" s="13"/>
      <c r="R78" s="13" t="s">
        <v>26</v>
      </c>
      <c r="S78" s="13" t="s">
        <v>197</v>
      </c>
      <c r="T78" s="120" t="s">
        <v>224</v>
      </c>
      <c r="U78" s="120"/>
      <c r="V78" s="104">
        <v>27.0</v>
      </c>
      <c r="W78" s="20"/>
      <c r="Z78" s="20"/>
    </row>
    <row r="79" ht="14.25" customHeight="1">
      <c r="A79" s="25">
        <v>1.0</v>
      </c>
      <c r="B79" s="37" t="s">
        <v>225</v>
      </c>
      <c r="C79" s="39"/>
      <c r="D79" s="256"/>
      <c r="E79" s="355">
        <v>1129.71</v>
      </c>
      <c r="F79" s="355" t="s">
        <v>565</v>
      </c>
      <c r="G79" s="27"/>
      <c r="H79" s="27"/>
      <c r="I79" s="355" t="s">
        <v>566</v>
      </c>
      <c r="J79" s="355">
        <v>920.0</v>
      </c>
      <c r="K79" s="27"/>
      <c r="L79" s="27"/>
      <c r="M79" s="355">
        <v>960.0</v>
      </c>
      <c r="N79" s="355" t="s">
        <v>567</v>
      </c>
      <c r="O79" s="27"/>
      <c r="P79" s="27"/>
      <c r="Q79" s="27"/>
      <c r="R79" s="27"/>
      <c r="S79" s="27"/>
      <c r="T79" s="27">
        <f t="shared" ref="T79:T88" si="24">M79+J79+L79+O79+G79+E79+C79</f>
        <v>3009.71</v>
      </c>
      <c r="U79" s="27"/>
      <c r="V79" s="131"/>
      <c r="W79" s="20"/>
      <c r="Z79" s="20"/>
    </row>
    <row r="80" ht="14.25" customHeight="1">
      <c r="A80" s="25">
        <v>2.0</v>
      </c>
      <c r="B80" s="37" t="s">
        <v>235</v>
      </c>
      <c r="C80" s="355">
        <v>360.0</v>
      </c>
      <c r="D80" s="355" t="s">
        <v>568</v>
      </c>
      <c r="E80" s="27"/>
      <c r="F80" s="27"/>
      <c r="G80" s="355">
        <v>909.78</v>
      </c>
      <c r="H80" s="355" t="s">
        <v>569</v>
      </c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>
        <f t="shared" si="24"/>
        <v>1269.78</v>
      </c>
      <c r="U80" s="27"/>
      <c r="V80" s="44"/>
      <c r="W80" s="20"/>
      <c r="Z80" s="20"/>
    </row>
    <row r="81" ht="14.25" customHeight="1">
      <c r="A81" s="25">
        <v>3.0</v>
      </c>
      <c r="B81" s="37" t="s">
        <v>241</v>
      </c>
      <c r="C81" s="27"/>
      <c r="D81" s="27"/>
      <c r="E81" s="355">
        <v>998.51</v>
      </c>
      <c r="F81" s="355" t="s">
        <v>570</v>
      </c>
      <c r="G81" s="27"/>
      <c r="H81" s="27"/>
      <c r="I81" s="27"/>
      <c r="J81" s="27"/>
      <c r="K81" s="355" t="s">
        <v>571</v>
      </c>
      <c r="L81" s="355">
        <v>300.0</v>
      </c>
      <c r="M81" s="355">
        <v>300.0</v>
      </c>
      <c r="N81" s="355" t="s">
        <v>572</v>
      </c>
      <c r="O81" s="27"/>
      <c r="P81" s="27"/>
      <c r="Q81" s="27"/>
      <c r="R81" s="27"/>
      <c r="S81" s="27"/>
      <c r="T81" s="27">
        <f t="shared" si="24"/>
        <v>1598.51</v>
      </c>
      <c r="U81" s="27"/>
      <c r="V81" s="44"/>
      <c r="W81" s="20"/>
      <c r="Z81" s="20"/>
    </row>
    <row r="82" ht="14.25" customHeight="1">
      <c r="A82" s="25">
        <v>4.0</v>
      </c>
      <c r="B82" s="37" t="s">
        <v>253</v>
      </c>
      <c r="C82" s="355"/>
      <c r="D82" s="355"/>
      <c r="E82" s="27"/>
      <c r="F82" s="27"/>
      <c r="G82" s="27"/>
      <c r="H82" s="27"/>
      <c r="I82" s="27"/>
      <c r="J82" s="27"/>
      <c r="K82" s="355" t="s">
        <v>573</v>
      </c>
      <c r="L82" s="355">
        <v>115.0</v>
      </c>
      <c r="M82" s="27"/>
      <c r="N82" s="27"/>
      <c r="O82" s="27"/>
      <c r="P82" s="27"/>
      <c r="Q82" s="27"/>
      <c r="R82" s="27"/>
      <c r="S82" s="27"/>
      <c r="T82" s="27">
        <f t="shared" si="24"/>
        <v>115</v>
      </c>
      <c r="U82" s="27"/>
      <c r="V82" s="44"/>
      <c r="W82" s="20"/>
      <c r="Z82" s="20"/>
    </row>
    <row r="83" ht="14.25" customHeight="1">
      <c r="A83" s="25">
        <v>5.0</v>
      </c>
      <c r="B83" s="37" t="s">
        <v>257</v>
      </c>
      <c r="C83" s="355">
        <v>120.0</v>
      </c>
      <c r="D83" s="355" t="s">
        <v>574</v>
      </c>
      <c r="E83" s="27"/>
      <c r="F83" s="27"/>
      <c r="G83" s="355">
        <v>60.0</v>
      </c>
      <c r="H83" s="355" t="s">
        <v>575</v>
      </c>
      <c r="I83" s="27"/>
      <c r="J83" s="27"/>
      <c r="K83" s="355" t="s">
        <v>576</v>
      </c>
      <c r="L83" s="355">
        <v>130.0</v>
      </c>
      <c r="M83" s="27"/>
      <c r="N83" s="27"/>
      <c r="O83" s="27"/>
      <c r="P83" s="27"/>
      <c r="Q83" s="27"/>
      <c r="R83" s="27"/>
      <c r="S83" s="27"/>
      <c r="T83" s="27">
        <f t="shared" si="24"/>
        <v>310</v>
      </c>
      <c r="U83" s="27"/>
      <c r="V83" s="44"/>
      <c r="W83" s="20"/>
      <c r="Z83" s="20"/>
    </row>
    <row r="84" ht="14.25" customHeight="1">
      <c r="A84" s="25">
        <v>6.0</v>
      </c>
      <c r="B84" s="37" t="s">
        <v>264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>
        <f t="shared" si="24"/>
        <v>0</v>
      </c>
      <c r="U84" s="27"/>
      <c r="V84" s="44"/>
      <c r="W84" s="20"/>
      <c r="Z84" s="20"/>
    </row>
    <row r="85" ht="14.25" customHeight="1">
      <c r="A85" s="25">
        <v>7.0</v>
      </c>
      <c r="B85" s="139" t="s">
        <v>273</v>
      </c>
      <c r="C85" s="355">
        <v>400.0</v>
      </c>
      <c r="D85" s="355" t="s">
        <v>577</v>
      </c>
      <c r="E85" s="355">
        <v>460.0</v>
      </c>
      <c r="F85" s="355" t="s">
        <v>578</v>
      </c>
      <c r="G85" s="27"/>
      <c r="H85" s="27"/>
      <c r="I85" s="355" t="s">
        <v>579</v>
      </c>
      <c r="J85" s="355">
        <v>945.0</v>
      </c>
      <c r="K85" s="355" t="s">
        <v>580</v>
      </c>
      <c r="L85" s="355">
        <v>800.0</v>
      </c>
      <c r="M85" s="27"/>
      <c r="N85" s="27"/>
      <c r="O85" s="27"/>
      <c r="P85" s="27"/>
      <c r="Q85" s="27"/>
      <c r="R85" s="27"/>
      <c r="S85" s="27"/>
      <c r="T85" s="27">
        <f t="shared" si="24"/>
        <v>2605</v>
      </c>
      <c r="U85" s="27"/>
      <c r="V85" s="44"/>
      <c r="W85" s="20"/>
      <c r="Z85" s="20"/>
    </row>
    <row r="86" ht="14.25" customHeight="1">
      <c r="A86" s="25">
        <v>8.0</v>
      </c>
      <c r="B86" s="139" t="s">
        <v>281</v>
      </c>
      <c r="C86" s="27"/>
      <c r="D86" s="27"/>
      <c r="E86" s="355">
        <v>870.0</v>
      </c>
      <c r="F86" s="355" t="s">
        <v>581</v>
      </c>
      <c r="G86" s="355">
        <v>760.0</v>
      </c>
      <c r="H86" s="355" t="s">
        <v>582</v>
      </c>
      <c r="I86" s="27"/>
      <c r="J86" s="27"/>
      <c r="K86" s="355" t="s">
        <v>583</v>
      </c>
      <c r="L86" s="355">
        <v>1870.45</v>
      </c>
      <c r="M86" s="27"/>
      <c r="N86" s="27"/>
      <c r="O86" s="27"/>
      <c r="P86" s="27"/>
      <c r="Q86" s="27"/>
      <c r="R86" s="27"/>
      <c r="S86" s="27"/>
      <c r="T86" s="27">
        <f t="shared" si="24"/>
        <v>3500.45</v>
      </c>
      <c r="U86" s="27"/>
      <c r="V86" s="44"/>
      <c r="W86" s="20"/>
      <c r="Z86" s="20"/>
    </row>
    <row r="87" ht="14.25" customHeight="1">
      <c r="A87" s="25">
        <v>9.0</v>
      </c>
      <c r="B87" s="139" t="s">
        <v>295</v>
      </c>
      <c r="C87" s="73"/>
      <c r="D87" s="27"/>
      <c r="E87" s="27"/>
      <c r="F87" s="27"/>
      <c r="G87" s="27"/>
      <c r="H87" s="27"/>
      <c r="I87" s="27"/>
      <c r="J87" s="27"/>
      <c r="M87" s="27"/>
      <c r="N87" s="27"/>
      <c r="O87" s="27"/>
      <c r="P87" s="27"/>
      <c r="Q87" s="27"/>
      <c r="R87" s="27"/>
      <c r="S87" s="27"/>
      <c r="T87" s="27">
        <f t="shared" si="24"/>
        <v>0</v>
      </c>
      <c r="U87" s="27"/>
      <c r="V87" s="44"/>
      <c r="W87" s="20"/>
      <c r="Z87" s="20"/>
    </row>
    <row r="88" ht="14.25" customHeight="1">
      <c r="A88" s="25">
        <v>10.0</v>
      </c>
      <c r="B88" s="139" t="s">
        <v>300</v>
      </c>
      <c r="C88" s="27"/>
      <c r="D88" s="27"/>
      <c r="E88" s="355">
        <v>380.0</v>
      </c>
      <c r="F88" s="355" t="s">
        <v>586</v>
      </c>
      <c r="G88" s="355">
        <v>360.62</v>
      </c>
      <c r="H88" s="355" t="s">
        <v>587</v>
      </c>
      <c r="I88" s="27"/>
      <c r="J88" s="27"/>
      <c r="K88" s="355" t="s">
        <v>588</v>
      </c>
      <c r="L88" s="355">
        <v>660.0</v>
      </c>
      <c r="M88" s="27"/>
      <c r="N88" s="27"/>
      <c r="O88" s="27"/>
      <c r="P88" s="27"/>
      <c r="Q88" s="27"/>
      <c r="R88" s="27"/>
      <c r="S88" s="27"/>
      <c r="T88" s="27">
        <f t="shared" si="24"/>
        <v>1400.62</v>
      </c>
      <c r="U88" s="27"/>
      <c r="V88" s="12"/>
      <c r="W88" s="20"/>
      <c r="Z88" s="20"/>
    </row>
    <row r="89" ht="14.25" customHeight="1">
      <c r="A89" s="150" t="s">
        <v>122</v>
      </c>
      <c r="B89" s="5"/>
      <c r="C89" s="151">
        <f>SUM(C79:C88)</f>
        <v>880</v>
      </c>
      <c r="D89" s="151"/>
      <c r="E89" s="151">
        <f>SUM(E79:E88)</f>
        <v>3838.22</v>
      </c>
      <c r="F89" s="151"/>
      <c r="G89" s="151">
        <f>SUM(G79:G88)</f>
        <v>2090.4</v>
      </c>
      <c r="H89" s="151"/>
      <c r="I89" s="151"/>
      <c r="J89" s="151">
        <f>SUM(J79:J88)</f>
        <v>1865</v>
      </c>
      <c r="K89" s="151"/>
      <c r="L89" s="151">
        <f t="shared" ref="L89:M89" si="25">SUM(L79:L88)</f>
        <v>3875.45</v>
      </c>
      <c r="M89" s="151">
        <f t="shared" si="25"/>
        <v>1260</v>
      </c>
      <c r="N89" s="151"/>
      <c r="O89" s="151">
        <f>SUM(O79:O88)</f>
        <v>0</v>
      </c>
      <c r="P89" s="151"/>
      <c r="Q89" s="151"/>
      <c r="R89" s="151">
        <f>SUM(R79:R88)</f>
        <v>0</v>
      </c>
      <c r="S89" s="151"/>
      <c r="T89" s="135">
        <f>SUM(T79:T88)</f>
        <v>13809.07</v>
      </c>
      <c r="U89" s="135"/>
      <c r="V89" s="158">
        <f>T89*V78</f>
        <v>372844.89</v>
      </c>
      <c r="W89" s="20"/>
      <c r="Z89" s="20"/>
    </row>
    <row r="90" ht="14.25" customHeight="1">
      <c r="A90" s="10"/>
      <c r="B90" s="11"/>
      <c r="C90" s="86">
        <f>C89*27</f>
        <v>23760</v>
      </c>
      <c r="D90" s="371">
        <f>23760.06</f>
        <v>23760.06</v>
      </c>
      <c r="E90" s="86">
        <f>E89*27</f>
        <v>103631.94</v>
      </c>
      <c r="F90" s="371">
        <v>104712.38</v>
      </c>
      <c r="G90" s="86">
        <f>G89*27</f>
        <v>56440.8</v>
      </c>
      <c r="H90" s="371">
        <v>56440.92</v>
      </c>
      <c r="I90" s="371">
        <v>50355.32</v>
      </c>
      <c r="J90" s="86">
        <f>J89*27</f>
        <v>50355</v>
      </c>
      <c r="K90" s="371">
        <v>104637.94</v>
      </c>
      <c r="L90" s="86">
        <f>L89*27</f>
        <v>104637.15</v>
      </c>
      <c r="M90" s="86">
        <f>M89*27</f>
        <v>34020</v>
      </c>
      <c r="N90" s="371">
        <v>34020.11</v>
      </c>
      <c r="O90" s="86">
        <f>O89*27</f>
        <v>0</v>
      </c>
      <c r="P90" s="41"/>
      <c r="Q90" s="41"/>
      <c r="R90" s="86">
        <f>R89*27</f>
        <v>0</v>
      </c>
      <c r="S90" s="136"/>
      <c r="T90" s="24">
        <f>M90+J90+L90+O90+G90+E90+C90</f>
        <v>372844.89</v>
      </c>
      <c r="U90" s="24"/>
      <c r="V90" s="85"/>
      <c r="W90" s="20"/>
      <c r="Z90" s="20"/>
    </row>
    <row r="91" ht="14.25" customHeight="1"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158"/>
      <c r="S91" s="164" t="s">
        <v>314</v>
      </c>
      <c r="T91" s="47">
        <f>N90+K90+I90+H90+F90+D90</f>
        <v>373926.73</v>
      </c>
      <c r="U91" s="47"/>
      <c r="V91" s="85"/>
      <c r="W91" s="20"/>
      <c r="Z91" s="20"/>
    </row>
    <row r="92" ht="14.25" customHeight="1">
      <c r="A92" s="73"/>
      <c r="B92" s="73"/>
      <c r="C92" s="73"/>
      <c r="D92" s="73"/>
      <c r="E92" s="73"/>
      <c r="F92" s="72"/>
      <c r="W92" s="20"/>
      <c r="Z92" s="20"/>
    </row>
    <row r="93" ht="14.25" customHeight="1">
      <c r="A93" s="73"/>
      <c r="B93" s="73"/>
      <c r="C93" s="73"/>
      <c r="D93" s="73"/>
      <c r="E93" s="73"/>
      <c r="F93" s="72"/>
      <c r="W93" s="20"/>
      <c r="Z93" s="20"/>
    </row>
    <row r="94" ht="14.25" customHeight="1">
      <c r="A94" s="73"/>
      <c r="B94" s="73"/>
      <c r="C94" s="73"/>
      <c r="D94" s="73"/>
      <c r="E94" s="73"/>
      <c r="F94" s="72"/>
      <c r="W94" s="20"/>
      <c r="Z94" s="20"/>
    </row>
    <row r="95" ht="14.25" customHeight="1">
      <c r="A95" s="73"/>
      <c r="B95" s="373" t="s">
        <v>591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3"/>
      <c r="W95" s="20"/>
      <c r="Z95" s="20"/>
    </row>
    <row r="96" ht="14.25" customHeight="1">
      <c r="A96" s="73"/>
      <c r="B96" s="374">
        <v>46230.0</v>
      </c>
      <c r="C96" s="5"/>
      <c r="D96" s="374">
        <v>46231.0</v>
      </c>
      <c r="E96" s="5"/>
      <c r="F96" s="374">
        <v>46232.0</v>
      </c>
      <c r="G96" s="5"/>
      <c r="H96" s="374">
        <v>46233.0</v>
      </c>
      <c r="I96" s="5"/>
      <c r="J96" s="374">
        <v>46234.0</v>
      </c>
      <c r="K96" s="5"/>
      <c r="L96" s="374">
        <v>46235.0</v>
      </c>
      <c r="M96" s="5"/>
      <c r="N96" s="375" t="s">
        <v>597</v>
      </c>
      <c r="O96" s="5"/>
      <c r="P96" s="170"/>
      <c r="Q96" s="148"/>
      <c r="R96" s="5"/>
      <c r="S96" s="84"/>
      <c r="W96" s="20"/>
      <c r="Z96" s="20"/>
    </row>
    <row r="97" ht="14.25" customHeight="1">
      <c r="A97" s="73"/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33"/>
      <c r="O97" s="269"/>
      <c r="P97" s="10"/>
      <c r="Q97" s="156"/>
      <c r="R97" s="11"/>
      <c r="S97" s="44"/>
      <c r="W97" s="20"/>
      <c r="Z97" s="20"/>
    </row>
    <row r="98" ht="14.25" customHeight="1">
      <c r="A98" s="73"/>
      <c r="B98" s="178" t="s">
        <v>322</v>
      </c>
      <c r="C98" s="178" t="s">
        <v>332</v>
      </c>
      <c r="D98" s="178" t="s">
        <v>322</v>
      </c>
      <c r="E98" s="178" t="s">
        <v>332</v>
      </c>
      <c r="F98" s="178" t="s">
        <v>322</v>
      </c>
      <c r="G98" s="178" t="s">
        <v>332</v>
      </c>
      <c r="H98" s="378" t="s">
        <v>322</v>
      </c>
      <c r="I98" s="378" t="s">
        <v>332</v>
      </c>
      <c r="J98" s="178" t="s">
        <v>332</v>
      </c>
      <c r="K98" s="178" t="s">
        <v>322</v>
      </c>
      <c r="L98" s="178" t="s">
        <v>332</v>
      </c>
      <c r="M98" s="178"/>
      <c r="N98" s="133"/>
      <c r="O98" s="269"/>
      <c r="P98" s="178"/>
      <c r="Q98" s="178"/>
      <c r="R98" s="178"/>
      <c r="S98" s="44"/>
    </row>
    <row r="99" ht="14.25" customHeight="1">
      <c r="A99" s="73"/>
      <c r="B99" s="353">
        <v>1904.88</v>
      </c>
      <c r="C99" s="380" t="s">
        <v>501</v>
      </c>
      <c r="D99" s="24"/>
      <c r="E99" s="132"/>
      <c r="F99" s="353">
        <v>0.0</v>
      </c>
      <c r="G99" s="353" t="s">
        <v>541</v>
      </c>
      <c r="H99" s="381">
        <v>1488.66</v>
      </c>
      <c r="I99" s="353" t="s">
        <v>529</v>
      </c>
      <c r="J99" s="382" t="s">
        <v>607</v>
      </c>
      <c r="K99" s="353"/>
      <c r="L99" s="24"/>
      <c r="M99" s="24"/>
      <c r="N99" s="133"/>
      <c r="O99" s="269"/>
      <c r="P99" s="85"/>
      <c r="Q99" s="85"/>
      <c r="R99" s="85"/>
      <c r="S99" s="44"/>
    </row>
    <row r="100" ht="14.25" customHeight="1">
      <c r="A100" s="73"/>
      <c r="B100" s="353">
        <v>3511.75</v>
      </c>
      <c r="C100" s="380" t="s">
        <v>528</v>
      </c>
      <c r="D100" s="24"/>
      <c r="E100" s="132"/>
      <c r="F100" s="24"/>
      <c r="G100" s="353">
        <v>1000.0</v>
      </c>
      <c r="H100" s="381">
        <v>1500.0</v>
      </c>
      <c r="I100" s="226" t="s">
        <v>533</v>
      </c>
      <c r="J100" s="226">
        <v>1000.0</v>
      </c>
      <c r="K100" s="24"/>
      <c r="L100" s="24"/>
      <c r="M100" s="24"/>
      <c r="N100" s="133"/>
      <c r="O100" s="269"/>
      <c r="P100" s="85"/>
      <c r="Q100" s="85"/>
      <c r="R100" s="85"/>
      <c r="S100" s="44"/>
    </row>
    <row r="101" ht="14.25" customHeight="1">
      <c r="A101" s="73"/>
      <c r="B101" s="353">
        <v>1000.0</v>
      </c>
      <c r="C101" s="353" t="s">
        <v>532</v>
      </c>
      <c r="D101" s="24"/>
      <c r="E101" s="132"/>
      <c r="F101" s="24"/>
      <c r="G101" s="24"/>
      <c r="H101" s="381">
        <v>413.7</v>
      </c>
      <c r="I101" s="226" t="s">
        <v>609</v>
      </c>
      <c r="J101" s="85"/>
      <c r="K101" s="85"/>
      <c r="L101" s="85"/>
      <c r="M101" s="85"/>
      <c r="N101" s="133"/>
      <c r="O101" s="269"/>
      <c r="P101" s="85"/>
      <c r="Q101" s="85"/>
      <c r="R101" s="85"/>
      <c r="S101" s="44"/>
    </row>
    <row r="102" ht="14.25" customHeight="1">
      <c r="A102" s="73"/>
      <c r="B102" s="85"/>
      <c r="C102" s="85"/>
      <c r="D102" s="85"/>
      <c r="E102" s="85"/>
      <c r="F102" s="24"/>
      <c r="G102" s="24"/>
      <c r="H102" s="381">
        <v>1000.0</v>
      </c>
      <c r="I102" s="226" t="s">
        <v>542</v>
      </c>
      <c r="J102" s="85"/>
      <c r="K102" s="85"/>
      <c r="L102" s="85"/>
      <c r="M102" s="85"/>
      <c r="N102" s="10"/>
      <c r="O102" s="11"/>
      <c r="P102" s="85"/>
      <c r="Q102" s="85"/>
      <c r="R102" s="85"/>
      <c r="S102" s="12"/>
    </row>
    <row r="103" ht="14.25" customHeight="1">
      <c r="A103" s="73"/>
      <c r="B103" s="191">
        <f>SUM(B99:B102)</f>
        <v>6416.63</v>
      </c>
      <c r="C103" s="193"/>
      <c r="D103" s="191">
        <f>SUM(D99:D102)</f>
        <v>0</v>
      </c>
      <c r="E103" s="193"/>
      <c r="F103" s="191">
        <f>SUM(F99:F102)</f>
        <v>0</v>
      </c>
      <c r="G103" s="193"/>
      <c r="H103" s="191">
        <f>SUM(H99:H102)</f>
        <v>4402.36</v>
      </c>
      <c r="I103" s="191"/>
      <c r="J103" s="193"/>
      <c r="K103" s="191">
        <f>SUM(K99:K102)</f>
        <v>0</v>
      </c>
      <c r="L103" s="193"/>
      <c r="M103" s="193"/>
      <c r="N103" s="384">
        <f>SUM(B103:M103)</f>
        <v>10818.99</v>
      </c>
      <c r="O103" s="3"/>
      <c r="P103" s="201"/>
      <c r="Q103" s="201"/>
      <c r="R103" s="201"/>
      <c r="S103" s="158"/>
    </row>
    <row r="104" ht="14.25" customHeight="1">
      <c r="A104" s="73"/>
      <c r="B104" s="73"/>
      <c r="C104" s="73"/>
      <c r="D104" s="73"/>
      <c r="E104" s="73"/>
      <c r="F104" s="72"/>
    </row>
    <row r="105" ht="14.25" customHeight="1">
      <c r="A105" s="73"/>
      <c r="B105" s="73"/>
      <c r="C105" s="73"/>
      <c r="D105" s="73"/>
      <c r="E105" s="73"/>
      <c r="F105" s="72"/>
    </row>
    <row r="106" ht="14.25" customHeight="1">
      <c r="A106" s="73"/>
      <c r="B106" s="73"/>
      <c r="C106" s="73"/>
      <c r="D106" s="73"/>
      <c r="E106" s="73"/>
      <c r="F106" s="72"/>
      <c r="W106" s="20"/>
    </row>
    <row r="107" ht="14.25" customHeight="1">
      <c r="A107" s="73"/>
      <c r="B107" s="73"/>
      <c r="C107" s="73"/>
      <c r="D107" s="73"/>
      <c r="E107" s="73"/>
      <c r="F107" s="72"/>
      <c r="W107" s="20"/>
    </row>
    <row r="108" ht="14.25" customHeight="1">
      <c r="A108" s="73"/>
      <c r="B108" s="385" t="s">
        <v>628</v>
      </c>
      <c r="C108" s="2"/>
      <c r="D108" s="2"/>
      <c r="E108" s="2"/>
      <c r="F108" s="3"/>
    </row>
    <row r="109" ht="14.25" customHeight="1">
      <c r="A109" s="73"/>
      <c r="B109" s="167" t="s">
        <v>317</v>
      </c>
      <c r="C109" s="165"/>
      <c r="D109" s="2"/>
      <c r="E109" s="2"/>
      <c r="F109" s="3"/>
    </row>
    <row r="110" ht="42.75" customHeight="1">
      <c r="A110" s="73"/>
      <c r="B110" s="168" t="s">
        <v>633</v>
      </c>
      <c r="C110" s="161">
        <f>G60+K59+O59+S59+W59+AA59</f>
        <v>41969.3</v>
      </c>
      <c r="D110" s="132"/>
      <c r="E110" s="132"/>
      <c r="F110" s="28"/>
      <c r="G110" s="72"/>
      <c r="L110" s="73"/>
      <c r="M110" s="73"/>
      <c r="N110" s="73"/>
    </row>
    <row r="111" ht="42.75" customHeight="1">
      <c r="A111" s="73"/>
      <c r="B111" s="12"/>
      <c r="C111" s="12"/>
      <c r="D111" s="132"/>
      <c r="E111" s="132"/>
      <c r="F111" s="28"/>
      <c r="G111" s="72"/>
      <c r="H111" s="386"/>
      <c r="I111" s="387" t="s">
        <v>634</v>
      </c>
      <c r="J111" s="3"/>
      <c r="L111" s="185" t="s">
        <v>337</v>
      </c>
      <c r="M111" s="2"/>
      <c r="N111" s="2"/>
      <c r="O111" s="3"/>
    </row>
    <row r="112" ht="14.25" customHeight="1">
      <c r="A112" s="73"/>
      <c r="B112" s="173"/>
      <c r="C112" s="176"/>
      <c r="D112" s="177"/>
      <c r="E112" s="180" t="str">
        <f>C112</f>
        <v/>
      </c>
      <c r="F112" s="28"/>
      <c r="H112" s="388"/>
      <c r="I112" s="194" t="s">
        <v>9</v>
      </c>
      <c r="J112" s="197">
        <f>F114</f>
        <v>41969.3</v>
      </c>
      <c r="L112" s="132" t="s">
        <v>345</v>
      </c>
      <c r="M112" s="132"/>
      <c r="N112" s="57">
        <f>C119+C110</f>
        <v>52788.29</v>
      </c>
      <c r="O112" s="57"/>
    </row>
    <row r="113" ht="14.25" customHeight="1">
      <c r="A113" s="73"/>
      <c r="B113" s="174" t="s">
        <v>339</v>
      </c>
      <c r="C113" s="175"/>
      <c r="D113" s="140"/>
      <c r="E113" s="187"/>
      <c r="F113" s="188"/>
      <c r="H113" s="388"/>
      <c r="I113" s="194" t="s">
        <v>344</v>
      </c>
      <c r="J113" s="197">
        <f>C119+C120</f>
        <v>384745.72</v>
      </c>
      <c r="L113" s="132" t="s">
        <v>350</v>
      </c>
      <c r="M113" s="132"/>
      <c r="N113" s="202">
        <f>C120+C121</f>
        <v>427926.95</v>
      </c>
      <c r="O113" s="132"/>
      <c r="AB113" s="73"/>
    </row>
    <row r="114" ht="15.0" customHeight="1">
      <c r="A114" s="73"/>
      <c r="B114" s="192" t="s">
        <v>326</v>
      </c>
      <c r="C114" s="148"/>
      <c r="D114" s="148"/>
      <c r="E114" s="5"/>
      <c r="F114" s="196">
        <f>C113+C110</f>
        <v>41969.3</v>
      </c>
      <c r="H114" s="389"/>
      <c r="I114" s="390" t="s">
        <v>92</v>
      </c>
      <c r="J114" s="391">
        <v>54000.22</v>
      </c>
      <c r="L114" s="53" t="s">
        <v>354</v>
      </c>
      <c r="M114" s="53"/>
      <c r="N114" s="24">
        <f>N112+N113</f>
        <v>480715.24</v>
      </c>
      <c r="O114" s="85"/>
      <c r="AB114" s="73"/>
    </row>
    <row r="115" ht="15.0" customHeight="1">
      <c r="A115" s="73"/>
      <c r="B115" s="10"/>
      <c r="C115" s="156"/>
      <c r="D115" s="156"/>
      <c r="E115" s="11"/>
      <c r="F115" s="12"/>
      <c r="H115" s="389"/>
      <c r="I115" s="208" t="s">
        <v>210</v>
      </c>
      <c r="J115" s="200">
        <f>SUM(J112:J114)</f>
        <v>480715.24</v>
      </c>
      <c r="L115" s="73"/>
      <c r="M115" s="73"/>
      <c r="N115" s="73"/>
      <c r="AB115" s="73"/>
    </row>
    <row r="116" ht="14.25" customHeight="1">
      <c r="A116" s="73"/>
      <c r="B116" s="73"/>
      <c r="C116" s="73"/>
      <c r="D116" s="73"/>
      <c r="E116" s="73"/>
      <c r="F116" s="72"/>
      <c r="I116" s="12"/>
      <c r="J116" s="12"/>
      <c r="L116" s="73"/>
      <c r="M116" s="73"/>
      <c r="N116" s="73"/>
      <c r="AB116" s="73"/>
    </row>
    <row r="117" ht="14.25" customHeight="1">
      <c r="A117" s="73"/>
      <c r="B117" s="392" t="s">
        <v>635</v>
      </c>
      <c r="C117" s="2"/>
      <c r="D117" s="2"/>
      <c r="E117" s="2"/>
      <c r="F117" s="3"/>
      <c r="J117" s="20"/>
      <c r="L117" s="73"/>
      <c r="M117" s="73"/>
      <c r="N117" s="73"/>
      <c r="AB117" s="73"/>
    </row>
    <row r="118" ht="14.25" customHeight="1">
      <c r="A118" s="73"/>
      <c r="B118" s="199" t="s">
        <v>347</v>
      </c>
      <c r="C118" s="199" t="s">
        <v>322</v>
      </c>
      <c r="D118" s="195" t="s">
        <v>362</v>
      </c>
      <c r="E118" s="2"/>
      <c r="F118" s="3"/>
      <c r="J118" s="20"/>
      <c r="AB118" s="73"/>
    </row>
    <row r="119" ht="14.25" customHeight="1">
      <c r="A119" s="73"/>
      <c r="B119" s="393" t="s">
        <v>636</v>
      </c>
      <c r="C119" s="175">
        <f>N103</f>
        <v>10818.99</v>
      </c>
      <c r="D119" s="394" t="s">
        <v>638</v>
      </c>
      <c r="E119" s="394">
        <v>7.0</v>
      </c>
      <c r="F119" s="28"/>
    </row>
    <row r="120" ht="117.0" customHeight="1">
      <c r="A120" s="73"/>
      <c r="B120" s="395" t="s">
        <v>639</v>
      </c>
      <c r="C120" s="358">
        <f>T91</f>
        <v>373926.73</v>
      </c>
      <c r="D120" s="396" t="s">
        <v>640</v>
      </c>
      <c r="E120" s="394">
        <v>26.0</v>
      </c>
      <c r="F120" s="28"/>
    </row>
    <row r="121" ht="14.25" customHeight="1">
      <c r="A121" s="73"/>
      <c r="B121" s="397" t="s">
        <v>327</v>
      </c>
      <c r="C121" s="213">
        <f>R73</f>
        <v>54000.22</v>
      </c>
      <c r="D121" s="376" t="s">
        <v>641</v>
      </c>
      <c r="E121" s="376">
        <v>2.0</v>
      </c>
      <c r="F121" s="28"/>
      <c r="L121" s="217"/>
      <c r="M121" s="217"/>
      <c r="AB121" s="215"/>
    </row>
    <row r="122" ht="14.25" customHeight="1">
      <c r="A122" s="73"/>
      <c r="B122" s="232" t="s">
        <v>326</v>
      </c>
      <c r="C122" s="190">
        <f>C119+C120+C121</f>
        <v>438745.94</v>
      </c>
      <c r="D122" s="209"/>
      <c r="E122" s="3"/>
      <c r="F122" s="28"/>
      <c r="L122" s="217"/>
      <c r="M122" s="217"/>
      <c r="AB122" s="215"/>
    </row>
    <row r="123" ht="14.25" customHeight="1">
      <c r="A123" s="73"/>
      <c r="B123" s="73"/>
      <c r="C123" s="73"/>
      <c r="D123" s="73"/>
      <c r="E123" s="73"/>
      <c r="F123" s="72"/>
    </row>
    <row r="124" ht="14.25" customHeight="1">
      <c r="A124" s="73"/>
      <c r="B124" s="73"/>
      <c r="C124" s="73"/>
      <c r="D124" s="73"/>
      <c r="E124" s="73"/>
      <c r="F124" s="72"/>
    </row>
    <row r="125" ht="14.25" customHeight="1">
      <c r="A125" s="73"/>
      <c r="B125" s="73"/>
      <c r="C125" s="73"/>
      <c r="D125" s="73"/>
      <c r="E125" s="73"/>
      <c r="F125" s="72"/>
    </row>
    <row r="126" ht="14.25" customHeight="1">
      <c r="A126" s="73"/>
      <c r="B126" s="249" t="s">
        <v>540</v>
      </c>
      <c r="C126" s="78"/>
      <c r="D126" s="78"/>
      <c r="E126" s="78"/>
      <c r="F126" s="78"/>
      <c r="G126" s="78"/>
      <c r="H126" s="78"/>
      <c r="I126" s="79"/>
    </row>
    <row r="127" ht="14.25" customHeight="1">
      <c r="A127" s="73"/>
      <c r="B127" s="251" t="s">
        <v>402</v>
      </c>
      <c r="C127" s="251" t="s">
        <v>3</v>
      </c>
      <c r="D127" s="251" t="s">
        <v>403</v>
      </c>
      <c r="E127" s="252" t="s">
        <v>404</v>
      </c>
      <c r="F127" s="251" t="s">
        <v>405</v>
      </c>
      <c r="G127" s="251" t="s">
        <v>8</v>
      </c>
      <c r="H127" s="251"/>
      <c r="I127" s="251" t="s">
        <v>406</v>
      </c>
    </row>
    <row r="128" ht="14.25" customHeight="1">
      <c r="A128" s="73"/>
      <c r="B128" s="359" t="str">
        <f>IFERROR(__xludf.DUMMYFUNCTION("IFERROR(FILTER({B3:F43, AH3:AH43, AG3:AG43; B50:F101, AH50:AH101, AG50:AG101}, {AG3:AG43; AG50:AG101} &lt; 0), ""Sin excedidos"")"),"TOMAS ARANDA PROSPERO")</f>
        <v>TOMAS ARANDA PROSPERO</v>
      </c>
      <c r="C128" s="140" t="str">
        <f>IFERROR(__xludf.DUMMYFUNCTION("""COMPUTED_VALUE"""),"BACHEO TOLUCA Y C. VICENTE LOMBARDO")</f>
        <v>BACHEO TOLUCA Y C. VICENTE LOMBARDO</v>
      </c>
      <c r="D128" s="140" t="str">
        <f>IFERROR(__xludf.DUMMYFUNCTION("""COMPUTED_VALUE"""),"DODGE RAM 4000 (3/2)")</f>
        <v>DODGE RAM 4000 (3/2)</v>
      </c>
      <c r="E128" s="140" t="str">
        <f>IFERROR(__xludf.DUMMYFUNCTION("""COMPUTED_VALUE"""),"LF05470")</f>
        <v>LF05470</v>
      </c>
      <c r="F128" s="54">
        <f>IFERROR(__xludf.DUMMYFUNCTION("""COMPUTED_VALUE"""),1500.0)</f>
        <v>1500</v>
      </c>
      <c r="G128" s="256">
        <f>IFERROR(__xludf.DUMMYFUNCTION("""COMPUTED_VALUE"""),3000.0)</f>
        <v>3000</v>
      </c>
      <c r="H128" s="257">
        <f>IFERROR(__xludf.DUMMYFUNCTION("""COMPUTED_VALUE"""),-1500.0)</f>
        <v>-1500</v>
      </c>
    </row>
    <row r="129" ht="14.25" customHeight="1">
      <c r="A129" s="73"/>
      <c r="B129" s="359" t="str">
        <f>IFERROR(__xludf.DUMMYFUNCTION("""COMPUTED_VALUE"""),"JAVIER PEREZ DÍAZ")</f>
        <v>JAVIER PEREZ DÍAZ</v>
      </c>
      <c r="C129" s="140" t="str">
        <f>IFERROR(__xludf.DUMMYFUNCTION("""COMPUTED_VALUE"""),"OBRA MÉXICO TOLUCA")</f>
        <v>OBRA MÉXICO TOLUCA</v>
      </c>
      <c r="D129" s="140" t="str">
        <f>IFERROR(__xludf.DUMMYFUNCTION("""COMPUTED_VALUE"""),"MITSUBISHI 1200")</f>
        <v>MITSUBISHI 1200</v>
      </c>
      <c r="E129" s="140" t="str">
        <f>IFERROR(__xludf.DUMMYFUNCTION("""COMPUTED_VALUE"""),"MHL758A")</f>
        <v>MHL758A</v>
      </c>
      <c r="F129" s="54">
        <f>IFERROR(__xludf.DUMMYFUNCTION("""COMPUTED_VALUE"""),1500.0)</f>
        <v>1500</v>
      </c>
      <c r="G129" s="256">
        <f>IFERROR(__xludf.DUMMYFUNCTION("""COMPUTED_VALUE"""),2500.35)</f>
        <v>2500.35</v>
      </c>
      <c r="H129" s="257">
        <f>IFERROR(__xludf.DUMMYFUNCTION("""COMPUTED_VALUE"""),-1000.3499999999999)</f>
        <v>-1000.35</v>
      </c>
      <c r="I129" s="399" t="s">
        <v>644</v>
      </c>
    </row>
    <row r="130" ht="14.25" customHeight="1">
      <c r="A130" s="73"/>
      <c r="B130" s="359" t="str">
        <f>IFERROR(__xludf.DUMMYFUNCTION("""COMPUTED_VALUE"""),"JAVIER PEREZ DÍAZ")</f>
        <v>JAVIER PEREZ DÍAZ</v>
      </c>
      <c r="C130" s="140" t="str">
        <f>IFERROR(__xludf.DUMMYFUNCTION("""COMPUTED_VALUE"""),"OBRA MÉXICO TOLUCA")</f>
        <v>OBRA MÉXICO TOLUCA</v>
      </c>
      <c r="D130" s="140"/>
      <c r="E130" s="140" t="str">
        <f>IFERROR(__xludf.DUMMYFUNCTION("""COMPUTED_VALUE"""),"MHL755A")</f>
        <v>MHL755A</v>
      </c>
      <c r="F130" s="54">
        <f>IFERROR(__xludf.DUMMYFUNCTION("""COMPUTED_VALUE"""),2500.0)</f>
        <v>2500</v>
      </c>
      <c r="G130" s="256">
        <f>IFERROR(__xludf.DUMMYFUNCTION("""COMPUTED_VALUE"""),2703.21)</f>
        <v>2703.21</v>
      </c>
      <c r="H130" s="257">
        <f>IFERROR(__xludf.DUMMYFUNCTION("""COMPUTED_VALUE"""),-203.21000000000004)</f>
        <v>-203.21</v>
      </c>
      <c r="I130" s="257"/>
    </row>
    <row r="131" ht="15.0" customHeight="1">
      <c r="A131" s="73"/>
      <c r="B131" s="360" t="str">
        <f>IFERROR(__xludf.DUMMYFUNCTION("""COMPUTED_VALUE"""),"CRISTIAN REYES GAMORA")</f>
        <v>CRISTIAN REYES GAMORA</v>
      </c>
      <c r="C131" s="27" t="str">
        <f>IFERROR(__xludf.DUMMYFUNCTION("""COMPUTED_VALUE"""),"OBRA MÉXICO TOLUCA")</f>
        <v>OBRA MÉXICO TOLUCA</v>
      </c>
      <c r="D131" s="27" t="str">
        <f>IFERROR(__xludf.DUMMYFUNCTION("""COMPUTED_VALUE"""),"DODGE RAM 4000 (3/2)")</f>
        <v>DODGE RAM 4000 (3/2)</v>
      </c>
      <c r="E131" s="27" t="str">
        <f>IFERROR(__xludf.DUMMYFUNCTION("""COMPUTED_VALUE"""),"LH49730")</f>
        <v>LH49730</v>
      </c>
      <c r="F131" s="28">
        <f>IFERROR(__xludf.DUMMYFUNCTION("""COMPUTED_VALUE"""),4000.0)</f>
        <v>4000</v>
      </c>
      <c r="G131" s="256">
        <f>IFERROR(__xludf.DUMMYFUNCTION("""COMPUTED_VALUE"""),4999.8099999999995)</f>
        <v>4999.81</v>
      </c>
      <c r="H131" s="264">
        <f>IFERROR(__xludf.DUMMYFUNCTION("""COMPUTED_VALUE"""),-999.8099999999995)</f>
        <v>-999.81</v>
      </c>
      <c r="I131" s="264"/>
    </row>
    <row r="132" ht="14.25" customHeight="1">
      <c r="A132" s="73"/>
      <c r="B132" s="359" t="str">
        <f>IFERROR(__xludf.DUMMYFUNCTION("""COMPUTED_VALUE"""),"CARMELO ALVAREZ ANICETO")</f>
        <v>CARMELO ALVAREZ ANICETO</v>
      </c>
      <c r="C132" s="140" t="str">
        <f>IFERROR(__xludf.DUMMYFUNCTION("""COMPUTED_VALUE"""),"LERMA TENANGO ")</f>
        <v>LERMA TENANGO </v>
      </c>
      <c r="D132" s="140" t="str">
        <f>IFERROR(__xludf.DUMMYFUNCTION("""COMPUTED_VALUE"""),"DODGE RAM 4000 (3/2)")</f>
        <v>DODGE RAM 4000 (3/2)</v>
      </c>
      <c r="E132" s="140" t="str">
        <f>IFERROR(__xludf.DUMMYFUNCTION("""COMPUTED_VALUE"""),"LH49746")</f>
        <v>LH49746</v>
      </c>
      <c r="F132" s="54">
        <f>IFERROR(__xludf.DUMMYFUNCTION("""COMPUTED_VALUE"""),3000.0)</f>
        <v>3000</v>
      </c>
      <c r="G132" s="256">
        <f>IFERROR(__xludf.DUMMYFUNCTION("""COMPUTED_VALUE"""),3500.0)</f>
        <v>3500</v>
      </c>
      <c r="H132" s="257">
        <f>IFERROR(__xludf.DUMMYFUNCTION("""COMPUTED_VALUE"""),-500.0)</f>
        <v>-500</v>
      </c>
      <c r="I132" s="257"/>
    </row>
    <row r="133" ht="14.25" customHeight="1">
      <c r="A133" s="73"/>
      <c r="B133" s="359" t="str">
        <f>IFERROR(__xludf.DUMMYFUNCTION("""COMPUTED_VALUE"""),"CLEMENTE SANABRIA")</f>
        <v>CLEMENTE SANABRIA</v>
      </c>
      <c r="C133" s="140" t="str">
        <f>IFERROR(__xludf.DUMMYFUNCTION("""COMPUTED_VALUE"""),"TRANSPORTES FLOTILLA ")</f>
        <v>TRANSPORTES FLOTILLA </v>
      </c>
      <c r="D133" s="140" t="str">
        <f>IFERROR(__xludf.DUMMYFUNCTION("""COMPUTED_VALUE"""),"RAM 1200")</f>
        <v>RAM 1200</v>
      </c>
      <c r="E133" s="140" t="str">
        <f>IFERROR(__xludf.DUMMYFUNCTION("""COMPUTED_VALUE"""),"LHB184D")</f>
        <v>LHB184D</v>
      </c>
      <c r="F133" s="54">
        <f>IFERROR(__xludf.DUMMYFUNCTION("""COMPUTED_VALUE"""),2500.0)</f>
        <v>2500</v>
      </c>
      <c r="G133" s="256">
        <f>IFERROR(__xludf.DUMMYFUNCTION("""COMPUTED_VALUE"""),3575.38)</f>
        <v>3575.38</v>
      </c>
      <c r="H133" s="257">
        <f>IFERROR(__xludf.DUMMYFUNCTION("""COMPUTED_VALUE"""),-1075.38)</f>
        <v>-1075.38</v>
      </c>
      <c r="I133" s="257"/>
    </row>
    <row r="134" ht="14.25" customHeight="1">
      <c r="A134" s="73"/>
      <c r="B134" s="359" t="str">
        <f>IFERROR(__xludf.DUMMYFUNCTION("""COMPUTED_VALUE"""),"BRYAN GABRIEL CHAVEZ ALVAREZ")</f>
        <v>BRYAN GABRIEL CHAVEZ ALVAREZ</v>
      </c>
      <c r="C134" s="140" t="str">
        <f>IFERROR(__xludf.DUMMYFUNCTION("""COMPUTED_VALUE"""),"TRANSPORTES FLOTILLA ")</f>
        <v>TRANSPORTES FLOTILLA </v>
      </c>
      <c r="D134" s="140" t="str">
        <f>IFERROR(__xludf.DUMMYFUNCTION("""COMPUTED_VALUE"""),"CHEVROLET TORNADO")</f>
        <v>CHEVROLET TORNADO</v>
      </c>
      <c r="E134" s="140" t="str">
        <f>IFERROR(__xludf.DUMMYFUNCTION("""COMPUTED_VALUE"""),"NUZ948C")</f>
        <v>NUZ948C</v>
      </c>
      <c r="F134" s="54">
        <f>IFERROR(__xludf.DUMMYFUNCTION("""COMPUTED_VALUE"""),1000.0)</f>
        <v>1000</v>
      </c>
      <c r="G134" s="256">
        <f>IFERROR(__xludf.DUMMYFUNCTION("""COMPUTED_VALUE"""),1500.0)</f>
        <v>1500</v>
      </c>
      <c r="H134" s="257">
        <f>IFERROR(__xludf.DUMMYFUNCTION("""COMPUTED_VALUE"""),-500.0)</f>
        <v>-500</v>
      </c>
      <c r="I134" s="257"/>
    </row>
    <row r="135" ht="14.25" hidden="1" customHeight="1">
      <c r="A135" s="73"/>
      <c r="B135" s="359" t="str">
        <f>IFERROR(__xludf.DUMMYFUNCTION("""COMPUTED_VALUE"""),"JESUS MARIN GARCIA")</f>
        <v>JESUS MARIN GARCIA</v>
      </c>
      <c r="C135" s="140" t="str">
        <f>IFERROR(__xludf.DUMMYFUNCTION("""COMPUTED_VALUE"""),"MINA CUAJOMAC")</f>
        <v>MINA CUAJOMAC</v>
      </c>
      <c r="D135" s="140" t="str">
        <f>IFERROR(__xludf.DUMMYFUNCTION("""COMPUTED_VALUE"""),"CHEVORLET")</f>
        <v>CHEVORLET</v>
      </c>
      <c r="E135" s="140" t="str">
        <f>IFERROR(__xludf.DUMMYFUNCTION("""COMPUTED_VALUE"""),"PCU8771")</f>
        <v>PCU8771</v>
      </c>
      <c r="F135" s="54">
        <f>IFERROR(__xludf.DUMMYFUNCTION("""COMPUTED_VALUE"""),2000.0)</f>
        <v>2000</v>
      </c>
      <c r="G135" s="256">
        <f>IFERROR(__xludf.DUMMYFUNCTION("""COMPUTED_VALUE"""),3223.3599999999997)</f>
        <v>3223.36</v>
      </c>
      <c r="H135" s="257">
        <f>IFERROR(__xludf.DUMMYFUNCTION("""COMPUTED_VALUE"""),-1223.3599999999997)</f>
        <v>-1223.36</v>
      </c>
      <c r="I135" s="257"/>
    </row>
    <row r="136" ht="14.25" hidden="1" customHeight="1">
      <c r="A136" s="73"/>
      <c r="B136" s="359"/>
      <c r="C136" s="140"/>
      <c r="D136" s="140"/>
      <c r="E136" s="140"/>
      <c r="F136" s="54"/>
      <c r="G136" s="256"/>
      <c r="H136" s="257"/>
      <c r="I136" s="257"/>
    </row>
    <row r="137" ht="14.25" hidden="1" customHeight="1">
      <c r="A137" s="73"/>
      <c r="B137" s="359"/>
      <c r="C137" s="140"/>
      <c r="D137" s="140"/>
      <c r="E137" s="140"/>
      <c r="F137" s="54"/>
      <c r="G137" s="256"/>
      <c r="H137" s="257"/>
      <c r="I137" s="257"/>
    </row>
    <row r="138" ht="14.25" hidden="1" customHeight="1">
      <c r="A138" s="73"/>
      <c r="B138" s="359"/>
      <c r="C138" s="140"/>
      <c r="D138" s="140"/>
      <c r="E138" s="140"/>
      <c r="F138" s="54"/>
      <c r="G138" s="256"/>
      <c r="H138" s="257"/>
      <c r="I138" s="257"/>
    </row>
    <row r="139" ht="14.25" hidden="1" customHeight="1">
      <c r="A139" s="73"/>
      <c r="B139" s="359"/>
      <c r="C139" s="268"/>
      <c r="D139" s="140"/>
      <c r="E139" s="140"/>
      <c r="F139" s="54"/>
      <c r="G139" s="256"/>
      <c r="H139" s="257"/>
      <c r="I139" s="257"/>
    </row>
    <row r="140" ht="14.25" hidden="1" customHeight="1">
      <c r="A140" s="73"/>
      <c r="B140" s="359"/>
      <c r="C140" s="268"/>
      <c r="D140" s="140"/>
      <c r="E140" s="140"/>
      <c r="F140" s="54"/>
      <c r="G140" s="256"/>
      <c r="H140" s="257"/>
      <c r="I140" s="257"/>
    </row>
    <row r="141" ht="14.25" hidden="1" customHeight="1">
      <c r="A141" s="73"/>
      <c r="B141" s="359"/>
      <c r="C141" s="140"/>
      <c r="D141" s="140"/>
      <c r="E141" s="140"/>
      <c r="F141" s="54"/>
      <c r="G141" s="256"/>
      <c r="H141" s="257"/>
      <c r="I141" s="257"/>
    </row>
    <row r="142" ht="14.25" hidden="1" customHeight="1">
      <c r="A142" s="73"/>
      <c r="B142" s="359"/>
      <c r="C142" s="140"/>
      <c r="D142" s="140"/>
      <c r="E142" s="140"/>
      <c r="F142" s="54"/>
      <c r="G142" s="256"/>
      <c r="H142" s="257"/>
      <c r="I142" s="257"/>
    </row>
    <row r="143" ht="14.25" hidden="1" customHeight="1">
      <c r="A143" s="73"/>
      <c r="B143" s="359"/>
      <c r="C143" s="140"/>
      <c r="D143" s="140"/>
      <c r="E143" s="140"/>
      <c r="F143" s="54"/>
      <c r="G143" s="256"/>
      <c r="H143" s="257"/>
      <c r="I143" s="257"/>
    </row>
    <row r="144" ht="14.25" hidden="1" customHeight="1">
      <c r="A144" s="73"/>
      <c r="B144" s="359"/>
      <c r="C144" s="140"/>
      <c r="D144" s="140"/>
      <c r="E144" s="140"/>
      <c r="F144" s="54"/>
      <c r="G144" s="256"/>
      <c r="H144" s="257"/>
      <c r="I144" s="257"/>
    </row>
    <row r="145" ht="14.25" customHeight="1">
      <c r="A145" s="73"/>
      <c r="B145" s="272" t="s">
        <v>210</v>
      </c>
      <c r="C145" s="2"/>
      <c r="D145" s="2"/>
      <c r="E145" s="2"/>
      <c r="F145" s="2"/>
      <c r="G145" s="3"/>
      <c r="H145" s="274"/>
      <c r="I145" s="274">
        <f>SUM(I129:I144)</f>
        <v>0</v>
      </c>
    </row>
    <row r="146" ht="14.25" customHeight="1">
      <c r="A146" s="73"/>
      <c r="B146" s="275"/>
      <c r="C146" s="73"/>
      <c r="D146" s="73"/>
      <c r="E146" s="73"/>
      <c r="F146" s="72"/>
    </row>
    <row r="147" ht="14.25" customHeight="1">
      <c r="A147" s="73"/>
      <c r="B147" s="275"/>
      <c r="C147" s="73"/>
    </row>
    <row r="148" ht="14.25" customHeight="1">
      <c r="A148" s="73"/>
      <c r="B148" s="73"/>
      <c r="C148" s="73"/>
      <c r="D148" s="386"/>
      <c r="E148" s="387" t="s">
        <v>634</v>
      </c>
      <c r="F148" s="3"/>
    </row>
    <row r="149" ht="14.25" customHeight="1">
      <c r="A149" s="73"/>
      <c r="B149" s="73"/>
      <c r="C149" s="73"/>
      <c r="D149" s="388"/>
      <c r="E149" s="194" t="s">
        <v>9</v>
      </c>
      <c r="F149" s="197">
        <f>C110</f>
        <v>41969.3</v>
      </c>
    </row>
    <row r="150" ht="14.25" customHeight="1">
      <c r="A150" s="73"/>
      <c r="B150" s="73"/>
      <c r="C150" s="73"/>
      <c r="D150" s="388"/>
      <c r="E150" s="194" t="s">
        <v>344</v>
      </c>
      <c r="F150" s="197">
        <f>C120+C119</f>
        <v>384745.72</v>
      </c>
    </row>
    <row r="151" ht="14.25" customHeight="1">
      <c r="A151" s="73"/>
      <c r="B151" s="73"/>
      <c r="C151" s="73"/>
      <c r="D151" s="389"/>
      <c r="E151" s="390" t="s">
        <v>92</v>
      </c>
      <c r="F151" s="391">
        <v>54000.22</v>
      </c>
    </row>
    <row r="152" ht="14.25" customHeight="1">
      <c r="A152" s="73"/>
      <c r="B152" s="73"/>
      <c r="C152" s="73"/>
      <c r="D152" s="389"/>
      <c r="E152" s="208" t="s">
        <v>210</v>
      </c>
      <c r="F152" s="200">
        <f>SUM(F149:F151)</f>
        <v>480715.24</v>
      </c>
    </row>
    <row r="153" ht="14.25" customHeight="1">
      <c r="A153" s="73"/>
      <c r="B153" s="73"/>
      <c r="C153" s="73"/>
      <c r="E153" s="12"/>
      <c r="F153" s="12"/>
    </row>
    <row r="154" ht="14.25" customHeight="1">
      <c r="A154" s="73"/>
      <c r="B154" s="73"/>
      <c r="C154" s="73"/>
      <c r="F154" s="20"/>
      <c r="L154" s="34">
        <f>SUM(L148:L153)</f>
        <v>0</v>
      </c>
    </row>
    <row r="155" ht="14.25" customHeight="1">
      <c r="A155" s="73"/>
      <c r="B155" s="73"/>
      <c r="C155" s="73"/>
      <c r="F155" s="20"/>
    </row>
    <row r="156" ht="14.25" customHeight="1">
      <c r="A156" s="73"/>
      <c r="B156" s="73"/>
      <c r="C156" s="73"/>
    </row>
    <row r="157" ht="14.25" customHeight="1">
      <c r="A157" s="73"/>
      <c r="B157" s="73"/>
      <c r="C157" s="73"/>
      <c r="D157" s="73"/>
      <c r="E157" s="73"/>
      <c r="F157" s="72"/>
    </row>
    <row r="158" ht="14.25" customHeight="1">
      <c r="A158" s="73"/>
      <c r="B158" s="73"/>
      <c r="C158" s="73"/>
      <c r="D158" s="73"/>
      <c r="E158" s="73"/>
      <c r="F158" s="72"/>
    </row>
    <row r="159" ht="14.25" customHeight="1">
      <c r="A159" s="73"/>
      <c r="B159" s="73"/>
      <c r="C159" s="73"/>
      <c r="D159" s="73"/>
      <c r="E159" s="73"/>
      <c r="F159" s="72"/>
    </row>
    <row r="160" ht="14.25" customHeight="1">
      <c r="A160" s="73"/>
      <c r="B160" s="73"/>
      <c r="C160" s="73"/>
      <c r="D160" s="73"/>
      <c r="E160" s="73"/>
      <c r="F160" s="72"/>
    </row>
    <row r="161" ht="14.25" customHeight="1">
      <c r="A161" s="73"/>
      <c r="B161" s="73"/>
      <c r="C161" s="73"/>
      <c r="D161" s="73"/>
      <c r="E161" s="73"/>
      <c r="F161" s="72"/>
    </row>
    <row r="162" ht="14.25" customHeight="1">
      <c r="A162" s="73"/>
      <c r="B162" s="73"/>
      <c r="C162" s="73"/>
      <c r="D162" s="73"/>
      <c r="E162" s="73"/>
      <c r="F162" s="72"/>
    </row>
    <row r="163" ht="14.25" customHeight="1">
      <c r="A163" s="73"/>
      <c r="B163" s="73"/>
      <c r="C163" s="73"/>
      <c r="D163" s="73"/>
      <c r="E163" s="73"/>
      <c r="F163" s="72"/>
    </row>
    <row r="164" ht="14.25" customHeight="1">
      <c r="A164" s="73"/>
      <c r="B164" s="73"/>
      <c r="C164" s="73"/>
      <c r="D164" s="73"/>
      <c r="E164" s="73"/>
      <c r="F164" s="72"/>
    </row>
    <row r="165" ht="14.25" customHeight="1">
      <c r="A165" s="73"/>
      <c r="B165" s="73"/>
      <c r="C165" s="73"/>
      <c r="D165" s="73"/>
      <c r="E165" s="73"/>
      <c r="F165" s="72"/>
    </row>
    <row r="166" ht="14.25" customHeight="1">
      <c r="A166" s="73"/>
      <c r="B166" s="73"/>
      <c r="C166" s="73"/>
      <c r="D166" s="73"/>
      <c r="E166" s="73"/>
      <c r="F166" s="72"/>
    </row>
    <row r="167" ht="14.25" customHeight="1">
      <c r="A167" s="73"/>
      <c r="B167" s="73"/>
      <c r="C167" s="73"/>
      <c r="D167" s="73"/>
      <c r="E167" s="73"/>
      <c r="F167" s="72"/>
    </row>
    <row r="168" ht="14.25" customHeight="1">
      <c r="A168" s="73"/>
      <c r="B168" s="73"/>
      <c r="C168" s="73"/>
      <c r="D168" s="73"/>
      <c r="E168" s="73"/>
      <c r="F168" s="72"/>
    </row>
    <row r="169" ht="14.25" customHeight="1">
      <c r="A169" s="73"/>
      <c r="B169" s="73"/>
      <c r="C169" s="73"/>
      <c r="D169" s="73"/>
      <c r="E169" s="73"/>
      <c r="F169" s="72"/>
    </row>
    <row r="170" ht="14.25" customHeight="1">
      <c r="A170" s="73"/>
      <c r="B170" s="73"/>
      <c r="C170" s="73"/>
      <c r="D170" s="73"/>
      <c r="E170" s="73"/>
      <c r="F170" s="72"/>
    </row>
    <row r="171" ht="14.25" customHeight="1">
      <c r="A171" s="73"/>
      <c r="B171" s="321" t="s">
        <v>547</v>
      </c>
      <c r="C171" s="322"/>
      <c r="D171" s="322"/>
      <c r="E171" s="322"/>
      <c r="F171" s="322"/>
      <c r="G171" s="323"/>
    </row>
    <row r="172" ht="14.25" customHeight="1">
      <c r="A172" s="73"/>
      <c r="B172" s="324"/>
      <c r="C172" s="325"/>
      <c r="D172" s="325"/>
      <c r="E172" s="325"/>
      <c r="F172" s="325"/>
      <c r="G172" s="326"/>
    </row>
    <row r="173" ht="14.25" customHeight="1">
      <c r="A173" s="73"/>
      <c r="B173" s="327" t="s">
        <v>479</v>
      </c>
      <c r="C173" s="78"/>
      <c r="D173" s="78"/>
      <c r="E173" s="78"/>
      <c r="F173" s="78"/>
      <c r="G173" s="79"/>
    </row>
    <row r="174" ht="14.25" customHeight="1">
      <c r="A174" s="73"/>
      <c r="B174" s="4" t="s">
        <v>2</v>
      </c>
      <c r="C174" s="5"/>
      <c r="D174" s="6" t="s">
        <v>3</v>
      </c>
      <c r="E174" s="6" t="s">
        <v>4</v>
      </c>
      <c r="F174" s="6" t="s">
        <v>5</v>
      </c>
      <c r="G174" s="328" t="s">
        <v>6</v>
      </c>
    </row>
    <row r="175" ht="14.25" customHeight="1">
      <c r="A175" s="73"/>
      <c r="B175" s="10"/>
      <c r="C175" s="11"/>
      <c r="D175" s="12"/>
      <c r="E175" s="12"/>
      <c r="F175" s="12"/>
      <c r="G175" s="88"/>
    </row>
    <row r="176" ht="14.25" customHeight="1">
      <c r="A176" s="73"/>
      <c r="B176" s="329">
        <v>1.0</v>
      </c>
      <c r="C176" s="15" t="s">
        <v>13</v>
      </c>
      <c r="D176" s="15" t="s">
        <v>14</v>
      </c>
      <c r="E176" s="16" t="s">
        <v>15</v>
      </c>
      <c r="F176" s="16" t="s">
        <v>16</v>
      </c>
      <c r="G176" s="330">
        <v>1200.0</v>
      </c>
    </row>
    <row r="177" ht="14.25" customHeight="1">
      <c r="A177" s="73"/>
      <c r="B177" s="329">
        <v>2.0</v>
      </c>
      <c r="C177" s="12"/>
      <c r="D177" s="12"/>
      <c r="E177" s="16" t="s">
        <v>17</v>
      </c>
      <c r="F177" s="16"/>
      <c r="G177" s="330">
        <v>500.0</v>
      </c>
    </row>
    <row r="178" ht="14.25" customHeight="1">
      <c r="A178" s="73"/>
      <c r="B178" s="52">
        <v>3.0</v>
      </c>
      <c r="C178" s="307" t="s">
        <v>18</v>
      </c>
      <c r="D178" s="307" t="s">
        <v>19</v>
      </c>
      <c r="E178" s="140" t="s">
        <v>20</v>
      </c>
      <c r="F178" s="140" t="s">
        <v>21</v>
      </c>
      <c r="G178" s="331">
        <v>2500.0</v>
      </c>
    </row>
    <row r="179" ht="14.25" customHeight="1">
      <c r="A179" s="73"/>
      <c r="B179" s="52">
        <v>4.0</v>
      </c>
      <c r="C179" s="12"/>
      <c r="D179" s="12"/>
      <c r="E179" s="140" t="s">
        <v>17</v>
      </c>
      <c r="F179" s="140"/>
      <c r="G179" s="331">
        <v>500.0</v>
      </c>
    </row>
    <row r="180" ht="14.25" customHeight="1">
      <c r="A180" s="73"/>
      <c r="B180" s="52">
        <v>5.0</v>
      </c>
      <c r="C180" s="140" t="s">
        <v>30</v>
      </c>
      <c r="D180" s="140" t="s">
        <v>19</v>
      </c>
      <c r="E180" s="140" t="s">
        <v>31</v>
      </c>
      <c r="F180" s="140" t="s">
        <v>32</v>
      </c>
      <c r="G180" s="331">
        <v>1500.0</v>
      </c>
      <c r="X180" s="20"/>
      <c r="Y180" s="20"/>
    </row>
    <row r="181" ht="14.25" customHeight="1">
      <c r="A181" s="73"/>
      <c r="B181" s="52">
        <v>6.0</v>
      </c>
      <c r="C181" s="140" t="s">
        <v>35</v>
      </c>
      <c r="D181" s="140" t="s">
        <v>19</v>
      </c>
      <c r="E181" s="140" t="s">
        <v>31</v>
      </c>
      <c r="F181" s="140" t="s">
        <v>36</v>
      </c>
      <c r="G181" s="331">
        <v>1500.0</v>
      </c>
    </row>
    <row r="182" ht="14.25" customHeight="1">
      <c r="A182" s="73"/>
      <c r="B182" s="52">
        <v>7.0</v>
      </c>
      <c r="C182" s="140" t="s">
        <v>39</v>
      </c>
      <c r="D182" s="140" t="s">
        <v>19</v>
      </c>
      <c r="E182" s="140"/>
      <c r="F182" s="140"/>
      <c r="G182" s="331">
        <v>1500.0</v>
      </c>
    </row>
    <row r="183" ht="14.25" customHeight="1">
      <c r="A183" s="73"/>
      <c r="B183" s="329">
        <v>8.0</v>
      </c>
      <c r="C183" s="16" t="s">
        <v>41</v>
      </c>
      <c r="D183" s="16" t="s">
        <v>42</v>
      </c>
      <c r="E183" s="16" t="s">
        <v>43</v>
      </c>
      <c r="F183" s="16" t="s">
        <v>44</v>
      </c>
      <c r="G183" s="330">
        <v>700.0</v>
      </c>
    </row>
    <row r="184" ht="14.25" customHeight="1">
      <c r="A184" s="73"/>
      <c r="B184" s="329">
        <v>9.0</v>
      </c>
      <c r="C184" s="16" t="s">
        <v>45</v>
      </c>
      <c r="D184" s="16" t="s">
        <v>46</v>
      </c>
      <c r="E184" s="16" t="s">
        <v>47</v>
      </c>
      <c r="F184" s="16" t="s">
        <v>48</v>
      </c>
      <c r="G184" s="330">
        <v>1500.0</v>
      </c>
    </row>
    <row r="185" ht="14.25" customHeight="1">
      <c r="A185" s="73"/>
      <c r="B185" s="52">
        <v>10.0</v>
      </c>
      <c r="C185" s="307" t="s">
        <v>50</v>
      </c>
      <c r="D185" s="140" t="s">
        <v>51</v>
      </c>
      <c r="E185" s="140" t="s">
        <v>52</v>
      </c>
      <c r="F185" s="140" t="s">
        <v>53</v>
      </c>
      <c r="G185" s="331">
        <v>1500.0</v>
      </c>
    </row>
    <row r="186" ht="14.25" customHeight="1">
      <c r="A186" s="73"/>
      <c r="B186" s="52">
        <v>11.0</v>
      </c>
      <c r="C186" s="12"/>
      <c r="D186" s="140" t="s">
        <v>54</v>
      </c>
      <c r="E186" s="140" t="s">
        <v>17</v>
      </c>
      <c r="F186" s="140"/>
      <c r="G186" s="54">
        <v>500.0</v>
      </c>
    </row>
    <row r="187" ht="14.25" customHeight="1">
      <c r="A187" s="73"/>
      <c r="B187" s="52">
        <v>12.0</v>
      </c>
      <c r="C187" s="140" t="s">
        <v>57</v>
      </c>
      <c r="D187" s="140" t="s">
        <v>51</v>
      </c>
      <c r="E187" s="140" t="s">
        <v>58</v>
      </c>
      <c r="F187" s="140" t="s">
        <v>59</v>
      </c>
      <c r="G187" s="54">
        <v>1500.0</v>
      </c>
    </row>
    <row r="188" ht="14.25" customHeight="1">
      <c r="A188" s="73"/>
      <c r="B188" s="329">
        <v>13.0</v>
      </c>
      <c r="C188" s="15" t="s">
        <v>61</v>
      </c>
      <c r="D188" s="16" t="s">
        <v>63</v>
      </c>
      <c r="E188" s="16" t="s">
        <v>65</v>
      </c>
      <c r="F188" s="16" t="s">
        <v>66</v>
      </c>
      <c r="G188" s="17">
        <v>2500.0</v>
      </c>
    </row>
    <row r="189" ht="14.25" customHeight="1">
      <c r="A189" s="73"/>
      <c r="B189" s="329">
        <v>14.0</v>
      </c>
      <c r="C189" s="12"/>
      <c r="D189" s="16" t="s">
        <v>63</v>
      </c>
      <c r="E189" s="16" t="s">
        <v>17</v>
      </c>
      <c r="F189" s="16"/>
      <c r="G189" s="17">
        <v>300.0</v>
      </c>
    </row>
    <row r="190" ht="14.25" customHeight="1">
      <c r="A190" s="73"/>
      <c r="B190" s="329">
        <v>15.0</v>
      </c>
      <c r="C190" s="16" t="s">
        <v>68</v>
      </c>
      <c r="D190" s="16" t="s">
        <v>63</v>
      </c>
      <c r="E190" s="16" t="s">
        <v>69</v>
      </c>
      <c r="F190" s="16" t="s">
        <v>70</v>
      </c>
      <c r="G190" s="17">
        <v>2500.0</v>
      </c>
    </row>
    <row r="191" ht="14.25" customHeight="1">
      <c r="A191" s="73"/>
      <c r="B191" s="329">
        <v>16.0</v>
      </c>
      <c r="C191" s="16" t="s">
        <v>71</v>
      </c>
      <c r="D191" s="16" t="s">
        <v>63</v>
      </c>
      <c r="E191" s="16" t="s">
        <v>58</v>
      </c>
      <c r="F191" s="16" t="s">
        <v>72</v>
      </c>
      <c r="G191" s="17">
        <v>4000.0</v>
      </c>
    </row>
    <row r="192" ht="14.25" customHeight="1">
      <c r="A192" s="73"/>
      <c r="B192" s="52">
        <v>17.0</v>
      </c>
      <c r="C192" s="307" t="s">
        <v>74</v>
      </c>
      <c r="D192" s="307" t="s">
        <v>75</v>
      </c>
      <c r="E192" s="140" t="s">
        <v>65</v>
      </c>
      <c r="F192" s="140" t="s">
        <v>76</v>
      </c>
      <c r="G192" s="54">
        <v>2500.0</v>
      </c>
    </row>
    <row r="193" ht="14.25" customHeight="1">
      <c r="A193" s="73"/>
      <c r="B193" s="52">
        <v>18.0</v>
      </c>
      <c r="C193" s="44"/>
      <c r="D193" s="44"/>
      <c r="E193" s="140" t="s">
        <v>77</v>
      </c>
      <c r="F193" s="140"/>
      <c r="G193" s="184">
        <v>1000.0</v>
      </c>
    </row>
    <row r="194" ht="14.25" customHeight="1">
      <c r="A194" s="73"/>
      <c r="B194" s="52">
        <v>19.0</v>
      </c>
      <c r="C194" s="44"/>
      <c r="D194" s="44"/>
      <c r="E194" s="140" t="s">
        <v>78</v>
      </c>
      <c r="F194" s="140"/>
      <c r="G194" s="184"/>
    </row>
    <row r="195" ht="14.25" customHeight="1">
      <c r="A195" s="73"/>
      <c r="B195" s="52">
        <v>20.0</v>
      </c>
      <c r="C195" s="12"/>
      <c r="D195" s="12"/>
      <c r="E195" s="140" t="s">
        <v>81</v>
      </c>
      <c r="F195" s="140"/>
      <c r="G195" s="184"/>
    </row>
    <row r="196" ht="14.25" customHeight="1">
      <c r="A196" s="73"/>
      <c r="B196" s="52">
        <v>21.0</v>
      </c>
      <c r="C196" s="140" t="s">
        <v>82</v>
      </c>
      <c r="D196" s="140" t="s">
        <v>75</v>
      </c>
      <c r="E196" s="140" t="s">
        <v>65</v>
      </c>
      <c r="F196" s="140" t="s">
        <v>83</v>
      </c>
      <c r="G196" s="54">
        <v>1500.0</v>
      </c>
    </row>
    <row r="197" ht="14.25" customHeight="1">
      <c r="A197" s="73"/>
      <c r="B197" s="52">
        <v>22.0</v>
      </c>
      <c r="C197" s="140" t="s">
        <v>89</v>
      </c>
      <c r="D197" s="140" t="s">
        <v>75</v>
      </c>
      <c r="E197" s="140" t="s">
        <v>58</v>
      </c>
      <c r="F197" s="140" t="s">
        <v>90</v>
      </c>
      <c r="G197" s="54">
        <v>3000.0</v>
      </c>
    </row>
    <row r="198" ht="14.25" customHeight="1">
      <c r="A198" s="73"/>
      <c r="B198" s="52">
        <v>23.0</v>
      </c>
      <c r="C198" s="140" t="s">
        <v>93</v>
      </c>
      <c r="D198" s="140" t="s">
        <v>75</v>
      </c>
      <c r="E198" s="140" t="s">
        <v>69</v>
      </c>
      <c r="F198" s="140" t="s">
        <v>94</v>
      </c>
      <c r="G198" s="54">
        <v>2500.0</v>
      </c>
    </row>
    <row r="199" ht="14.25" customHeight="1">
      <c r="A199" s="73"/>
      <c r="B199" s="329">
        <v>24.0</v>
      </c>
      <c r="C199" s="16" t="s">
        <v>96</v>
      </c>
      <c r="D199" s="15" t="s">
        <v>98</v>
      </c>
      <c r="E199" s="16" t="s">
        <v>99</v>
      </c>
      <c r="F199" s="16" t="s">
        <v>100</v>
      </c>
      <c r="G199" s="17">
        <v>2500.0</v>
      </c>
    </row>
    <row r="200" ht="14.25" customHeight="1">
      <c r="A200" s="73"/>
      <c r="B200" s="329">
        <v>25.0</v>
      </c>
      <c r="C200" s="16" t="s">
        <v>102</v>
      </c>
      <c r="D200" s="12"/>
      <c r="E200" s="16" t="s">
        <v>17</v>
      </c>
      <c r="F200" s="16"/>
      <c r="G200" s="17">
        <v>1000.0</v>
      </c>
    </row>
    <row r="201" ht="14.25" customHeight="1">
      <c r="A201" s="73"/>
      <c r="B201" s="52">
        <v>26.0</v>
      </c>
      <c r="C201" s="140" t="s">
        <v>104</v>
      </c>
      <c r="D201" s="140" t="s">
        <v>105</v>
      </c>
      <c r="E201" s="140" t="s">
        <v>20</v>
      </c>
      <c r="F201" s="140" t="s">
        <v>106</v>
      </c>
      <c r="G201" s="54">
        <v>2500.0</v>
      </c>
    </row>
    <row r="202" ht="14.25" customHeight="1">
      <c r="A202" s="73"/>
      <c r="B202" s="52">
        <v>27.0</v>
      </c>
      <c r="C202" s="307" t="s">
        <v>107</v>
      </c>
      <c r="D202" s="307" t="s">
        <v>105</v>
      </c>
      <c r="E202" s="140" t="s">
        <v>109</v>
      </c>
      <c r="F202" s="140" t="s">
        <v>110</v>
      </c>
      <c r="G202" s="54">
        <v>1000.0</v>
      </c>
    </row>
    <row r="203" ht="14.25" customHeight="1">
      <c r="A203" s="73"/>
      <c r="B203" s="52">
        <v>28.0</v>
      </c>
      <c r="C203" s="44"/>
      <c r="D203" s="44"/>
      <c r="E203" s="140" t="s">
        <v>111</v>
      </c>
      <c r="F203" s="140"/>
      <c r="G203" s="54">
        <v>500.0</v>
      </c>
    </row>
    <row r="204" ht="14.25" customHeight="1">
      <c r="A204" s="73"/>
      <c r="B204" s="52">
        <v>29.0</v>
      </c>
      <c r="C204" s="12"/>
      <c r="D204" s="12"/>
      <c r="E204" s="140" t="s">
        <v>111</v>
      </c>
      <c r="F204" s="140"/>
      <c r="G204" s="54">
        <v>500.0</v>
      </c>
    </row>
    <row r="205" ht="14.25" customHeight="1">
      <c r="A205" s="73"/>
      <c r="B205" s="52">
        <v>30.0</v>
      </c>
      <c r="C205" s="307" t="s">
        <v>114</v>
      </c>
      <c r="D205" s="140"/>
      <c r="E205" s="140"/>
      <c r="F205" s="140" t="s">
        <v>115</v>
      </c>
      <c r="G205" s="54">
        <v>800.0</v>
      </c>
    </row>
    <row r="206" ht="14.25" customHeight="1">
      <c r="A206" s="73"/>
      <c r="B206" s="52">
        <v>31.0</v>
      </c>
      <c r="C206" s="12"/>
      <c r="D206" s="140"/>
      <c r="E206" s="140" t="s">
        <v>17</v>
      </c>
      <c r="F206" s="140"/>
      <c r="G206" s="54">
        <v>500.0</v>
      </c>
    </row>
    <row r="207" ht="14.25" customHeight="1">
      <c r="A207" s="73"/>
      <c r="B207" s="52">
        <v>32.0</v>
      </c>
      <c r="C207" s="363" t="s">
        <v>135</v>
      </c>
      <c r="D207" s="140" t="s">
        <v>136</v>
      </c>
      <c r="E207" s="140"/>
      <c r="F207" s="140" t="s">
        <v>137</v>
      </c>
      <c r="G207" s="54">
        <v>1500.0</v>
      </c>
    </row>
    <row r="208" ht="14.25" customHeight="1">
      <c r="A208" s="73"/>
      <c r="B208" s="52">
        <v>33.0</v>
      </c>
      <c r="C208" s="363" t="s">
        <v>142</v>
      </c>
      <c r="D208" s="140" t="s">
        <v>143</v>
      </c>
      <c r="E208" s="140" t="s">
        <v>20</v>
      </c>
      <c r="F208" s="140" t="s">
        <v>144</v>
      </c>
      <c r="G208" s="54">
        <v>1500.0</v>
      </c>
    </row>
    <row r="209" ht="14.25" customHeight="1">
      <c r="A209" s="73"/>
      <c r="B209" s="52">
        <v>34.0</v>
      </c>
      <c r="C209" s="363" t="s">
        <v>145</v>
      </c>
      <c r="D209" s="140" t="s">
        <v>146</v>
      </c>
      <c r="E209" s="140" t="s">
        <v>43</v>
      </c>
      <c r="F209" s="140"/>
      <c r="G209" s="54">
        <v>700.0</v>
      </c>
    </row>
    <row r="210" ht="14.25" customHeight="1">
      <c r="A210" s="73"/>
      <c r="B210" s="52">
        <v>35.0</v>
      </c>
      <c r="C210" s="140" t="s">
        <v>118</v>
      </c>
      <c r="D210" s="140"/>
      <c r="E210" s="140" t="s">
        <v>119</v>
      </c>
      <c r="F210" s="140" t="s">
        <v>120</v>
      </c>
      <c r="G210" s="54">
        <v>3000.0</v>
      </c>
    </row>
    <row r="211" ht="14.25" customHeight="1">
      <c r="A211" s="73"/>
      <c r="B211" s="52">
        <v>36.0</v>
      </c>
      <c r="C211" s="363" t="s">
        <v>155</v>
      </c>
      <c r="D211" s="140"/>
      <c r="E211" s="140" t="s">
        <v>20</v>
      </c>
      <c r="F211" s="140" t="s">
        <v>156</v>
      </c>
      <c r="G211" s="54">
        <v>1500.0</v>
      </c>
    </row>
    <row r="212" ht="14.25" customHeight="1">
      <c r="A212" s="73"/>
      <c r="B212" s="339" t="s">
        <v>122</v>
      </c>
      <c r="C212" s="2"/>
      <c r="D212" s="2"/>
      <c r="E212" s="2"/>
      <c r="F212" s="3"/>
      <c r="G212" s="340">
        <f>SUM(G176:G211)</f>
        <v>52200</v>
      </c>
    </row>
    <row r="213" ht="14.25" customHeight="1">
      <c r="A213" s="73"/>
      <c r="B213" s="341" t="s">
        <v>490</v>
      </c>
      <c r="C213" s="2"/>
      <c r="D213" s="2"/>
      <c r="E213" s="2"/>
      <c r="F213" s="2"/>
      <c r="G213" s="3"/>
    </row>
    <row r="214" ht="14.25" customHeight="1">
      <c r="A214" s="73"/>
      <c r="B214" s="4" t="s">
        <v>2</v>
      </c>
      <c r="C214" s="5"/>
      <c r="D214" s="6" t="s">
        <v>3</v>
      </c>
      <c r="E214" s="6" t="s">
        <v>4</v>
      </c>
      <c r="F214" s="6" t="s">
        <v>5</v>
      </c>
      <c r="G214" s="7" t="s">
        <v>134</v>
      </c>
    </row>
    <row r="215" ht="14.25" customHeight="1">
      <c r="A215" s="73"/>
      <c r="B215" s="10"/>
      <c r="C215" s="11"/>
      <c r="D215" s="12"/>
      <c r="E215" s="12"/>
      <c r="F215" s="12"/>
      <c r="G215" s="12"/>
    </row>
    <row r="216" ht="14.25" customHeight="1">
      <c r="A216" s="73"/>
      <c r="B216" s="52">
        <v>1.0</v>
      </c>
      <c r="C216" s="140" t="s">
        <v>138</v>
      </c>
      <c r="D216" s="140" t="s">
        <v>139</v>
      </c>
      <c r="E216" s="140" t="s">
        <v>140</v>
      </c>
      <c r="F216" s="140" t="s">
        <v>141</v>
      </c>
      <c r="G216" s="54">
        <v>2500.0</v>
      </c>
    </row>
    <row r="217" ht="14.25" customHeight="1">
      <c r="A217" s="73"/>
      <c r="B217" s="52">
        <v>2.0</v>
      </c>
      <c r="C217" s="140" t="s">
        <v>147</v>
      </c>
      <c r="D217" s="140" t="s">
        <v>139</v>
      </c>
      <c r="E217" s="140" t="s">
        <v>119</v>
      </c>
      <c r="F217" s="140" t="s">
        <v>148</v>
      </c>
      <c r="G217" s="54">
        <v>1500.0</v>
      </c>
    </row>
    <row r="218" ht="14.25" customHeight="1">
      <c r="A218" s="73"/>
      <c r="B218" s="343">
        <v>3.0</v>
      </c>
      <c r="C218" s="307" t="s">
        <v>157</v>
      </c>
      <c r="D218" s="307" t="s">
        <v>139</v>
      </c>
      <c r="E218" s="140" t="s">
        <v>158</v>
      </c>
      <c r="F218" s="140" t="s">
        <v>16</v>
      </c>
      <c r="G218" s="54">
        <v>2000.0</v>
      </c>
    </row>
    <row r="219" ht="14.25" customHeight="1">
      <c r="A219" s="73"/>
      <c r="B219" s="12"/>
      <c r="C219" s="12"/>
      <c r="D219" s="12"/>
      <c r="E219" s="140" t="s">
        <v>17</v>
      </c>
      <c r="F219" s="140"/>
      <c r="G219" s="54"/>
    </row>
    <row r="220" ht="14.25" customHeight="1">
      <c r="A220" s="73"/>
      <c r="B220" s="52">
        <v>4.0</v>
      </c>
      <c r="C220" s="140" t="s">
        <v>165</v>
      </c>
      <c r="D220" s="140" t="s">
        <v>166</v>
      </c>
      <c r="E220" s="140" t="s">
        <v>119</v>
      </c>
      <c r="F220" s="140" t="s">
        <v>167</v>
      </c>
      <c r="G220" s="54">
        <v>1500.0</v>
      </c>
    </row>
    <row r="221" ht="14.25" customHeight="1">
      <c r="A221" s="73"/>
      <c r="B221" s="52">
        <v>5.0</v>
      </c>
      <c r="C221" s="140" t="s">
        <v>168</v>
      </c>
      <c r="D221" s="140" t="s">
        <v>166</v>
      </c>
      <c r="E221" s="140" t="s">
        <v>119</v>
      </c>
      <c r="F221" s="140" t="s">
        <v>169</v>
      </c>
      <c r="G221" s="54">
        <v>1500.0</v>
      </c>
    </row>
    <row r="222" ht="14.25" customHeight="1">
      <c r="A222" s="73"/>
      <c r="B222" s="52">
        <v>6.0</v>
      </c>
      <c r="C222" s="140" t="s">
        <v>170</v>
      </c>
      <c r="D222" s="140" t="s">
        <v>171</v>
      </c>
      <c r="E222" s="140" t="s">
        <v>158</v>
      </c>
      <c r="F222" s="140" t="s">
        <v>172</v>
      </c>
      <c r="G222" s="54">
        <v>2000.0</v>
      </c>
    </row>
    <row r="223" ht="14.25" customHeight="1">
      <c r="A223" s="73"/>
      <c r="B223" s="339" t="s">
        <v>122</v>
      </c>
      <c r="C223" s="2"/>
      <c r="D223" s="2"/>
      <c r="E223" s="2"/>
      <c r="F223" s="3"/>
      <c r="G223" s="236">
        <f>SUM(G216:G222)</f>
        <v>11000</v>
      </c>
    </row>
    <row r="224" ht="14.25" customHeight="1">
      <c r="A224" s="73"/>
      <c r="B224" s="73"/>
      <c r="C224" s="73"/>
      <c r="D224" s="73"/>
      <c r="E224" s="73"/>
      <c r="F224" s="72"/>
    </row>
    <row r="225" ht="14.25" customHeight="1">
      <c r="A225" s="73"/>
      <c r="B225" s="73"/>
      <c r="C225" s="73"/>
      <c r="D225" s="73"/>
      <c r="E225" s="73"/>
      <c r="F225" s="72"/>
    </row>
    <row r="226" ht="14.25" customHeight="1">
      <c r="A226" s="73"/>
      <c r="B226" s="73"/>
      <c r="C226" s="73"/>
      <c r="D226" s="73"/>
      <c r="E226" s="73"/>
      <c r="F226" s="72"/>
    </row>
    <row r="227" ht="14.25" customHeight="1">
      <c r="A227" s="73"/>
      <c r="B227" s="73"/>
      <c r="C227" s="73"/>
      <c r="D227" s="73"/>
      <c r="E227" s="73"/>
      <c r="F227" s="72"/>
    </row>
    <row r="228" ht="14.25" customHeight="1">
      <c r="A228" s="73"/>
      <c r="B228" s="73"/>
      <c r="C228" s="73"/>
      <c r="D228" s="73"/>
      <c r="E228" s="73"/>
      <c r="F228" s="72"/>
    </row>
    <row r="229" ht="14.25" customHeight="1">
      <c r="A229" s="73"/>
      <c r="B229" s="73"/>
      <c r="C229" s="73"/>
      <c r="D229" s="73"/>
      <c r="E229" s="73"/>
      <c r="F229" s="72"/>
    </row>
    <row r="230" ht="14.25" customHeight="1">
      <c r="A230" s="73"/>
      <c r="B230" s="73"/>
      <c r="C230" s="73"/>
      <c r="D230" s="73"/>
      <c r="E230" s="73"/>
      <c r="F230" s="72"/>
    </row>
    <row r="231" ht="14.25" customHeight="1">
      <c r="A231" s="73"/>
      <c r="B231" s="73"/>
      <c r="C231" s="73"/>
      <c r="D231" s="73"/>
      <c r="E231" s="73"/>
      <c r="F231" s="72"/>
    </row>
    <row r="232" ht="14.25" customHeight="1">
      <c r="A232" s="73"/>
      <c r="B232" s="73"/>
      <c r="C232" s="73"/>
      <c r="D232" s="73"/>
      <c r="E232" s="73"/>
      <c r="F232" s="72"/>
    </row>
    <row r="233" ht="14.25" customHeight="1">
      <c r="A233" s="73"/>
      <c r="B233" s="73"/>
      <c r="C233" s="73"/>
      <c r="D233" s="73"/>
      <c r="E233" s="73"/>
      <c r="F233" s="72"/>
    </row>
    <row r="234" ht="14.25" customHeight="1">
      <c r="A234" s="73"/>
      <c r="B234" s="73"/>
      <c r="C234" s="73"/>
      <c r="D234" s="73"/>
      <c r="E234" s="73"/>
      <c r="F234" s="72"/>
    </row>
    <row r="235" ht="14.25" customHeight="1">
      <c r="A235" s="73"/>
      <c r="B235" s="73"/>
      <c r="C235" s="73"/>
      <c r="D235" s="73"/>
      <c r="E235" s="73"/>
      <c r="F235" s="72"/>
    </row>
    <row r="236" ht="14.25" customHeight="1">
      <c r="A236" s="73"/>
      <c r="B236" s="73"/>
      <c r="C236" s="73"/>
      <c r="D236" s="73"/>
      <c r="E236" s="73"/>
      <c r="F236" s="72"/>
    </row>
    <row r="237" ht="14.25" customHeight="1">
      <c r="A237" s="73"/>
      <c r="B237" s="73"/>
      <c r="C237" s="73"/>
      <c r="D237" s="73"/>
      <c r="E237" s="73"/>
      <c r="F237" s="72"/>
    </row>
    <row r="238" ht="14.25" customHeight="1">
      <c r="A238" s="73"/>
      <c r="B238" s="73"/>
      <c r="C238" s="73"/>
      <c r="D238" s="73"/>
      <c r="E238" s="73"/>
      <c r="F238" s="72"/>
    </row>
    <row r="239" ht="14.25" customHeight="1">
      <c r="A239" s="73"/>
      <c r="B239" s="73"/>
      <c r="C239" s="73"/>
      <c r="D239" s="73"/>
      <c r="E239" s="73"/>
      <c r="F239" s="72"/>
    </row>
    <row r="240" ht="14.25" customHeight="1">
      <c r="A240" s="73"/>
      <c r="B240" s="73"/>
      <c r="C240" s="73"/>
      <c r="D240" s="73"/>
      <c r="E240" s="73"/>
      <c r="F240" s="72"/>
    </row>
    <row r="241" ht="14.25" customHeight="1">
      <c r="A241" s="73"/>
      <c r="B241" s="73"/>
      <c r="C241" s="73"/>
      <c r="D241" s="73"/>
      <c r="E241" s="73"/>
      <c r="F241" s="72"/>
    </row>
    <row r="242" ht="14.25" customHeight="1">
      <c r="A242" s="73"/>
      <c r="B242" s="73"/>
      <c r="C242" s="73"/>
      <c r="D242" s="73"/>
      <c r="E242" s="73"/>
      <c r="F242" s="72"/>
    </row>
    <row r="243" ht="14.25" customHeight="1">
      <c r="A243" s="73"/>
      <c r="B243" s="73"/>
      <c r="C243" s="73"/>
      <c r="D243" s="73"/>
      <c r="E243" s="73"/>
      <c r="F243" s="72"/>
    </row>
    <row r="244" ht="14.25" customHeight="1">
      <c r="A244" s="73"/>
      <c r="B244" s="73"/>
      <c r="C244" s="73"/>
      <c r="D244" s="73"/>
      <c r="E244" s="73"/>
      <c r="F244" s="72"/>
    </row>
    <row r="245" ht="14.25" customHeight="1">
      <c r="A245" s="73"/>
      <c r="B245" s="73"/>
      <c r="C245" s="73"/>
      <c r="D245" s="73"/>
      <c r="E245" s="73"/>
      <c r="F245" s="72"/>
    </row>
    <row r="246" ht="14.25" customHeight="1">
      <c r="A246" s="73"/>
      <c r="B246" s="73"/>
      <c r="C246" s="73"/>
      <c r="D246" s="73"/>
      <c r="E246" s="73"/>
      <c r="F246" s="72"/>
    </row>
    <row r="247" ht="14.25" customHeight="1">
      <c r="A247" s="73"/>
      <c r="B247" s="73"/>
      <c r="C247" s="73"/>
      <c r="D247" s="73"/>
      <c r="E247" s="73"/>
      <c r="F247" s="72"/>
    </row>
    <row r="248" ht="14.25" customHeight="1">
      <c r="A248" s="73"/>
      <c r="B248" s="73"/>
      <c r="C248" s="73"/>
      <c r="D248" s="73"/>
      <c r="E248" s="73"/>
      <c r="F248" s="72"/>
    </row>
    <row r="249" ht="14.25" customHeight="1">
      <c r="A249" s="73"/>
      <c r="B249" s="73"/>
      <c r="C249" s="73"/>
      <c r="D249" s="73"/>
      <c r="E249" s="73"/>
      <c r="F249" s="72"/>
    </row>
    <row r="250" ht="14.25" customHeight="1">
      <c r="A250" s="73"/>
      <c r="B250" s="73"/>
      <c r="C250" s="73"/>
      <c r="D250" s="73"/>
      <c r="E250" s="73"/>
      <c r="F250" s="72"/>
    </row>
    <row r="251" ht="14.25" customHeight="1">
      <c r="A251" s="73"/>
      <c r="B251" s="73"/>
      <c r="C251" s="73"/>
      <c r="D251" s="73"/>
      <c r="E251" s="73"/>
      <c r="F251" s="72"/>
    </row>
    <row r="252" ht="14.25" customHeight="1">
      <c r="A252" s="73"/>
      <c r="B252" s="73"/>
      <c r="C252" s="73"/>
      <c r="D252" s="73"/>
      <c r="E252" s="73"/>
      <c r="F252" s="72"/>
    </row>
    <row r="253" ht="14.25" customHeight="1">
      <c r="A253" s="73"/>
      <c r="B253" s="73"/>
      <c r="C253" s="73"/>
      <c r="D253" s="73"/>
      <c r="E253" s="73"/>
      <c r="F253" s="72"/>
    </row>
    <row r="254" ht="14.25" customHeight="1">
      <c r="A254" s="73"/>
      <c r="B254" s="73"/>
      <c r="C254" s="73"/>
      <c r="D254" s="73"/>
      <c r="E254" s="73"/>
      <c r="F254" s="72"/>
    </row>
    <row r="255" ht="14.25" customHeight="1">
      <c r="A255" s="73"/>
      <c r="B255" s="73"/>
      <c r="C255" s="73"/>
      <c r="D255" s="73"/>
      <c r="E255" s="73"/>
      <c r="F255" s="72"/>
    </row>
    <row r="256" ht="14.25" customHeight="1">
      <c r="A256" s="73"/>
      <c r="B256" s="73"/>
      <c r="C256" s="73"/>
      <c r="D256" s="73"/>
      <c r="E256" s="73"/>
      <c r="F256" s="72"/>
    </row>
    <row r="257" ht="14.25" customHeight="1">
      <c r="A257" s="73"/>
      <c r="B257" s="73"/>
      <c r="C257" s="73"/>
      <c r="D257" s="73"/>
      <c r="E257" s="73"/>
      <c r="F257" s="72"/>
    </row>
    <row r="258" ht="14.25" customHeight="1">
      <c r="A258" s="73"/>
      <c r="B258" s="73"/>
      <c r="C258" s="73"/>
      <c r="D258" s="73"/>
      <c r="E258" s="73"/>
      <c r="F258" s="72"/>
    </row>
    <row r="259" ht="14.25" customHeight="1">
      <c r="A259" s="73"/>
      <c r="B259" s="73"/>
      <c r="C259" s="73"/>
      <c r="D259" s="73"/>
      <c r="E259" s="73"/>
      <c r="F259" s="72"/>
    </row>
    <row r="260" ht="14.25" customHeight="1">
      <c r="A260" s="73"/>
      <c r="B260" s="73"/>
      <c r="C260" s="73"/>
      <c r="D260" s="73"/>
      <c r="E260" s="73"/>
      <c r="F260" s="72"/>
    </row>
    <row r="261" ht="14.25" customHeight="1">
      <c r="A261" s="73"/>
      <c r="B261" s="73"/>
      <c r="C261" s="73"/>
      <c r="D261" s="73"/>
      <c r="E261" s="73"/>
      <c r="F261" s="72"/>
    </row>
    <row r="262" ht="14.25" customHeight="1">
      <c r="A262" s="73"/>
      <c r="B262" s="73"/>
      <c r="C262" s="73"/>
      <c r="D262" s="73"/>
      <c r="E262" s="73"/>
      <c r="F262" s="72"/>
    </row>
    <row r="263" ht="14.25" customHeight="1">
      <c r="A263" s="73"/>
      <c r="B263" s="73"/>
      <c r="C263" s="73"/>
      <c r="D263" s="73"/>
      <c r="E263" s="73"/>
      <c r="F263" s="72"/>
    </row>
    <row r="264" ht="14.25" customHeight="1">
      <c r="A264" s="73"/>
      <c r="B264" s="73"/>
      <c r="C264" s="73"/>
      <c r="D264" s="73"/>
      <c r="E264" s="73"/>
      <c r="F264" s="72"/>
    </row>
    <row r="265" ht="14.25" customHeight="1">
      <c r="A265" s="73"/>
      <c r="B265" s="73"/>
      <c r="C265" s="73"/>
      <c r="D265" s="73"/>
      <c r="E265" s="73"/>
      <c r="F265" s="72"/>
    </row>
    <row r="266" ht="14.25" customHeight="1">
      <c r="A266" s="73"/>
      <c r="B266" s="73"/>
      <c r="C266" s="73"/>
      <c r="D266" s="73"/>
      <c r="E266" s="73"/>
      <c r="F266" s="72"/>
    </row>
    <row r="267" ht="14.25" customHeight="1">
      <c r="A267" s="73"/>
      <c r="B267" s="73"/>
      <c r="C267" s="73"/>
      <c r="D267" s="73"/>
      <c r="E267" s="73"/>
      <c r="F267" s="72"/>
    </row>
    <row r="268" ht="14.25" customHeight="1">
      <c r="A268" s="73"/>
      <c r="B268" s="73"/>
      <c r="C268" s="73"/>
      <c r="D268" s="73"/>
      <c r="E268" s="73"/>
      <c r="F268" s="72"/>
    </row>
    <row r="269" ht="14.25" customHeight="1">
      <c r="A269" s="73"/>
      <c r="B269" s="73"/>
      <c r="C269" s="73"/>
      <c r="D269" s="73"/>
      <c r="E269" s="73"/>
      <c r="F269" s="72"/>
    </row>
    <row r="270" ht="14.25" customHeight="1">
      <c r="A270" s="73"/>
      <c r="B270" s="73"/>
      <c r="C270" s="73"/>
      <c r="D270" s="73"/>
      <c r="E270" s="73"/>
      <c r="F270" s="72"/>
    </row>
    <row r="271" ht="14.25" customHeight="1">
      <c r="A271" s="73"/>
      <c r="B271" s="73"/>
      <c r="C271" s="73"/>
      <c r="D271" s="73"/>
      <c r="E271" s="73"/>
      <c r="F271" s="72"/>
    </row>
    <row r="272" ht="14.25" customHeight="1">
      <c r="A272" s="73"/>
      <c r="B272" s="73"/>
      <c r="C272" s="73"/>
      <c r="D272" s="73"/>
      <c r="E272" s="73"/>
      <c r="F272" s="72"/>
    </row>
    <row r="273" ht="14.25" customHeight="1">
      <c r="A273" s="73"/>
      <c r="B273" s="73"/>
      <c r="C273" s="73"/>
      <c r="D273" s="73"/>
      <c r="E273" s="73"/>
      <c r="F273" s="72"/>
    </row>
    <row r="274" ht="14.25" customHeight="1">
      <c r="A274" s="73"/>
      <c r="B274" s="73"/>
      <c r="C274" s="73"/>
      <c r="D274" s="73"/>
      <c r="E274" s="73"/>
      <c r="F274" s="72"/>
    </row>
    <row r="275" ht="14.25" customHeight="1">
      <c r="A275" s="73"/>
      <c r="B275" s="73"/>
      <c r="C275" s="73"/>
      <c r="D275" s="73"/>
      <c r="E275" s="73"/>
      <c r="F275" s="72"/>
    </row>
    <row r="276" ht="14.25" customHeight="1">
      <c r="A276" s="73"/>
      <c r="B276" s="73"/>
      <c r="C276" s="73"/>
      <c r="D276" s="73"/>
      <c r="E276" s="73"/>
      <c r="F276" s="72"/>
    </row>
    <row r="277" ht="14.25" customHeight="1">
      <c r="A277" s="73"/>
      <c r="B277" s="73"/>
      <c r="C277" s="73"/>
      <c r="D277" s="73"/>
      <c r="E277" s="73"/>
      <c r="F277" s="72"/>
    </row>
    <row r="278" ht="14.25" customHeight="1">
      <c r="A278" s="73"/>
      <c r="B278" s="73"/>
      <c r="C278" s="73"/>
      <c r="D278" s="73"/>
      <c r="E278" s="73"/>
      <c r="F278" s="72"/>
    </row>
    <row r="279" ht="14.25" customHeight="1">
      <c r="A279" s="73"/>
      <c r="B279" s="73"/>
      <c r="C279" s="73"/>
      <c r="D279" s="73"/>
      <c r="E279" s="73"/>
      <c r="F279" s="72"/>
    </row>
    <row r="280" ht="14.25" customHeight="1">
      <c r="A280" s="73"/>
      <c r="B280" s="73"/>
      <c r="C280" s="73"/>
      <c r="D280" s="73"/>
      <c r="E280" s="73"/>
      <c r="F280" s="72"/>
    </row>
    <row r="281" ht="14.25" customHeight="1">
      <c r="A281" s="73"/>
      <c r="B281" s="73"/>
      <c r="C281" s="73"/>
      <c r="D281" s="73"/>
      <c r="E281" s="73"/>
      <c r="F281" s="72"/>
    </row>
    <row r="282" ht="14.25" customHeight="1">
      <c r="A282" s="73"/>
      <c r="B282" s="73"/>
      <c r="C282" s="73"/>
      <c r="D282" s="73"/>
      <c r="E282" s="73"/>
      <c r="F282" s="72"/>
    </row>
    <row r="283" ht="14.25" customHeight="1">
      <c r="A283" s="73"/>
      <c r="B283" s="73"/>
      <c r="C283" s="73"/>
      <c r="D283" s="73"/>
      <c r="E283" s="73"/>
      <c r="F283" s="72"/>
    </row>
    <row r="284" ht="14.25" customHeight="1">
      <c r="A284" s="73"/>
      <c r="B284" s="73"/>
      <c r="C284" s="73"/>
      <c r="D284" s="73"/>
      <c r="E284" s="73"/>
      <c r="F284" s="72"/>
    </row>
    <row r="285" ht="14.25" customHeight="1">
      <c r="A285" s="73"/>
      <c r="B285" s="73"/>
      <c r="C285" s="73"/>
      <c r="D285" s="73"/>
      <c r="E285" s="73"/>
      <c r="F285" s="72"/>
    </row>
    <row r="286" ht="14.25" customHeight="1">
      <c r="A286" s="73"/>
      <c r="B286" s="73"/>
      <c r="C286" s="73"/>
      <c r="D286" s="73"/>
      <c r="E286" s="73"/>
      <c r="F286" s="72"/>
    </row>
    <row r="287" ht="14.25" customHeight="1">
      <c r="A287" s="73"/>
      <c r="B287" s="73"/>
      <c r="C287" s="73"/>
      <c r="D287" s="73"/>
      <c r="E287" s="73"/>
      <c r="F287" s="72"/>
    </row>
    <row r="288" ht="14.25" customHeight="1">
      <c r="A288" s="73"/>
      <c r="B288" s="73"/>
      <c r="C288" s="73"/>
      <c r="D288" s="73"/>
      <c r="E288" s="73"/>
      <c r="F288" s="72"/>
    </row>
    <row r="289" ht="14.25" customHeight="1">
      <c r="A289" s="73"/>
      <c r="B289" s="73"/>
      <c r="C289" s="73"/>
      <c r="D289" s="73"/>
      <c r="E289" s="73"/>
      <c r="F289" s="72"/>
    </row>
    <row r="290" ht="14.25" customHeight="1">
      <c r="A290" s="73"/>
      <c r="B290" s="73"/>
      <c r="C290" s="73"/>
      <c r="D290" s="73"/>
      <c r="E290" s="73"/>
      <c r="F290" s="72"/>
    </row>
    <row r="291" ht="14.25" customHeight="1">
      <c r="A291" s="73"/>
      <c r="B291" s="73"/>
      <c r="C291" s="73"/>
      <c r="D291" s="73"/>
      <c r="E291" s="73"/>
      <c r="F291" s="72"/>
    </row>
    <row r="292" ht="14.25" customHeight="1">
      <c r="A292" s="73"/>
      <c r="B292" s="73"/>
      <c r="C292" s="73"/>
      <c r="D292" s="73"/>
      <c r="E292" s="73"/>
      <c r="F292" s="72"/>
    </row>
    <row r="293" ht="14.25" customHeight="1">
      <c r="A293" s="73"/>
      <c r="B293" s="73"/>
      <c r="C293" s="73"/>
      <c r="D293" s="73"/>
      <c r="E293" s="73"/>
      <c r="F293" s="72"/>
    </row>
    <row r="294" ht="14.25" customHeight="1">
      <c r="A294" s="73"/>
      <c r="B294" s="73"/>
      <c r="C294" s="73"/>
      <c r="D294" s="73"/>
      <c r="E294" s="73"/>
      <c r="F294" s="72"/>
    </row>
    <row r="295" ht="14.25" customHeight="1">
      <c r="A295" s="73"/>
      <c r="B295" s="73"/>
      <c r="C295" s="73"/>
      <c r="D295" s="73"/>
      <c r="E295" s="73"/>
      <c r="F295" s="72"/>
    </row>
    <row r="296" ht="14.25" customHeight="1">
      <c r="A296" s="73"/>
      <c r="B296" s="73"/>
      <c r="C296" s="73"/>
      <c r="D296" s="73"/>
      <c r="E296" s="73"/>
      <c r="F296" s="72"/>
    </row>
    <row r="297" ht="14.25" customHeight="1">
      <c r="A297" s="73"/>
      <c r="B297" s="73"/>
      <c r="C297" s="73"/>
      <c r="D297" s="73"/>
      <c r="E297" s="73"/>
      <c r="F297" s="72"/>
    </row>
    <row r="298" ht="14.25" customHeight="1">
      <c r="A298" s="73"/>
      <c r="B298" s="73"/>
      <c r="C298" s="73"/>
      <c r="D298" s="73"/>
      <c r="E298" s="73"/>
      <c r="F298" s="72"/>
    </row>
    <row r="299" ht="14.25" customHeight="1">
      <c r="A299" s="73"/>
      <c r="B299" s="73"/>
      <c r="C299" s="73"/>
      <c r="D299" s="73"/>
      <c r="E299" s="73"/>
      <c r="F299" s="72"/>
    </row>
    <row r="300" ht="14.25" customHeight="1">
      <c r="A300" s="73"/>
      <c r="B300" s="73"/>
      <c r="C300" s="73"/>
      <c r="D300" s="73"/>
      <c r="E300" s="73"/>
      <c r="F300" s="72"/>
    </row>
    <row r="301" ht="14.25" customHeight="1">
      <c r="A301" s="73"/>
      <c r="B301" s="73"/>
      <c r="C301" s="73"/>
      <c r="D301" s="73"/>
      <c r="E301" s="73"/>
      <c r="F301" s="72"/>
    </row>
    <row r="302" ht="14.25" customHeight="1">
      <c r="A302" s="73"/>
      <c r="B302" s="73"/>
      <c r="C302" s="73"/>
      <c r="D302" s="73"/>
      <c r="E302" s="73"/>
      <c r="F302" s="72"/>
    </row>
    <row r="303" ht="14.25" customHeight="1">
      <c r="A303" s="73"/>
      <c r="B303" s="73"/>
      <c r="C303" s="73"/>
      <c r="D303" s="73"/>
      <c r="E303" s="73"/>
      <c r="F303" s="72"/>
    </row>
    <row r="304" ht="14.25" customHeight="1">
      <c r="A304" s="73"/>
      <c r="B304" s="73"/>
      <c r="C304" s="73"/>
      <c r="D304" s="73"/>
      <c r="E304" s="73"/>
      <c r="F304" s="72"/>
    </row>
    <row r="305" ht="14.25" customHeight="1">
      <c r="A305" s="73"/>
      <c r="B305" s="73"/>
      <c r="C305" s="73"/>
      <c r="D305" s="73"/>
      <c r="E305" s="73"/>
      <c r="F305" s="72"/>
    </row>
    <row r="306" ht="14.25" customHeight="1">
      <c r="A306" s="73"/>
      <c r="B306" s="73"/>
      <c r="C306" s="73"/>
      <c r="D306" s="73"/>
      <c r="E306" s="73"/>
      <c r="F306" s="72"/>
    </row>
    <row r="307" ht="14.25" customHeight="1">
      <c r="A307" s="73"/>
      <c r="B307" s="73"/>
      <c r="C307" s="73"/>
      <c r="D307" s="73"/>
      <c r="E307" s="73"/>
      <c r="F307" s="72"/>
    </row>
    <row r="308" ht="14.25" customHeight="1">
      <c r="A308" s="73"/>
      <c r="B308" s="73"/>
      <c r="C308" s="73"/>
      <c r="D308" s="73"/>
      <c r="E308" s="73"/>
      <c r="F308" s="72"/>
    </row>
    <row r="309" ht="14.25" customHeight="1">
      <c r="A309" s="73"/>
      <c r="B309" s="73"/>
      <c r="C309" s="73"/>
      <c r="D309" s="73"/>
      <c r="E309" s="73"/>
      <c r="F309" s="72"/>
    </row>
    <row r="310" ht="14.25" customHeight="1">
      <c r="A310" s="73"/>
      <c r="B310" s="73"/>
      <c r="C310" s="73"/>
      <c r="D310" s="73"/>
      <c r="E310" s="73"/>
      <c r="F310" s="72"/>
    </row>
    <row r="311" ht="14.25" customHeight="1">
      <c r="A311" s="73"/>
      <c r="B311" s="73"/>
      <c r="C311" s="73"/>
      <c r="D311" s="73"/>
      <c r="E311" s="73"/>
      <c r="F311" s="72"/>
    </row>
    <row r="312" ht="14.25" customHeight="1">
      <c r="A312" s="73"/>
      <c r="B312" s="73"/>
      <c r="C312" s="73"/>
      <c r="D312" s="73"/>
      <c r="E312" s="73"/>
      <c r="F312" s="72"/>
    </row>
    <row r="313" ht="14.25" customHeight="1">
      <c r="A313" s="73"/>
      <c r="B313" s="73"/>
      <c r="C313" s="73"/>
      <c r="D313" s="73"/>
      <c r="E313" s="73"/>
      <c r="F313" s="72"/>
    </row>
    <row r="314" ht="14.25" customHeight="1">
      <c r="A314" s="73"/>
      <c r="B314" s="73"/>
      <c r="C314" s="73"/>
      <c r="D314" s="73"/>
      <c r="E314" s="73"/>
      <c r="F314" s="72"/>
    </row>
    <row r="315" ht="14.25" customHeight="1">
      <c r="A315" s="73"/>
      <c r="B315" s="73"/>
      <c r="C315" s="73"/>
      <c r="D315" s="73"/>
      <c r="E315" s="73"/>
      <c r="F315" s="72"/>
    </row>
    <row r="316" ht="14.25" customHeight="1">
      <c r="A316" s="73"/>
      <c r="B316" s="73"/>
      <c r="C316" s="73"/>
      <c r="D316" s="73"/>
      <c r="E316" s="73"/>
      <c r="F316" s="72"/>
    </row>
    <row r="317" ht="14.25" customHeight="1">
      <c r="A317" s="73"/>
      <c r="B317" s="73"/>
      <c r="C317" s="73"/>
      <c r="D317" s="73"/>
      <c r="E317" s="73"/>
      <c r="F317" s="72"/>
    </row>
    <row r="318" ht="14.25" customHeight="1">
      <c r="A318" s="73"/>
      <c r="B318" s="73"/>
      <c r="C318" s="73"/>
      <c r="D318" s="73"/>
      <c r="E318" s="73"/>
      <c r="F318" s="72"/>
    </row>
    <row r="319" ht="14.25" customHeight="1">
      <c r="A319" s="73"/>
      <c r="B319" s="73"/>
      <c r="C319" s="73"/>
      <c r="D319" s="73"/>
      <c r="E319" s="73"/>
      <c r="F319" s="72"/>
    </row>
    <row r="320" ht="14.25" customHeight="1">
      <c r="A320" s="73"/>
      <c r="B320" s="73"/>
      <c r="C320" s="73"/>
      <c r="D320" s="73"/>
      <c r="E320" s="73"/>
      <c r="F320" s="72"/>
    </row>
    <row r="321" ht="14.25" customHeight="1">
      <c r="A321" s="73"/>
      <c r="B321" s="73"/>
      <c r="C321" s="73"/>
      <c r="D321" s="73"/>
      <c r="E321" s="73"/>
      <c r="F321" s="72"/>
    </row>
    <row r="322" ht="14.25" customHeight="1">
      <c r="A322" s="73"/>
      <c r="B322" s="73"/>
      <c r="C322" s="73"/>
      <c r="D322" s="73"/>
      <c r="E322" s="73"/>
      <c r="F322" s="72"/>
    </row>
    <row r="323" ht="14.25" customHeight="1">
      <c r="A323" s="73"/>
      <c r="B323" s="73"/>
      <c r="C323" s="73"/>
      <c r="D323" s="73"/>
      <c r="E323" s="73"/>
      <c r="F323" s="72"/>
    </row>
    <row r="324" ht="14.25" customHeight="1">
      <c r="A324" s="73"/>
      <c r="B324" s="73"/>
      <c r="C324" s="73"/>
      <c r="D324" s="73"/>
      <c r="E324" s="73"/>
      <c r="F324" s="72"/>
    </row>
    <row r="325" ht="14.25" customHeight="1">
      <c r="A325" s="73"/>
      <c r="B325" s="73"/>
      <c r="C325" s="73"/>
      <c r="D325" s="73"/>
      <c r="E325" s="73"/>
      <c r="F325" s="72"/>
    </row>
    <row r="326" ht="14.25" customHeight="1">
      <c r="A326" s="73"/>
      <c r="B326" s="73"/>
      <c r="C326" s="73"/>
      <c r="D326" s="73"/>
      <c r="E326" s="73"/>
      <c r="F326" s="72"/>
    </row>
    <row r="327" ht="14.25" customHeight="1">
      <c r="A327" s="73"/>
      <c r="B327" s="73"/>
      <c r="C327" s="73"/>
      <c r="D327" s="73"/>
      <c r="E327" s="73"/>
      <c r="F327" s="72"/>
    </row>
    <row r="328" ht="14.25" customHeight="1">
      <c r="A328" s="73"/>
      <c r="B328" s="73"/>
      <c r="C328" s="73"/>
      <c r="D328" s="73"/>
      <c r="E328" s="73"/>
      <c r="F328" s="72"/>
    </row>
    <row r="329" ht="14.25" customHeight="1">
      <c r="A329" s="73"/>
      <c r="B329" s="73"/>
      <c r="C329" s="73"/>
      <c r="D329" s="73"/>
      <c r="E329" s="73"/>
      <c r="F329" s="72"/>
    </row>
    <row r="330" ht="14.25" customHeight="1">
      <c r="A330" s="73"/>
      <c r="B330" s="73"/>
      <c r="C330" s="73"/>
      <c r="D330" s="73"/>
      <c r="E330" s="73"/>
      <c r="F330" s="72"/>
    </row>
    <row r="331" ht="14.25" customHeight="1">
      <c r="A331" s="73"/>
      <c r="B331" s="73"/>
      <c r="C331" s="73"/>
      <c r="D331" s="73"/>
      <c r="E331" s="73"/>
      <c r="F331" s="72"/>
    </row>
    <row r="332" ht="14.25" customHeight="1">
      <c r="A332" s="73"/>
      <c r="B332" s="73"/>
      <c r="C332" s="73"/>
      <c r="D332" s="73"/>
      <c r="E332" s="73"/>
      <c r="F332" s="72"/>
    </row>
    <row r="333" ht="14.25" customHeight="1">
      <c r="A333" s="73"/>
      <c r="B333" s="73"/>
      <c r="C333" s="73"/>
      <c r="D333" s="73"/>
      <c r="E333" s="73"/>
      <c r="F333" s="72"/>
    </row>
    <row r="334" ht="14.25" customHeight="1">
      <c r="A334" s="73"/>
      <c r="B334" s="73"/>
      <c r="C334" s="73"/>
      <c r="D334" s="73"/>
      <c r="E334" s="73"/>
      <c r="F334" s="72"/>
    </row>
    <row r="335" ht="14.25" customHeight="1">
      <c r="A335" s="73"/>
      <c r="B335" s="73"/>
      <c r="C335" s="73"/>
      <c r="D335" s="73"/>
      <c r="E335" s="73"/>
      <c r="F335" s="72"/>
    </row>
    <row r="336" ht="14.25" customHeight="1">
      <c r="A336" s="73"/>
      <c r="B336" s="73"/>
      <c r="C336" s="73"/>
      <c r="D336" s="73"/>
      <c r="E336" s="73"/>
      <c r="F336" s="72"/>
    </row>
    <row r="337" ht="14.25" customHeight="1">
      <c r="A337" s="73"/>
      <c r="B337" s="73"/>
      <c r="C337" s="73"/>
      <c r="D337" s="73"/>
      <c r="E337" s="73"/>
      <c r="F337" s="72"/>
    </row>
    <row r="338" ht="14.25" customHeight="1">
      <c r="A338" s="73"/>
      <c r="B338" s="73"/>
      <c r="C338" s="73"/>
      <c r="D338" s="73"/>
      <c r="E338" s="73"/>
      <c r="F338" s="72"/>
    </row>
    <row r="339" ht="14.25" customHeight="1">
      <c r="A339" s="73"/>
      <c r="B339" s="73"/>
      <c r="C339" s="73"/>
      <c r="D339" s="73"/>
      <c r="E339" s="73"/>
      <c r="F339" s="72"/>
    </row>
    <row r="340" ht="14.25" customHeight="1">
      <c r="A340" s="73"/>
      <c r="B340" s="73"/>
      <c r="C340" s="73"/>
      <c r="D340" s="73"/>
      <c r="E340" s="73"/>
      <c r="F340" s="72"/>
    </row>
    <row r="341" ht="14.25" customHeight="1">
      <c r="A341" s="73"/>
      <c r="B341" s="73"/>
      <c r="C341" s="73"/>
      <c r="D341" s="73"/>
      <c r="E341" s="73"/>
      <c r="F341" s="72"/>
    </row>
    <row r="342" ht="14.25" customHeight="1">
      <c r="A342" s="73"/>
      <c r="B342" s="73"/>
      <c r="C342" s="73"/>
      <c r="D342" s="73"/>
      <c r="E342" s="73"/>
      <c r="F342" s="72"/>
    </row>
    <row r="343" ht="14.25" customHeight="1">
      <c r="A343" s="73"/>
      <c r="B343" s="73"/>
      <c r="C343" s="73"/>
      <c r="D343" s="73"/>
      <c r="E343" s="73"/>
      <c r="F343" s="72"/>
    </row>
    <row r="344" ht="14.25" customHeight="1">
      <c r="A344" s="73"/>
      <c r="B344" s="73"/>
      <c r="C344" s="73"/>
      <c r="D344" s="73"/>
      <c r="E344" s="73"/>
      <c r="F344" s="72"/>
    </row>
    <row r="345" ht="14.25" customHeight="1">
      <c r="A345" s="73"/>
      <c r="B345" s="73"/>
      <c r="C345" s="73"/>
      <c r="D345" s="73"/>
      <c r="E345" s="73"/>
      <c r="F345" s="72"/>
    </row>
    <row r="346" ht="14.25" customHeight="1">
      <c r="A346" s="73"/>
      <c r="B346" s="73"/>
      <c r="C346" s="73"/>
      <c r="D346" s="73"/>
      <c r="E346" s="73"/>
      <c r="F346" s="72"/>
    </row>
    <row r="347" ht="14.25" customHeight="1">
      <c r="A347" s="73"/>
      <c r="B347" s="73"/>
      <c r="C347" s="73"/>
      <c r="D347" s="73"/>
      <c r="E347" s="73"/>
      <c r="F347" s="72"/>
    </row>
    <row r="348" ht="14.25" customHeight="1">
      <c r="A348" s="73"/>
      <c r="B348" s="73"/>
      <c r="C348" s="73"/>
      <c r="D348" s="73"/>
      <c r="E348" s="73"/>
      <c r="F348" s="72"/>
    </row>
    <row r="349" ht="14.25" customHeight="1">
      <c r="A349" s="73"/>
      <c r="B349" s="73"/>
      <c r="C349" s="73"/>
      <c r="D349" s="73"/>
      <c r="E349" s="73"/>
      <c r="F349" s="72"/>
    </row>
    <row r="350" ht="14.25" customHeight="1">
      <c r="A350" s="73"/>
      <c r="B350" s="73"/>
      <c r="C350" s="73"/>
      <c r="D350" s="73"/>
      <c r="E350" s="73"/>
      <c r="F350" s="72"/>
    </row>
    <row r="351" ht="14.25" customHeight="1">
      <c r="A351" s="73"/>
      <c r="B351" s="73"/>
      <c r="C351" s="73"/>
      <c r="D351" s="73"/>
      <c r="E351" s="73"/>
      <c r="F351" s="72"/>
    </row>
    <row r="352" ht="14.25" customHeight="1">
      <c r="A352" s="73"/>
      <c r="B352" s="73"/>
      <c r="C352" s="73"/>
      <c r="D352" s="73"/>
      <c r="E352" s="73"/>
      <c r="F352" s="72"/>
    </row>
    <row r="353" ht="14.25" customHeight="1">
      <c r="A353" s="73"/>
      <c r="B353" s="73"/>
      <c r="C353" s="73"/>
      <c r="D353" s="73"/>
      <c r="E353" s="73"/>
      <c r="F353" s="72"/>
    </row>
    <row r="354" ht="14.25" customHeight="1">
      <c r="A354" s="73"/>
      <c r="B354" s="73"/>
      <c r="C354" s="73"/>
      <c r="D354" s="73"/>
      <c r="E354" s="73"/>
      <c r="F354" s="72"/>
    </row>
    <row r="355" ht="14.25" customHeight="1">
      <c r="A355" s="73"/>
      <c r="B355" s="73"/>
      <c r="C355" s="73"/>
      <c r="D355" s="73"/>
      <c r="E355" s="73"/>
      <c r="F355" s="72"/>
    </row>
    <row r="356" ht="14.25" customHeight="1">
      <c r="A356" s="73"/>
      <c r="B356" s="73"/>
      <c r="C356" s="73"/>
      <c r="D356" s="73"/>
      <c r="E356" s="73"/>
      <c r="F356" s="72"/>
    </row>
    <row r="357" ht="14.25" customHeight="1">
      <c r="A357" s="73"/>
      <c r="B357" s="73"/>
      <c r="C357" s="73"/>
      <c r="D357" s="73"/>
      <c r="E357" s="73"/>
      <c r="F357" s="72"/>
    </row>
    <row r="358" ht="14.25" customHeight="1">
      <c r="A358" s="73"/>
      <c r="B358" s="73"/>
      <c r="C358" s="73"/>
      <c r="D358" s="73"/>
      <c r="E358" s="73"/>
      <c r="F358" s="72"/>
    </row>
    <row r="359" ht="14.25" customHeight="1">
      <c r="A359" s="73"/>
      <c r="B359" s="73"/>
      <c r="C359" s="73"/>
      <c r="D359" s="73"/>
      <c r="E359" s="73"/>
      <c r="F359" s="72"/>
    </row>
    <row r="360" ht="14.25" customHeight="1">
      <c r="A360" s="73"/>
      <c r="B360" s="73"/>
      <c r="C360" s="73"/>
      <c r="D360" s="73"/>
      <c r="E360" s="73"/>
      <c r="F360" s="72"/>
    </row>
    <row r="361" ht="14.25" customHeight="1">
      <c r="A361" s="73"/>
      <c r="B361" s="73"/>
      <c r="C361" s="73"/>
      <c r="D361" s="73"/>
      <c r="E361" s="73"/>
      <c r="F361" s="72"/>
    </row>
    <row r="362" ht="14.25" customHeight="1">
      <c r="A362" s="73"/>
      <c r="B362" s="73"/>
      <c r="C362" s="73"/>
      <c r="D362" s="73"/>
      <c r="E362" s="73"/>
      <c r="F362" s="72"/>
    </row>
    <row r="363" ht="14.25" customHeight="1">
      <c r="A363" s="73"/>
      <c r="B363" s="73"/>
      <c r="C363" s="73"/>
      <c r="D363" s="73"/>
      <c r="E363" s="73"/>
      <c r="F363" s="72"/>
    </row>
    <row r="364" ht="14.25" customHeight="1">
      <c r="A364" s="73"/>
      <c r="B364" s="73"/>
      <c r="C364" s="73"/>
      <c r="D364" s="73"/>
      <c r="E364" s="73"/>
      <c r="F364" s="72"/>
    </row>
    <row r="365" ht="14.25" customHeight="1">
      <c r="A365" s="73"/>
      <c r="B365" s="73"/>
      <c r="C365" s="73"/>
      <c r="D365" s="73"/>
      <c r="E365" s="73"/>
      <c r="F365" s="72"/>
    </row>
    <row r="366" ht="14.25" customHeight="1">
      <c r="A366" s="73"/>
      <c r="B366" s="73"/>
      <c r="C366" s="73"/>
      <c r="D366" s="73"/>
      <c r="E366" s="73"/>
      <c r="F366" s="72"/>
    </row>
    <row r="367" ht="14.25" customHeight="1">
      <c r="A367" s="73"/>
      <c r="B367" s="73"/>
      <c r="C367" s="73"/>
      <c r="D367" s="73"/>
      <c r="E367" s="73"/>
      <c r="F367" s="72"/>
    </row>
    <row r="368" ht="14.25" customHeight="1">
      <c r="A368" s="73"/>
      <c r="B368" s="73"/>
      <c r="C368" s="73"/>
      <c r="D368" s="73"/>
      <c r="E368" s="73"/>
      <c r="F368" s="72"/>
    </row>
    <row r="369" ht="14.25" customHeight="1">
      <c r="A369" s="73"/>
      <c r="B369" s="73"/>
      <c r="C369" s="73"/>
      <c r="D369" s="73"/>
      <c r="E369" s="73"/>
      <c r="F369" s="72"/>
    </row>
    <row r="370" ht="14.25" customHeight="1">
      <c r="A370" s="73"/>
      <c r="B370" s="73"/>
      <c r="C370" s="73"/>
      <c r="D370" s="73"/>
      <c r="E370" s="73"/>
      <c r="F370" s="72"/>
    </row>
    <row r="371" ht="14.25" customHeight="1">
      <c r="A371" s="73"/>
      <c r="B371" s="73"/>
      <c r="C371" s="73"/>
      <c r="D371" s="73"/>
      <c r="E371" s="73"/>
      <c r="F371" s="72"/>
    </row>
    <row r="372" ht="14.25" customHeight="1">
      <c r="A372" s="73"/>
      <c r="B372" s="73"/>
      <c r="C372" s="73"/>
      <c r="D372" s="73"/>
      <c r="E372" s="73"/>
      <c r="F372" s="72"/>
    </row>
    <row r="373" ht="14.25" customHeight="1">
      <c r="A373" s="73"/>
      <c r="B373" s="73"/>
      <c r="C373" s="73"/>
      <c r="D373" s="73"/>
      <c r="E373" s="73"/>
      <c r="F373" s="72"/>
    </row>
    <row r="374" ht="14.25" customHeight="1">
      <c r="A374" s="73"/>
      <c r="B374" s="73"/>
      <c r="C374" s="73"/>
      <c r="D374" s="73"/>
      <c r="E374" s="73"/>
      <c r="F374" s="72"/>
    </row>
    <row r="375" ht="14.25" customHeight="1">
      <c r="A375" s="73"/>
      <c r="B375" s="73"/>
      <c r="C375" s="73"/>
      <c r="D375" s="73"/>
      <c r="E375" s="73"/>
      <c r="F375" s="72"/>
    </row>
    <row r="376" ht="14.25" customHeight="1">
      <c r="A376" s="73"/>
      <c r="B376" s="73"/>
      <c r="C376" s="73"/>
      <c r="D376" s="73"/>
      <c r="E376" s="73"/>
      <c r="F376" s="72"/>
    </row>
    <row r="377" ht="14.25" customHeight="1">
      <c r="A377" s="73"/>
      <c r="B377" s="73"/>
      <c r="C377" s="73"/>
      <c r="D377" s="73"/>
      <c r="E377" s="73"/>
      <c r="F377" s="72"/>
    </row>
    <row r="378" ht="14.25" customHeight="1">
      <c r="A378" s="73"/>
      <c r="B378" s="73"/>
      <c r="C378" s="73"/>
      <c r="D378" s="73"/>
      <c r="E378" s="73"/>
      <c r="F378" s="72"/>
    </row>
    <row r="379" ht="14.25" customHeight="1">
      <c r="A379" s="73"/>
      <c r="B379" s="73"/>
      <c r="C379" s="73"/>
      <c r="D379" s="73"/>
      <c r="E379" s="73"/>
      <c r="F379" s="72"/>
    </row>
    <row r="380" ht="14.25" customHeight="1">
      <c r="A380" s="73"/>
      <c r="B380" s="73"/>
      <c r="C380" s="73"/>
      <c r="D380" s="73"/>
      <c r="E380" s="73"/>
      <c r="F380" s="72"/>
    </row>
    <row r="381" ht="14.25" customHeight="1">
      <c r="A381" s="73"/>
      <c r="B381" s="73"/>
      <c r="C381" s="73"/>
      <c r="D381" s="73"/>
      <c r="E381" s="73"/>
      <c r="F381" s="72"/>
    </row>
    <row r="382" ht="14.25" customHeight="1">
      <c r="A382" s="73"/>
      <c r="B382" s="73"/>
      <c r="C382" s="73"/>
      <c r="D382" s="73"/>
      <c r="E382" s="73"/>
      <c r="F382" s="72"/>
    </row>
    <row r="383" ht="14.25" customHeight="1">
      <c r="A383" s="73"/>
      <c r="B383" s="73"/>
      <c r="C383" s="73"/>
      <c r="D383" s="73"/>
      <c r="E383" s="73"/>
      <c r="F383" s="72"/>
    </row>
    <row r="384" ht="14.25" customHeight="1">
      <c r="A384" s="73"/>
      <c r="B384" s="73"/>
      <c r="C384" s="73"/>
      <c r="D384" s="73"/>
      <c r="E384" s="73"/>
      <c r="F384" s="72"/>
    </row>
    <row r="385" ht="14.25" customHeight="1">
      <c r="A385" s="73"/>
      <c r="B385" s="73"/>
      <c r="C385" s="73"/>
      <c r="D385" s="73"/>
      <c r="E385" s="73"/>
      <c r="F385" s="72"/>
    </row>
    <row r="386" ht="14.25" customHeight="1">
      <c r="A386" s="73"/>
      <c r="B386" s="73"/>
      <c r="C386" s="73"/>
      <c r="D386" s="73"/>
      <c r="E386" s="73"/>
      <c r="F386" s="72"/>
    </row>
    <row r="387" ht="14.25" customHeight="1">
      <c r="A387" s="73"/>
      <c r="B387" s="73"/>
      <c r="C387" s="73"/>
      <c r="D387" s="73"/>
      <c r="E387" s="73"/>
      <c r="F387" s="72"/>
    </row>
    <row r="388" ht="14.25" customHeight="1">
      <c r="A388" s="73"/>
      <c r="B388" s="73"/>
      <c r="C388" s="73"/>
      <c r="D388" s="73"/>
      <c r="E388" s="73"/>
      <c r="F388" s="72"/>
    </row>
    <row r="389" ht="14.25" customHeight="1">
      <c r="A389" s="73"/>
      <c r="B389" s="73"/>
      <c r="C389" s="73"/>
      <c r="D389" s="73"/>
      <c r="E389" s="73"/>
      <c r="F389" s="72"/>
    </row>
    <row r="390" ht="14.25" customHeight="1">
      <c r="A390" s="73"/>
      <c r="B390" s="73"/>
      <c r="C390" s="73"/>
      <c r="D390" s="73"/>
      <c r="E390" s="73"/>
      <c r="F390" s="72"/>
    </row>
    <row r="391" ht="14.25" customHeight="1">
      <c r="A391" s="73"/>
      <c r="B391" s="73"/>
      <c r="C391" s="73"/>
      <c r="D391" s="73"/>
      <c r="E391" s="73"/>
      <c r="F391" s="72"/>
    </row>
    <row r="392" ht="14.25" customHeight="1">
      <c r="A392" s="73"/>
      <c r="B392" s="73"/>
      <c r="C392" s="73"/>
      <c r="D392" s="73"/>
      <c r="E392" s="73"/>
      <c r="F392" s="72"/>
    </row>
    <row r="393" ht="14.25" customHeight="1">
      <c r="A393" s="73"/>
      <c r="B393" s="73"/>
      <c r="C393" s="73"/>
      <c r="D393" s="73"/>
      <c r="E393" s="73"/>
      <c r="F393" s="72"/>
    </row>
    <row r="394" ht="14.25" customHeight="1">
      <c r="A394" s="73"/>
      <c r="B394" s="73"/>
      <c r="C394" s="73"/>
      <c r="D394" s="73"/>
      <c r="E394" s="73"/>
      <c r="F394" s="72"/>
    </row>
    <row r="395" ht="14.25" customHeight="1">
      <c r="A395" s="73"/>
      <c r="B395" s="73"/>
      <c r="C395" s="73"/>
      <c r="D395" s="73"/>
      <c r="E395" s="73"/>
      <c r="F395" s="72"/>
    </row>
    <row r="396" ht="14.25" customHeight="1">
      <c r="A396" s="73"/>
      <c r="B396" s="73"/>
      <c r="C396" s="73"/>
      <c r="D396" s="73"/>
      <c r="E396" s="73"/>
      <c r="F396" s="72"/>
    </row>
    <row r="397" ht="14.25" customHeight="1">
      <c r="A397" s="73"/>
      <c r="B397" s="73"/>
      <c r="C397" s="73"/>
      <c r="D397" s="73"/>
      <c r="E397" s="73"/>
      <c r="F397" s="72"/>
    </row>
    <row r="398" ht="14.25" customHeight="1">
      <c r="A398" s="73"/>
      <c r="B398" s="73"/>
      <c r="C398" s="73"/>
      <c r="D398" s="73"/>
      <c r="E398" s="73"/>
      <c r="F398" s="72"/>
    </row>
    <row r="399" ht="14.25" customHeight="1">
      <c r="A399" s="73"/>
      <c r="B399" s="73"/>
      <c r="C399" s="73"/>
      <c r="D399" s="73"/>
      <c r="E399" s="73"/>
      <c r="F399" s="72"/>
    </row>
    <row r="400" ht="14.25" customHeight="1">
      <c r="A400" s="73"/>
      <c r="B400" s="73"/>
      <c r="C400" s="73"/>
      <c r="D400" s="73"/>
      <c r="E400" s="73"/>
      <c r="F400" s="72"/>
    </row>
    <row r="401" ht="14.25" customHeight="1">
      <c r="A401" s="73"/>
      <c r="B401" s="73"/>
      <c r="C401" s="73"/>
      <c r="D401" s="73"/>
      <c r="E401" s="73"/>
      <c r="F401" s="72"/>
    </row>
    <row r="402" ht="14.25" customHeight="1">
      <c r="A402" s="73"/>
      <c r="B402" s="73"/>
      <c r="C402" s="73"/>
      <c r="D402" s="73"/>
      <c r="E402" s="73"/>
      <c r="F402" s="72"/>
    </row>
    <row r="403" ht="14.25" customHeight="1">
      <c r="A403" s="73"/>
      <c r="B403" s="73"/>
      <c r="C403" s="73"/>
      <c r="D403" s="73"/>
      <c r="E403" s="73"/>
      <c r="F403" s="72"/>
    </row>
    <row r="404" ht="14.25" customHeight="1">
      <c r="A404" s="73"/>
      <c r="B404" s="73"/>
      <c r="C404" s="73"/>
      <c r="D404" s="73"/>
      <c r="E404" s="73"/>
      <c r="F404" s="72"/>
    </row>
    <row r="405" ht="14.25" customHeight="1">
      <c r="A405" s="73"/>
      <c r="B405" s="73"/>
      <c r="C405" s="73"/>
      <c r="D405" s="73"/>
      <c r="E405" s="73"/>
      <c r="F405" s="72"/>
    </row>
    <row r="406" ht="14.25" customHeight="1">
      <c r="A406" s="73"/>
      <c r="B406" s="73"/>
      <c r="C406" s="73"/>
      <c r="D406" s="73"/>
      <c r="E406" s="73"/>
      <c r="F406" s="72"/>
    </row>
    <row r="407" ht="14.25" customHeight="1">
      <c r="A407" s="73"/>
      <c r="B407" s="73"/>
      <c r="C407" s="73"/>
      <c r="D407" s="73"/>
      <c r="E407" s="73"/>
      <c r="F407" s="72"/>
    </row>
    <row r="408" ht="14.25" customHeight="1">
      <c r="A408" s="73"/>
      <c r="B408" s="73"/>
      <c r="C408" s="73"/>
      <c r="D408" s="73"/>
      <c r="E408" s="73"/>
      <c r="F408" s="72"/>
    </row>
    <row r="409" ht="14.25" customHeight="1">
      <c r="A409" s="73"/>
      <c r="B409" s="73"/>
      <c r="C409" s="73"/>
      <c r="D409" s="73"/>
      <c r="E409" s="73"/>
      <c r="F409" s="72"/>
    </row>
    <row r="410" ht="14.25" customHeight="1">
      <c r="A410" s="73"/>
      <c r="B410" s="73"/>
      <c r="C410" s="73"/>
      <c r="D410" s="73"/>
      <c r="E410" s="73"/>
      <c r="F410" s="72"/>
    </row>
    <row r="411" ht="14.25" customHeight="1">
      <c r="A411" s="73"/>
      <c r="B411" s="73"/>
      <c r="C411" s="73"/>
      <c r="D411" s="73"/>
      <c r="E411" s="73"/>
      <c r="F411" s="72"/>
    </row>
    <row r="412" ht="14.25" customHeight="1">
      <c r="A412" s="73"/>
      <c r="B412" s="73"/>
      <c r="C412" s="73"/>
      <c r="D412" s="73"/>
      <c r="E412" s="73"/>
      <c r="F412" s="72"/>
    </row>
    <row r="413" ht="14.25" customHeight="1">
      <c r="A413" s="73"/>
      <c r="B413" s="73"/>
      <c r="C413" s="73"/>
      <c r="D413" s="73"/>
      <c r="E413" s="73"/>
      <c r="F413" s="72"/>
    </row>
    <row r="414" ht="14.25" customHeight="1">
      <c r="A414" s="73"/>
      <c r="B414" s="73"/>
      <c r="C414" s="73"/>
      <c r="D414" s="73"/>
      <c r="E414" s="73"/>
      <c r="F414" s="72"/>
    </row>
    <row r="415" ht="14.25" customHeight="1">
      <c r="A415" s="73"/>
      <c r="B415" s="73"/>
      <c r="C415" s="73"/>
      <c r="D415" s="73"/>
      <c r="E415" s="73"/>
      <c r="F415" s="72"/>
    </row>
    <row r="416" ht="14.25" customHeight="1">
      <c r="A416" s="73"/>
      <c r="B416" s="73"/>
      <c r="C416" s="73"/>
      <c r="D416" s="73"/>
      <c r="E416" s="73"/>
      <c r="F416" s="72"/>
    </row>
    <row r="417" ht="14.25" customHeight="1">
      <c r="A417" s="73"/>
      <c r="B417" s="73"/>
      <c r="C417" s="73"/>
      <c r="D417" s="73"/>
      <c r="E417" s="73"/>
      <c r="F417" s="72"/>
    </row>
    <row r="418" ht="14.25" customHeight="1">
      <c r="A418" s="73"/>
      <c r="B418" s="73"/>
      <c r="C418" s="73"/>
      <c r="D418" s="73"/>
      <c r="E418" s="73"/>
      <c r="F418" s="72"/>
    </row>
    <row r="419" ht="14.25" customHeight="1">
      <c r="A419" s="73"/>
      <c r="B419" s="73"/>
      <c r="C419" s="73"/>
      <c r="D419" s="73"/>
      <c r="E419" s="73"/>
      <c r="F419" s="72"/>
    </row>
    <row r="420" ht="14.25" customHeight="1">
      <c r="A420" s="73"/>
      <c r="B420" s="73"/>
      <c r="C420" s="73"/>
      <c r="D420" s="73"/>
      <c r="E420" s="73"/>
      <c r="F420" s="72"/>
    </row>
    <row r="421" ht="14.25" customHeight="1">
      <c r="A421" s="73"/>
      <c r="B421" s="73"/>
      <c r="C421" s="73"/>
      <c r="D421" s="73"/>
      <c r="E421" s="73"/>
      <c r="F421" s="72"/>
    </row>
    <row r="422" ht="14.25" customHeight="1">
      <c r="A422" s="73"/>
      <c r="B422" s="73"/>
      <c r="C422" s="73"/>
      <c r="D422" s="73"/>
      <c r="E422" s="73"/>
      <c r="F422" s="72"/>
    </row>
    <row r="423" ht="14.25" customHeight="1">
      <c r="A423" s="73"/>
      <c r="B423" s="73"/>
      <c r="C423" s="73"/>
      <c r="D423" s="73"/>
      <c r="E423" s="73"/>
      <c r="F423" s="72"/>
    </row>
    <row r="424" ht="14.25" customHeight="1">
      <c r="A424" s="73"/>
      <c r="B424" s="73"/>
      <c r="C424" s="73"/>
      <c r="D424" s="73"/>
      <c r="E424" s="73"/>
      <c r="F424" s="72"/>
    </row>
    <row r="425" ht="14.25" customHeight="1">
      <c r="A425" s="73"/>
      <c r="B425" s="73"/>
      <c r="C425" s="73"/>
      <c r="D425" s="73"/>
      <c r="E425" s="73"/>
      <c r="F425" s="72"/>
    </row>
    <row r="426" ht="14.25" customHeight="1">
      <c r="A426" s="73"/>
      <c r="B426" s="73"/>
      <c r="C426" s="73"/>
      <c r="D426" s="73"/>
      <c r="E426" s="73"/>
      <c r="F426" s="72"/>
    </row>
    <row r="427" ht="14.25" customHeight="1">
      <c r="A427" s="73"/>
      <c r="B427" s="73"/>
      <c r="C427" s="73"/>
      <c r="D427" s="73"/>
      <c r="E427" s="73"/>
      <c r="F427" s="72"/>
    </row>
    <row r="428" ht="14.25" customHeight="1">
      <c r="A428" s="73"/>
      <c r="B428" s="73"/>
      <c r="C428" s="73"/>
      <c r="D428" s="73"/>
      <c r="E428" s="73"/>
      <c r="F428" s="72"/>
    </row>
    <row r="429" ht="14.25" customHeight="1">
      <c r="A429" s="73"/>
      <c r="B429" s="73"/>
      <c r="C429" s="73"/>
      <c r="D429" s="73"/>
      <c r="E429" s="73"/>
      <c r="F429" s="72"/>
    </row>
    <row r="430" ht="14.25" customHeight="1">
      <c r="A430" s="73"/>
      <c r="B430" s="73"/>
      <c r="C430" s="73"/>
      <c r="D430" s="73"/>
      <c r="E430" s="73"/>
      <c r="F430" s="72"/>
    </row>
    <row r="431" ht="14.25" customHeight="1">
      <c r="A431" s="73"/>
      <c r="B431" s="73"/>
      <c r="C431" s="73"/>
      <c r="D431" s="73"/>
      <c r="E431" s="73"/>
      <c r="F431" s="72"/>
    </row>
    <row r="432" ht="14.25" customHeight="1">
      <c r="A432" s="73"/>
      <c r="B432" s="73"/>
      <c r="C432" s="73"/>
      <c r="D432" s="73"/>
      <c r="E432" s="73"/>
      <c r="F432" s="72"/>
    </row>
    <row r="433" ht="14.25" customHeight="1">
      <c r="A433" s="73"/>
      <c r="B433" s="73"/>
      <c r="C433" s="73"/>
      <c r="D433" s="73"/>
      <c r="E433" s="73"/>
      <c r="F433" s="72"/>
    </row>
    <row r="434" ht="14.25" customHeight="1">
      <c r="A434" s="73"/>
      <c r="B434" s="73"/>
      <c r="C434" s="73"/>
      <c r="D434" s="73"/>
      <c r="E434" s="73"/>
      <c r="F434" s="72"/>
    </row>
    <row r="435" ht="14.25" customHeight="1">
      <c r="A435" s="73"/>
      <c r="B435" s="73"/>
      <c r="C435" s="73"/>
      <c r="D435" s="73"/>
      <c r="E435" s="73"/>
      <c r="F435" s="72"/>
    </row>
    <row r="436" ht="14.25" customHeight="1">
      <c r="A436" s="73"/>
      <c r="B436" s="73"/>
      <c r="C436" s="73"/>
      <c r="D436" s="73"/>
      <c r="E436" s="73"/>
      <c r="F436" s="72"/>
    </row>
    <row r="437" ht="14.25" customHeight="1">
      <c r="A437" s="73"/>
      <c r="B437" s="73"/>
      <c r="C437" s="73"/>
      <c r="D437" s="73"/>
      <c r="E437" s="73"/>
      <c r="F437" s="72"/>
    </row>
    <row r="438" ht="14.25" customHeight="1">
      <c r="A438" s="73"/>
      <c r="B438" s="73"/>
      <c r="C438" s="73"/>
      <c r="D438" s="73"/>
      <c r="E438" s="73"/>
      <c r="F438" s="72"/>
    </row>
    <row r="439" ht="14.25" customHeight="1">
      <c r="A439" s="73"/>
      <c r="B439" s="73"/>
      <c r="C439" s="73"/>
      <c r="D439" s="73"/>
      <c r="E439" s="73"/>
      <c r="F439" s="72"/>
    </row>
    <row r="440" ht="14.25" customHeight="1">
      <c r="A440" s="73"/>
      <c r="B440" s="73"/>
      <c r="C440" s="73"/>
      <c r="D440" s="73"/>
      <c r="E440" s="73"/>
      <c r="F440" s="72"/>
    </row>
    <row r="441" ht="14.25" customHeight="1">
      <c r="A441" s="73"/>
      <c r="B441" s="73"/>
      <c r="C441" s="73"/>
      <c r="D441" s="73"/>
      <c r="E441" s="73"/>
      <c r="F441" s="72"/>
    </row>
    <row r="442" ht="14.25" customHeight="1">
      <c r="A442" s="73"/>
      <c r="B442" s="73"/>
      <c r="C442" s="73"/>
      <c r="D442" s="73"/>
      <c r="E442" s="73"/>
      <c r="F442" s="72"/>
    </row>
    <row r="443" ht="14.25" customHeight="1">
      <c r="A443" s="73"/>
      <c r="B443" s="73"/>
      <c r="C443" s="73"/>
      <c r="D443" s="73"/>
      <c r="E443" s="73"/>
      <c r="F443" s="72"/>
    </row>
    <row r="444" ht="14.25" customHeight="1">
      <c r="A444" s="73"/>
      <c r="B444" s="73"/>
      <c r="C444" s="73"/>
      <c r="D444" s="73"/>
      <c r="E444" s="73"/>
      <c r="F444" s="72"/>
    </row>
    <row r="445" ht="14.25" customHeight="1">
      <c r="A445" s="73"/>
      <c r="B445" s="73"/>
      <c r="C445" s="73"/>
      <c r="D445" s="73"/>
      <c r="E445" s="73"/>
      <c r="F445" s="72"/>
    </row>
    <row r="446" ht="14.25" customHeight="1">
      <c r="A446" s="73"/>
      <c r="B446" s="73"/>
      <c r="C446" s="73"/>
      <c r="D446" s="73"/>
      <c r="E446" s="73"/>
      <c r="F446" s="72"/>
    </row>
    <row r="447" ht="14.25" customHeight="1">
      <c r="A447" s="73"/>
      <c r="B447" s="73"/>
      <c r="C447" s="73"/>
      <c r="D447" s="73"/>
      <c r="E447" s="73"/>
      <c r="F447" s="72"/>
    </row>
    <row r="448" ht="14.25" customHeight="1">
      <c r="A448" s="73"/>
      <c r="B448" s="73"/>
      <c r="C448" s="73"/>
      <c r="D448" s="73"/>
      <c r="E448" s="73"/>
      <c r="F448" s="72"/>
    </row>
    <row r="449" ht="14.25" customHeight="1">
      <c r="A449" s="73"/>
      <c r="B449" s="73"/>
      <c r="C449" s="73"/>
      <c r="D449" s="73"/>
      <c r="E449" s="73"/>
      <c r="F449" s="72"/>
    </row>
    <row r="450" ht="14.25" customHeight="1">
      <c r="A450" s="73"/>
      <c r="B450" s="73"/>
      <c r="C450" s="73"/>
      <c r="D450" s="73"/>
      <c r="E450" s="73"/>
      <c r="F450" s="72"/>
    </row>
    <row r="451" ht="14.25" customHeight="1">
      <c r="A451" s="73"/>
      <c r="B451" s="73"/>
      <c r="C451" s="73"/>
      <c r="D451" s="73"/>
      <c r="E451" s="73"/>
      <c r="F451" s="72"/>
    </row>
    <row r="452" ht="14.25" customHeight="1">
      <c r="A452" s="73"/>
      <c r="B452" s="73"/>
      <c r="C452" s="73"/>
      <c r="D452" s="73"/>
      <c r="E452" s="73"/>
      <c r="F452" s="72"/>
    </row>
    <row r="453" ht="14.25" customHeight="1">
      <c r="A453" s="73"/>
      <c r="B453" s="73"/>
      <c r="C453" s="73"/>
      <c r="D453" s="73"/>
      <c r="E453" s="73"/>
      <c r="F453" s="72"/>
    </row>
    <row r="454" ht="14.25" customHeight="1">
      <c r="A454" s="73"/>
      <c r="B454" s="73"/>
      <c r="C454" s="73"/>
      <c r="D454" s="73"/>
      <c r="E454" s="73"/>
      <c r="F454" s="72"/>
    </row>
    <row r="455" ht="14.25" customHeight="1">
      <c r="A455" s="73"/>
      <c r="B455" s="73"/>
      <c r="C455" s="73"/>
      <c r="D455" s="73"/>
      <c r="E455" s="73"/>
      <c r="F455" s="72"/>
    </row>
    <row r="456" ht="14.25" customHeight="1">
      <c r="A456" s="73"/>
      <c r="B456" s="73"/>
      <c r="C456" s="73"/>
      <c r="D456" s="73"/>
      <c r="E456" s="73"/>
      <c r="F456" s="72"/>
    </row>
    <row r="457" ht="14.25" customHeight="1">
      <c r="A457" s="73"/>
      <c r="B457" s="73"/>
      <c r="C457" s="73"/>
      <c r="D457" s="73"/>
      <c r="E457" s="73"/>
      <c r="F457" s="72"/>
    </row>
    <row r="458" ht="14.25" customHeight="1">
      <c r="A458" s="73"/>
      <c r="B458" s="73"/>
      <c r="C458" s="73"/>
      <c r="D458" s="73"/>
      <c r="E458" s="73"/>
      <c r="F458" s="72"/>
    </row>
    <row r="459" ht="14.25" customHeight="1">
      <c r="A459" s="73"/>
      <c r="B459" s="73"/>
      <c r="C459" s="73"/>
      <c r="D459" s="73"/>
      <c r="E459" s="73"/>
      <c r="F459" s="72"/>
    </row>
    <row r="460" ht="14.25" customHeight="1">
      <c r="A460" s="73"/>
      <c r="B460" s="73"/>
      <c r="C460" s="73"/>
      <c r="D460" s="73"/>
      <c r="E460" s="73"/>
      <c r="F460" s="72"/>
    </row>
    <row r="461" ht="14.25" customHeight="1">
      <c r="A461" s="73"/>
      <c r="B461" s="73"/>
      <c r="C461" s="73"/>
      <c r="D461" s="73"/>
      <c r="E461" s="73"/>
      <c r="F461" s="72"/>
    </row>
    <row r="462" ht="14.25" customHeight="1">
      <c r="A462" s="73"/>
      <c r="B462" s="73"/>
      <c r="C462" s="73"/>
      <c r="D462" s="73"/>
      <c r="E462" s="73"/>
      <c r="F462" s="72"/>
    </row>
    <row r="463" ht="14.25" customHeight="1">
      <c r="A463" s="73"/>
      <c r="B463" s="73"/>
      <c r="C463" s="73"/>
      <c r="D463" s="73"/>
      <c r="E463" s="73"/>
      <c r="F463" s="72"/>
    </row>
    <row r="464" ht="14.25" customHeight="1">
      <c r="A464" s="73"/>
      <c r="B464" s="73"/>
      <c r="C464" s="73"/>
      <c r="D464" s="73"/>
      <c r="E464" s="73"/>
      <c r="F464" s="72"/>
    </row>
    <row r="465" ht="14.25" customHeight="1">
      <c r="A465" s="73"/>
      <c r="B465" s="73"/>
      <c r="C465" s="73"/>
      <c r="D465" s="73"/>
      <c r="E465" s="73"/>
      <c r="F465" s="72"/>
    </row>
    <row r="466" ht="14.25" customHeight="1">
      <c r="A466" s="73"/>
      <c r="B466" s="73"/>
      <c r="C466" s="73"/>
      <c r="D466" s="73"/>
      <c r="E466" s="73"/>
      <c r="F466" s="72"/>
    </row>
    <row r="467" ht="14.25" customHeight="1">
      <c r="A467" s="73"/>
      <c r="B467" s="73"/>
      <c r="C467" s="73"/>
      <c r="D467" s="73"/>
      <c r="E467" s="73"/>
      <c r="F467" s="72"/>
    </row>
    <row r="468" ht="14.25" customHeight="1">
      <c r="A468" s="73"/>
      <c r="B468" s="73"/>
      <c r="C468" s="73"/>
      <c r="D468" s="73"/>
      <c r="E468" s="73"/>
      <c r="F468" s="72"/>
    </row>
    <row r="469" ht="14.25" customHeight="1">
      <c r="A469" s="73"/>
      <c r="B469" s="73"/>
      <c r="C469" s="73"/>
      <c r="D469" s="73"/>
      <c r="E469" s="73"/>
      <c r="F469" s="72"/>
    </row>
    <row r="470" ht="14.25" customHeight="1">
      <c r="A470" s="73"/>
      <c r="B470" s="73"/>
      <c r="C470" s="73"/>
      <c r="D470" s="73"/>
      <c r="E470" s="73"/>
      <c r="F470" s="72"/>
    </row>
    <row r="471" ht="14.25" customHeight="1">
      <c r="A471" s="73"/>
      <c r="B471" s="73"/>
      <c r="C471" s="73"/>
      <c r="D471" s="73"/>
      <c r="E471" s="73"/>
      <c r="F471" s="72"/>
    </row>
    <row r="472" ht="14.25" customHeight="1">
      <c r="A472" s="73"/>
      <c r="B472" s="73"/>
      <c r="C472" s="73"/>
      <c r="D472" s="73"/>
      <c r="E472" s="73"/>
      <c r="F472" s="72"/>
    </row>
    <row r="473" ht="14.25" customHeight="1">
      <c r="A473" s="73"/>
      <c r="B473" s="73"/>
      <c r="C473" s="73"/>
      <c r="D473" s="73"/>
      <c r="E473" s="73"/>
      <c r="F473" s="72"/>
    </row>
    <row r="474" ht="14.25" customHeight="1">
      <c r="A474" s="73"/>
      <c r="B474" s="73"/>
      <c r="C474" s="73"/>
      <c r="D474" s="73"/>
      <c r="E474" s="73"/>
      <c r="F474" s="72"/>
    </row>
    <row r="475" ht="14.25" customHeight="1">
      <c r="A475" s="73"/>
      <c r="B475" s="73"/>
      <c r="C475" s="73"/>
      <c r="D475" s="73"/>
      <c r="E475" s="73"/>
      <c r="F475" s="72"/>
    </row>
    <row r="476" ht="14.25" customHeight="1">
      <c r="A476" s="73"/>
      <c r="B476" s="73"/>
      <c r="C476" s="73"/>
      <c r="D476" s="73"/>
      <c r="E476" s="73"/>
      <c r="F476" s="72"/>
    </row>
    <row r="477" ht="14.25" customHeight="1">
      <c r="A477" s="73"/>
      <c r="B477" s="73"/>
      <c r="C477" s="73"/>
      <c r="D477" s="73"/>
      <c r="E477" s="73"/>
      <c r="F477" s="72"/>
    </row>
    <row r="478" ht="14.25" customHeight="1">
      <c r="A478" s="73"/>
      <c r="B478" s="73"/>
      <c r="C478" s="73"/>
      <c r="D478" s="73"/>
      <c r="E478" s="73"/>
      <c r="F478" s="72"/>
    </row>
    <row r="479" ht="14.25" customHeight="1">
      <c r="A479" s="73"/>
      <c r="B479" s="73"/>
      <c r="C479" s="73"/>
      <c r="D479" s="73"/>
      <c r="E479" s="73"/>
      <c r="F479" s="72"/>
    </row>
    <row r="480" ht="14.25" customHeight="1">
      <c r="A480" s="73"/>
      <c r="B480" s="73"/>
      <c r="C480" s="73"/>
      <c r="D480" s="73"/>
      <c r="E480" s="73"/>
      <c r="F480" s="72"/>
    </row>
    <row r="481" ht="14.25" customHeight="1">
      <c r="A481" s="73"/>
      <c r="B481" s="73"/>
      <c r="C481" s="73"/>
      <c r="D481" s="73"/>
      <c r="E481" s="73"/>
      <c r="F481" s="72"/>
    </row>
    <row r="482" ht="14.25" customHeight="1">
      <c r="A482" s="73"/>
      <c r="B482" s="73"/>
      <c r="C482" s="73"/>
      <c r="D482" s="73"/>
      <c r="E482" s="73"/>
      <c r="F482" s="72"/>
    </row>
    <row r="483" ht="14.25" customHeight="1">
      <c r="A483" s="73"/>
      <c r="B483" s="73"/>
      <c r="C483" s="73"/>
      <c r="D483" s="73"/>
      <c r="E483" s="73"/>
      <c r="F483" s="72"/>
    </row>
    <row r="484" ht="14.25" customHeight="1">
      <c r="A484" s="73"/>
      <c r="B484" s="73"/>
      <c r="C484" s="73"/>
      <c r="D484" s="73"/>
      <c r="E484" s="73"/>
      <c r="F484" s="72"/>
    </row>
    <row r="485" ht="14.25" customHeight="1">
      <c r="A485" s="73"/>
      <c r="B485" s="73"/>
      <c r="C485" s="73"/>
      <c r="D485" s="73"/>
      <c r="E485" s="73"/>
      <c r="F485" s="72"/>
    </row>
    <row r="486" ht="14.25" customHeight="1">
      <c r="A486" s="73"/>
      <c r="B486" s="73"/>
      <c r="C486" s="73"/>
      <c r="D486" s="73"/>
      <c r="E486" s="73"/>
      <c r="F486" s="72"/>
    </row>
    <row r="487" ht="14.25" customHeight="1">
      <c r="A487" s="73"/>
      <c r="B487" s="73"/>
      <c r="C487" s="73"/>
      <c r="D487" s="73"/>
      <c r="E487" s="73"/>
      <c r="F487" s="72"/>
    </row>
    <row r="488" ht="14.25" customHeight="1">
      <c r="A488" s="73"/>
      <c r="B488" s="73"/>
      <c r="C488" s="73"/>
      <c r="D488" s="73"/>
      <c r="E488" s="73"/>
      <c r="F488" s="72"/>
    </row>
    <row r="489" ht="14.25" customHeight="1">
      <c r="A489" s="73"/>
      <c r="B489" s="73"/>
      <c r="C489" s="73"/>
      <c r="D489" s="73"/>
      <c r="E489" s="73"/>
      <c r="F489" s="72"/>
    </row>
    <row r="490" ht="14.25" customHeight="1">
      <c r="A490" s="73"/>
      <c r="B490" s="73"/>
      <c r="C490" s="73"/>
      <c r="D490" s="73"/>
      <c r="E490" s="73"/>
      <c r="F490" s="72"/>
    </row>
    <row r="491" ht="14.25" customHeight="1">
      <c r="A491" s="73"/>
      <c r="B491" s="73"/>
      <c r="C491" s="73"/>
      <c r="D491" s="73"/>
      <c r="E491" s="73"/>
      <c r="F491" s="72"/>
    </row>
    <row r="492" ht="14.25" customHeight="1">
      <c r="A492" s="73"/>
      <c r="B492" s="73"/>
      <c r="C492" s="73"/>
      <c r="D492" s="73"/>
      <c r="E492" s="73"/>
      <c r="F492" s="72"/>
    </row>
    <row r="493" ht="14.25" customHeight="1">
      <c r="A493" s="73"/>
      <c r="B493" s="73"/>
      <c r="C493" s="73"/>
      <c r="D493" s="73"/>
      <c r="E493" s="73"/>
      <c r="F493" s="72"/>
    </row>
    <row r="494" ht="14.25" customHeight="1">
      <c r="A494" s="73"/>
      <c r="B494" s="73"/>
      <c r="C494" s="73"/>
      <c r="D494" s="73"/>
      <c r="E494" s="73"/>
      <c r="F494" s="72"/>
    </row>
    <row r="495" ht="14.25" customHeight="1">
      <c r="A495" s="73"/>
      <c r="B495" s="73"/>
      <c r="C495" s="73"/>
      <c r="D495" s="73"/>
      <c r="E495" s="73"/>
      <c r="F495" s="72"/>
    </row>
    <row r="496" ht="14.25" customHeight="1">
      <c r="A496" s="73"/>
      <c r="B496" s="73"/>
      <c r="C496" s="73"/>
      <c r="D496" s="73"/>
      <c r="E496" s="73"/>
      <c r="F496" s="72"/>
    </row>
    <row r="497" ht="14.25" customHeight="1">
      <c r="A497" s="73"/>
      <c r="B497" s="73"/>
      <c r="C497" s="73"/>
      <c r="D497" s="73"/>
      <c r="E497" s="73"/>
      <c r="F497" s="72"/>
    </row>
    <row r="498" ht="14.25" customHeight="1">
      <c r="A498" s="73"/>
      <c r="B498" s="73"/>
      <c r="C498" s="73"/>
      <c r="D498" s="73"/>
      <c r="E498" s="73"/>
      <c r="F498" s="72"/>
    </row>
    <row r="499" ht="14.25" customHeight="1">
      <c r="A499" s="73"/>
      <c r="B499" s="73"/>
      <c r="C499" s="73"/>
      <c r="D499" s="73"/>
      <c r="E499" s="73"/>
      <c r="F499" s="72"/>
    </row>
    <row r="500" ht="14.25" customHeight="1">
      <c r="A500" s="73"/>
      <c r="B500" s="73"/>
      <c r="C500" s="73"/>
      <c r="D500" s="73"/>
      <c r="E500" s="73"/>
      <c r="F500" s="72"/>
    </row>
    <row r="501" ht="14.25" customHeight="1">
      <c r="A501" s="73"/>
      <c r="B501" s="73"/>
      <c r="C501" s="73"/>
      <c r="D501" s="73"/>
      <c r="E501" s="73"/>
      <c r="F501" s="72"/>
    </row>
    <row r="502" ht="14.25" customHeight="1">
      <c r="A502" s="73"/>
      <c r="B502" s="73"/>
      <c r="C502" s="73"/>
      <c r="D502" s="73"/>
      <c r="E502" s="73"/>
      <c r="F502" s="72"/>
    </row>
    <row r="503" ht="14.25" customHeight="1">
      <c r="A503" s="73"/>
      <c r="B503" s="73"/>
      <c r="C503" s="73"/>
      <c r="D503" s="73"/>
      <c r="E503" s="73"/>
      <c r="F503" s="72"/>
    </row>
    <row r="504" ht="14.25" customHeight="1">
      <c r="A504" s="73"/>
      <c r="B504" s="73"/>
      <c r="C504" s="73"/>
      <c r="D504" s="73"/>
      <c r="E504" s="73"/>
      <c r="F504" s="72"/>
    </row>
    <row r="505" ht="14.25" customHeight="1">
      <c r="A505" s="73"/>
      <c r="B505" s="73"/>
      <c r="C505" s="73"/>
      <c r="D505" s="73"/>
      <c r="E505" s="73"/>
      <c r="F505" s="72"/>
    </row>
    <row r="506" ht="14.25" customHeight="1">
      <c r="A506" s="73"/>
      <c r="B506" s="73"/>
      <c r="C506" s="73"/>
      <c r="D506" s="73"/>
      <c r="E506" s="73"/>
      <c r="F506" s="72"/>
    </row>
    <row r="507" ht="14.25" customHeight="1">
      <c r="A507" s="73"/>
      <c r="B507" s="73"/>
      <c r="C507" s="73"/>
      <c r="D507" s="73"/>
      <c r="E507" s="73"/>
      <c r="F507" s="72"/>
    </row>
    <row r="508" ht="14.25" customHeight="1">
      <c r="A508" s="73"/>
      <c r="B508" s="73"/>
      <c r="C508" s="73"/>
      <c r="D508" s="73"/>
      <c r="E508" s="73"/>
      <c r="F508" s="72"/>
    </row>
    <row r="509" ht="14.25" customHeight="1">
      <c r="A509" s="73"/>
      <c r="B509" s="73"/>
      <c r="C509" s="73"/>
      <c r="D509" s="73"/>
      <c r="E509" s="73"/>
      <c r="F509" s="72"/>
    </row>
    <row r="510" ht="14.25" customHeight="1">
      <c r="A510" s="73"/>
      <c r="B510" s="73"/>
      <c r="C510" s="73"/>
      <c r="D510" s="73"/>
      <c r="E510" s="73"/>
      <c r="F510" s="72"/>
    </row>
    <row r="511" ht="14.25" customHeight="1">
      <c r="A511" s="73"/>
      <c r="B511" s="73"/>
      <c r="C511" s="73"/>
      <c r="D511" s="73"/>
      <c r="E511" s="73"/>
      <c r="F511" s="72"/>
    </row>
    <row r="512" ht="14.25" customHeight="1">
      <c r="A512" s="73"/>
      <c r="B512" s="73"/>
      <c r="C512" s="73"/>
      <c r="D512" s="73"/>
      <c r="E512" s="73"/>
      <c r="F512" s="72"/>
    </row>
    <row r="513" ht="14.25" customHeight="1">
      <c r="A513" s="73"/>
      <c r="B513" s="73"/>
      <c r="C513" s="73"/>
      <c r="D513" s="73"/>
      <c r="E513" s="73"/>
      <c r="F513" s="72"/>
    </row>
    <row r="514" ht="14.25" customHeight="1">
      <c r="A514" s="73"/>
      <c r="B514" s="73"/>
      <c r="C514" s="73"/>
      <c r="D514" s="73"/>
      <c r="E514" s="73"/>
      <c r="F514" s="72"/>
    </row>
    <row r="515" ht="14.25" customHeight="1">
      <c r="A515" s="73"/>
      <c r="B515" s="73"/>
      <c r="C515" s="73"/>
      <c r="D515" s="73"/>
      <c r="E515" s="73"/>
      <c r="F515" s="72"/>
    </row>
    <row r="516" ht="14.25" customHeight="1">
      <c r="A516" s="73"/>
      <c r="B516" s="73"/>
      <c r="C516" s="73"/>
      <c r="D516" s="73"/>
      <c r="E516" s="73"/>
      <c r="F516" s="72"/>
    </row>
    <row r="517" ht="14.25" customHeight="1">
      <c r="A517" s="73"/>
      <c r="B517" s="73"/>
      <c r="C517" s="73"/>
      <c r="D517" s="73"/>
      <c r="E517" s="73"/>
      <c r="F517" s="72"/>
    </row>
    <row r="518" ht="14.25" customHeight="1">
      <c r="A518" s="73"/>
      <c r="B518" s="73"/>
      <c r="C518" s="73"/>
      <c r="D518" s="73"/>
      <c r="E518" s="73"/>
      <c r="F518" s="72"/>
    </row>
    <row r="519" ht="14.25" customHeight="1">
      <c r="A519" s="73"/>
      <c r="B519" s="73"/>
      <c r="C519" s="73"/>
      <c r="D519" s="73"/>
      <c r="E519" s="73"/>
      <c r="F519" s="72"/>
    </row>
    <row r="520" ht="14.25" customHeight="1">
      <c r="A520" s="73"/>
      <c r="B520" s="73"/>
      <c r="C520" s="73"/>
      <c r="D520" s="73"/>
      <c r="E520" s="73"/>
      <c r="F520" s="72"/>
    </row>
    <row r="521" ht="14.25" customHeight="1">
      <c r="A521" s="73"/>
      <c r="B521" s="73"/>
      <c r="C521" s="73"/>
      <c r="D521" s="73"/>
      <c r="E521" s="73"/>
      <c r="F521" s="72"/>
    </row>
    <row r="522" ht="14.25" customHeight="1">
      <c r="A522" s="73"/>
      <c r="B522" s="73"/>
      <c r="C522" s="73"/>
      <c r="D522" s="73"/>
      <c r="E522" s="73"/>
      <c r="F522" s="72"/>
    </row>
    <row r="523" ht="14.25" customHeight="1">
      <c r="A523" s="73"/>
      <c r="B523" s="73"/>
      <c r="C523" s="73"/>
      <c r="D523" s="73"/>
      <c r="E523" s="73"/>
      <c r="F523" s="72"/>
    </row>
    <row r="524" ht="14.25" customHeight="1">
      <c r="A524" s="73"/>
      <c r="B524" s="73"/>
      <c r="C524" s="73"/>
      <c r="D524" s="73"/>
      <c r="E524" s="73"/>
      <c r="F524" s="72"/>
    </row>
    <row r="525" ht="14.25" customHeight="1">
      <c r="A525" s="73"/>
      <c r="B525" s="73"/>
      <c r="C525" s="73"/>
      <c r="D525" s="73"/>
      <c r="E525" s="73"/>
      <c r="F525" s="72"/>
    </row>
    <row r="526" ht="14.25" customHeight="1">
      <c r="A526" s="73"/>
      <c r="B526" s="73"/>
      <c r="C526" s="73"/>
      <c r="D526" s="73"/>
      <c r="E526" s="73"/>
      <c r="F526" s="72"/>
    </row>
    <row r="527" ht="14.25" customHeight="1">
      <c r="A527" s="73"/>
      <c r="B527" s="73"/>
      <c r="C527" s="73"/>
      <c r="D527" s="73"/>
      <c r="E527" s="73"/>
      <c r="F527" s="72"/>
    </row>
    <row r="528" ht="14.25" customHeight="1">
      <c r="A528" s="73"/>
      <c r="B528" s="73"/>
      <c r="C528" s="73"/>
      <c r="D528" s="73"/>
      <c r="E528" s="73"/>
      <c r="F528" s="72"/>
    </row>
    <row r="529" ht="14.25" customHeight="1">
      <c r="A529" s="73"/>
      <c r="B529" s="73"/>
      <c r="C529" s="73"/>
      <c r="D529" s="73"/>
      <c r="E529" s="73"/>
      <c r="F529" s="72"/>
    </row>
    <row r="530" ht="14.25" customHeight="1">
      <c r="A530" s="73"/>
      <c r="B530" s="73"/>
      <c r="C530" s="73"/>
      <c r="D530" s="73"/>
      <c r="E530" s="73"/>
      <c r="F530" s="72"/>
    </row>
    <row r="531" ht="14.25" customHeight="1">
      <c r="A531" s="73"/>
      <c r="B531" s="73"/>
      <c r="C531" s="73"/>
      <c r="D531" s="73"/>
      <c r="E531" s="73"/>
      <c r="F531" s="72"/>
    </row>
    <row r="532" ht="14.25" customHeight="1">
      <c r="A532" s="73"/>
      <c r="B532" s="73"/>
      <c r="C532" s="73"/>
      <c r="D532" s="73"/>
      <c r="E532" s="73"/>
      <c r="F532" s="72"/>
    </row>
    <row r="533" ht="14.25" customHeight="1">
      <c r="A533" s="73"/>
      <c r="B533" s="73"/>
      <c r="C533" s="73"/>
      <c r="D533" s="73"/>
      <c r="E533" s="73"/>
      <c r="F533" s="72"/>
    </row>
    <row r="534" ht="14.25" customHeight="1">
      <c r="A534" s="73"/>
      <c r="B534" s="73"/>
      <c r="C534" s="73"/>
      <c r="D534" s="73"/>
      <c r="E534" s="73"/>
      <c r="F534" s="72"/>
    </row>
    <row r="535" ht="14.25" customHeight="1">
      <c r="A535" s="73"/>
      <c r="B535" s="73"/>
      <c r="C535" s="73"/>
      <c r="D535" s="73"/>
      <c r="E535" s="73"/>
      <c r="F535" s="72"/>
    </row>
    <row r="536" ht="14.25" customHeight="1">
      <c r="A536" s="73"/>
      <c r="B536" s="73"/>
      <c r="C536" s="73"/>
      <c r="D536" s="73"/>
      <c r="E536" s="73"/>
      <c r="F536" s="72"/>
    </row>
    <row r="537" ht="14.25" customHeight="1">
      <c r="A537" s="73"/>
      <c r="B537" s="73"/>
      <c r="C537" s="73"/>
      <c r="D537" s="73"/>
      <c r="E537" s="73"/>
      <c r="F537" s="72"/>
    </row>
    <row r="538" ht="14.25" customHeight="1">
      <c r="A538" s="73"/>
      <c r="B538" s="73"/>
      <c r="C538" s="73"/>
      <c r="D538" s="73"/>
      <c r="E538" s="73"/>
      <c r="F538" s="72"/>
    </row>
    <row r="539" ht="14.25" customHeight="1">
      <c r="A539" s="73"/>
      <c r="B539" s="73"/>
      <c r="C539" s="73"/>
      <c r="D539" s="73"/>
      <c r="E539" s="73"/>
      <c r="F539" s="72"/>
    </row>
    <row r="540" ht="14.25" customHeight="1">
      <c r="A540" s="73"/>
      <c r="B540" s="73"/>
      <c r="C540" s="73"/>
      <c r="D540" s="73"/>
      <c r="E540" s="73"/>
      <c r="F540" s="72"/>
    </row>
    <row r="541" ht="14.25" customHeight="1">
      <c r="A541" s="73"/>
      <c r="B541" s="73"/>
      <c r="C541" s="73"/>
      <c r="D541" s="73"/>
      <c r="E541" s="73"/>
      <c r="F541" s="72"/>
    </row>
    <row r="542" ht="14.25" customHeight="1">
      <c r="A542" s="73"/>
      <c r="B542" s="73"/>
      <c r="C542" s="73"/>
      <c r="D542" s="73"/>
      <c r="E542" s="73"/>
      <c r="F542" s="72"/>
    </row>
    <row r="543" ht="14.25" customHeight="1">
      <c r="A543" s="73"/>
      <c r="B543" s="73"/>
      <c r="C543" s="73"/>
      <c r="D543" s="73"/>
      <c r="E543" s="73"/>
      <c r="F543" s="72"/>
    </row>
    <row r="544" ht="14.25" customHeight="1">
      <c r="A544" s="73"/>
      <c r="B544" s="73"/>
      <c r="C544" s="73"/>
      <c r="D544" s="73"/>
      <c r="E544" s="73"/>
      <c r="F544" s="72"/>
    </row>
    <row r="545" ht="14.25" customHeight="1">
      <c r="A545" s="73"/>
      <c r="B545" s="73"/>
      <c r="C545" s="73"/>
      <c r="D545" s="73"/>
      <c r="E545" s="73"/>
      <c r="F545" s="72"/>
    </row>
    <row r="546" ht="14.25" customHeight="1">
      <c r="A546" s="73"/>
      <c r="B546" s="73"/>
      <c r="C546" s="73"/>
      <c r="D546" s="73"/>
      <c r="E546" s="73"/>
      <c r="F546" s="72"/>
    </row>
    <row r="547" ht="14.25" customHeight="1">
      <c r="A547" s="73"/>
      <c r="B547" s="73"/>
      <c r="C547" s="73"/>
      <c r="D547" s="73"/>
      <c r="E547" s="73"/>
      <c r="F547" s="72"/>
    </row>
    <row r="548" ht="14.25" customHeight="1">
      <c r="A548" s="73"/>
      <c r="B548" s="73"/>
      <c r="C548" s="73"/>
      <c r="D548" s="73"/>
      <c r="E548" s="73"/>
      <c r="F548" s="72"/>
    </row>
    <row r="549" ht="14.25" customHeight="1">
      <c r="A549" s="73"/>
      <c r="B549" s="73"/>
      <c r="C549" s="73"/>
      <c r="D549" s="73"/>
      <c r="E549" s="73"/>
      <c r="F549" s="72"/>
    </row>
    <row r="550" ht="14.25" customHeight="1">
      <c r="A550" s="73"/>
      <c r="B550" s="73"/>
      <c r="C550" s="73"/>
      <c r="D550" s="73"/>
      <c r="E550" s="73"/>
      <c r="F550" s="72"/>
    </row>
    <row r="551" ht="14.25" customHeight="1">
      <c r="A551" s="73"/>
      <c r="B551" s="73"/>
      <c r="C551" s="73"/>
      <c r="D551" s="73"/>
      <c r="E551" s="73"/>
      <c r="F551" s="72"/>
    </row>
    <row r="552" ht="14.25" customHeight="1">
      <c r="A552" s="73"/>
      <c r="B552" s="73"/>
      <c r="C552" s="73"/>
      <c r="D552" s="73"/>
      <c r="E552" s="73"/>
      <c r="F552" s="72"/>
    </row>
    <row r="553" ht="14.25" customHeight="1">
      <c r="A553" s="73"/>
      <c r="B553" s="73"/>
      <c r="C553" s="73"/>
      <c r="D553" s="73"/>
      <c r="E553" s="73"/>
      <c r="F553" s="72"/>
    </row>
    <row r="554" ht="14.25" customHeight="1">
      <c r="A554" s="73"/>
      <c r="B554" s="73"/>
      <c r="C554" s="73"/>
      <c r="D554" s="73"/>
      <c r="E554" s="73"/>
      <c r="F554" s="72"/>
    </row>
    <row r="555" ht="14.25" customHeight="1">
      <c r="A555" s="73"/>
      <c r="B555" s="73"/>
      <c r="C555" s="73"/>
      <c r="D555" s="73"/>
      <c r="E555" s="73"/>
      <c r="F555" s="72"/>
    </row>
    <row r="556" ht="14.25" customHeight="1">
      <c r="A556" s="73"/>
      <c r="B556" s="73"/>
      <c r="C556" s="73"/>
      <c r="D556" s="73"/>
      <c r="E556" s="73"/>
      <c r="F556" s="72"/>
    </row>
    <row r="557" ht="14.25" customHeight="1">
      <c r="A557" s="73"/>
      <c r="B557" s="73"/>
      <c r="C557" s="73"/>
      <c r="D557" s="73"/>
      <c r="E557" s="73"/>
      <c r="F557" s="72"/>
    </row>
    <row r="558" ht="14.25" customHeight="1">
      <c r="A558" s="73"/>
      <c r="B558" s="73"/>
      <c r="C558" s="73"/>
      <c r="D558" s="73"/>
      <c r="E558" s="73"/>
      <c r="F558" s="72"/>
    </row>
    <row r="559" ht="14.25" customHeight="1">
      <c r="A559" s="73"/>
      <c r="B559" s="73"/>
      <c r="C559" s="73"/>
      <c r="D559" s="73"/>
      <c r="E559" s="73"/>
      <c r="F559" s="72"/>
    </row>
    <row r="560" ht="14.25" customHeight="1">
      <c r="A560" s="73"/>
      <c r="B560" s="73"/>
      <c r="C560" s="73"/>
      <c r="D560" s="73"/>
      <c r="E560" s="73"/>
      <c r="F560" s="72"/>
    </row>
    <row r="561" ht="14.25" customHeight="1">
      <c r="A561" s="73"/>
      <c r="B561" s="73"/>
      <c r="C561" s="73"/>
      <c r="D561" s="73"/>
      <c r="E561" s="73"/>
      <c r="F561" s="72"/>
    </row>
    <row r="562" ht="14.25" customHeight="1">
      <c r="A562" s="73"/>
      <c r="B562" s="73"/>
      <c r="C562" s="73"/>
      <c r="D562" s="73"/>
      <c r="E562" s="73"/>
      <c r="F562" s="72"/>
    </row>
    <row r="563" ht="14.25" customHeight="1">
      <c r="A563" s="73"/>
      <c r="B563" s="73"/>
      <c r="C563" s="73"/>
      <c r="D563" s="73"/>
      <c r="E563" s="73"/>
      <c r="F563" s="72"/>
    </row>
    <row r="564" ht="14.25" customHeight="1">
      <c r="A564" s="73"/>
      <c r="B564" s="73"/>
      <c r="C564" s="73"/>
      <c r="D564" s="73"/>
      <c r="E564" s="73"/>
      <c r="F564" s="72"/>
    </row>
    <row r="565" ht="14.25" customHeight="1">
      <c r="A565" s="73"/>
      <c r="B565" s="73"/>
      <c r="C565" s="73"/>
      <c r="D565" s="73"/>
      <c r="E565" s="73"/>
      <c r="F565" s="72"/>
    </row>
    <row r="566" ht="14.25" customHeight="1">
      <c r="A566" s="73"/>
      <c r="B566" s="73"/>
      <c r="C566" s="73"/>
      <c r="D566" s="73"/>
      <c r="E566" s="73"/>
      <c r="F566" s="72"/>
    </row>
    <row r="567" ht="14.25" customHeight="1">
      <c r="A567" s="73"/>
      <c r="B567" s="73"/>
      <c r="C567" s="73"/>
      <c r="D567" s="73"/>
      <c r="E567" s="73"/>
      <c r="F567" s="72"/>
    </row>
    <row r="568" ht="14.25" customHeight="1">
      <c r="A568" s="73"/>
      <c r="B568" s="73"/>
      <c r="C568" s="73"/>
      <c r="D568" s="73"/>
      <c r="E568" s="73"/>
      <c r="F568" s="72"/>
    </row>
    <row r="569" ht="14.25" customHeight="1">
      <c r="A569" s="73"/>
      <c r="B569" s="73"/>
      <c r="C569" s="73"/>
      <c r="D569" s="73"/>
      <c r="E569" s="73"/>
      <c r="F569" s="72"/>
    </row>
    <row r="570" ht="14.25" customHeight="1">
      <c r="A570" s="73"/>
      <c r="B570" s="73"/>
      <c r="C570" s="73"/>
      <c r="D570" s="73"/>
      <c r="E570" s="73"/>
      <c r="F570" s="72"/>
    </row>
    <row r="571" ht="14.25" customHeight="1">
      <c r="A571" s="73"/>
      <c r="B571" s="73"/>
      <c r="C571" s="73"/>
      <c r="D571" s="73"/>
      <c r="E571" s="73"/>
      <c r="F571" s="72"/>
    </row>
    <row r="572" ht="14.25" customHeight="1">
      <c r="A572" s="73"/>
      <c r="B572" s="73"/>
      <c r="C572" s="73"/>
      <c r="D572" s="73"/>
      <c r="E572" s="73"/>
      <c r="F572" s="72"/>
    </row>
    <row r="573" ht="14.25" customHeight="1">
      <c r="A573" s="73"/>
      <c r="B573" s="73"/>
      <c r="C573" s="73"/>
      <c r="D573" s="73"/>
      <c r="E573" s="73"/>
      <c r="F573" s="72"/>
    </row>
    <row r="574" ht="14.25" customHeight="1">
      <c r="A574" s="73"/>
      <c r="B574" s="73"/>
      <c r="C574" s="73"/>
      <c r="D574" s="73"/>
      <c r="E574" s="73"/>
      <c r="F574" s="72"/>
    </row>
    <row r="575" ht="14.25" customHeight="1">
      <c r="A575" s="73"/>
      <c r="B575" s="73"/>
      <c r="C575" s="73"/>
      <c r="D575" s="73"/>
      <c r="E575" s="73"/>
      <c r="F575" s="72"/>
    </row>
    <row r="576" ht="14.25" customHeight="1">
      <c r="A576" s="73"/>
      <c r="B576" s="73"/>
      <c r="C576" s="73"/>
      <c r="D576" s="73"/>
      <c r="E576" s="73"/>
      <c r="F576" s="72"/>
    </row>
    <row r="577" ht="14.25" customHeight="1">
      <c r="A577" s="73"/>
      <c r="B577" s="73"/>
      <c r="C577" s="73"/>
      <c r="D577" s="73"/>
      <c r="E577" s="73"/>
      <c r="F577" s="72"/>
    </row>
    <row r="578" ht="14.25" customHeight="1">
      <c r="A578" s="73"/>
      <c r="B578" s="73"/>
      <c r="C578" s="73"/>
      <c r="D578" s="73"/>
      <c r="E578" s="73"/>
      <c r="F578" s="72"/>
    </row>
    <row r="579" ht="14.25" customHeight="1">
      <c r="A579" s="73"/>
      <c r="B579" s="73"/>
      <c r="C579" s="73"/>
      <c r="D579" s="73"/>
      <c r="E579" s="73"/>
      <c r="F579" s="72"/>
    </row>
    <row r="580" ht="14.25" customHeight="1">
      <c r="A580" s="73"/>
      <c r="B580" s="73"/>
      <c r="C580" s="73"/>
      <c r="D580" s="73"/>
      <c r="E580" s="73"/>
      <c r="F580" s="72"/>
    </row>
    <row r="581" ht="14.25" customHeight="1">
      <c r="A581" s="73"/>
      <c r="B581" s="73"/>
      <c r="C581" s="73"/>
      <c r="D581" s="73"/>
      <c r="E581" s="73"/>
      <c r="F581" s="72"/>
    </row>
    <row r="582" ht="14.25" customHeight="1">
      <c r="A582" s="73"/>
      <c r="B582" s="73"/>
      <c r="C582" s="73"/>
      <c r="D582" s="73"/>
      <c r="E582" s="73"/>
      <c r="F582" s="72"/>
    </row>
    <row r="583" ht="14.25" customHeight="1">
      <c r="A583" s="73"/>
      <c r="B583" s="73"/>
      <c r="C583" s="73"/>
      <c r="D583" s="73"/>
      <c r="E583" s="73"/>
      <c r="F583" s="72"/>
    </row>
    <row r="584" ht="14.25" customHeight="1">
      <c r="A584" s="73"/>
      <c r="B584" s="73"/>
      <c r="C584" s="73"/>
      <c r="D584" s="73"/>
      <c r="E584" s="73"/>
      <c r="F584" s="72"/>
    </row>
    <row r="585" ht="14.25" customHeight="1">
      <c r="A585" s="73"/>
      <c r="B585" s="73"/>
      <c r="C585" s="73"/>
      <c r="D585" s="73"/>
      <c r="E585" s="73"/>
      <c r="F585" s="72"/>
    </row>
    <row r="586" ht="14.25" customHeight="1">
      <c r="A586" s="73"/>
      <c r="B586" s="73"/>
      <c r="C586" s="73"/>
      <c r="D586" s="73"/>
      <c r="E586" s="73"/>
      <c r="F586" s="72"/>
    </row>
    <row r="587" ht="14.25" customHeight="1">
      <c r="A587" s="73"/>
      <c r="B587" s="73"/>
      <c r="C587" s="73"/>
      <c r="D587" s="73"/>
      <c r="E587" s="73"/>
      <c r="F587" s="72"/>
    </row>
    <row r="588" ht="14.25" customHeight="1">
      <c r="A588" s="73"/>
      <c r="B588" s="73"/>
      <c r="C588" s="73"/>
      <c r="D588" s="73"/>
      <c r="E588" s="73"/>
      <c r="F588" s="72"/>
    </row>
    <row r="589" ht="14.25" customHeight="1">
      <c r="A589" s="73"/>
      <c r="B589" s="73"/>
      <c r="C589" s="73"/>
      <c r="D589" s="73"/>
      <c r="E589" s="73"/>
      <c r="F589" s="72"/>
    </row>
    <row r="590" ht="14.25" customHeight="1">
      <c r="A590" s="73"/>
      <c r="B590" s="73"/>
      <c r="C590" s="73"/>
      <c r="D590" s="73"/>
      <c r="E590" s="73"/>
      <c r="F590" s="72"/>
    </row>
    <row r="591" ht="14.25" customHeight="1">
      <c r="A591" s="73"/>
      <c r="B591" s="73"/>
      <c r="C591" s="73"/>
      <c r="D591" s="73"/>
      <c r="E591" s="73"/>
      <c r="F591" s="72"/>
    </row>
    <row r="592" ht="14.25" customHeight="1">
      <c r="A592" s="73"/>
      <c r="B592" s="73"/>
      <c r="C592" s="73"/>
      <c r="D592" s="73"/>
      <c r="E592" s="73"/>
      <c r="F592" s="72"/>
    </row>
    <row r="593" ht="14.25" customHeight="1">
      <c r="A593" s="73"/>
      <c r="B593" s="73"/>
      <c r="C593" s="73"/>
      <c r="D593" s="73"/>
      <c r="E593" s="73"/>
      <c r="F593" s="72"/>
    </row>
    <row r="594" ht="14.25" customHeight="1">
      <c r="A594" s="73"/>
      <c r="B594" s="73"/>
      <c r="C594" s="73"/>
      <c r="D594" s="73"/>
      <c r="E594" s="73"/>
      <c r="F594" s="72"/>
    </row>
    <row r="595" ht="14.25" customHeight="1">
      <c r="A595" s="73"/>
      <c r="B595" s="73"/>
      <c r="C595" s="73"/>
      <c r="D595" s="73"/>
      <c r="E595" s="73"/>
      <c r="F595" s="72"/>
    </row>
    <row r="596" ht="14.25" customHeight="1">
      <c r="A596" s="73"/>
      <c r="B596" s="73"/>
      <c r="C596" s="73"/>
      <c r="D596" s="73"/>
      <c r="E596" s="73"/>
      <c r="F596" s="72"/>
    </row>
    <row r="597" ht="14.25" customHeight="1">
      <c r="A597" s="73"/>
      <c r="B597" s="73"/>
      <c r="C597" s="73"/>
      <c r="D597" s="73"/>
      <c r="E597" s="73"/>
      <c r="F597" s="72"/>
    </row>
    <row r="598" ht="14.25" customHeight="1">
      <c r="A598" s="73"/>
      <c r="B598" s="73"/>
      <c r="C598" s="73"/>
      <c r="D598" s="73"/>
      <c r="E598" s="73"/>
      <c r="F598" s="72"/>
    </row>
    <row r="599" ht="14.25" customHeight="1">
      <c r="A599" s="73"/>
      <c r="B599" s="73"/>
      <c r="C599" s="73"/>
      <c r="D599" s="73"/>
      <c r="E599" s="73"/>
      <c r="F599" s="72"/>
    </row>
    <row r="600" ht="14.25" customHeight="1">
      <c r="A600" s="73"/>
      <c r="B600" s="73"/>
      <c r="C600" s="73"/>
      <c r="D600" s="73"/>
      <c r="E600" s="73"/>
      <c r="F600" s="72"/>
    </row>
    <row r="601" ht="14.25" customHeight="1">
      <c r="A601" s="73"/>
      <c r="B601" s="73"/>
      <c r="C601" s="73"/>
      <c r="D601" s="73"/>
      <c r="E601" s="73"/>
      <c r="F601" s="72"/>
    </row>
    <row r="602" ht="14.25" customHeight="1">
      <c r="A602" s="73"/>
      <c r="B602" s="73"/>
      <c r="C602" s="73"/>
      <c r="D602" s="73"/>
      <c r="E602" s="73"/>
      <c r="F602" s="72"/>
    </row>
    <row r="603" ht="14.25" customHeight="1">
      <c r="A603" s="73"/>
      <c r="B603" s="73"/>
      <c r="C603" s="73"/>
      <c r="D603" s="73"/>
      <c r="E603" s="73"/>
      <c r="F603" s="72"/>
    </row>
    <row r="604" ht="14.25" customHeight="1">
      <c r="A604" s="73"/>
      <c r="B604" s="73"/>
      <c r="C604" s="73"/>
      <c r="D604" s="73"/>
      <c r="E604" s="73"/>
      <c r="F604" s="72"/>
    </row>
    <row r="605" ht="14.25" customHeight="1">
      <c r="A605" s="73"/>
      <c r="B605" s="73"/>
      <c r="C605" s="73"/>
      <c r="D605" s="73"/>
      <c r="E605" s="73"/>
      <c r="F605" s="72"/>
    </row>
    <row r="606" ht="14.25" customHeight="1">
      <c r="A606" s="73"/>
      <c r="B606" s="73"/>
      <c r="C606" s="73"/>
      <c r="D606" s="73"/>
      <c r="E606" s="73"/>
      <c r="F606" s="72"/>
    </row>
    <row r="607" ht="14.25" customHeight="1">
      <c r="A607" s="73"/>
      <c r="B607" s="73"/>
      <c r="C607" s="73"/>
      <c r="D607" s="73"/>
      <c r="E607" s="73"/>
      <c r="F607" s="72"/>
    </row>
    <row r="608" ht="14.25" customHeight="1">
      <c r="A608" s="73"/>
      <c r="B608" s="73"/>
      <c r="C608" s="73"/>
      <c r="D608" s="73"/>
      <c r="E608" s="73"/>
      <c r="F608" s="72"/>
    </row>
    <row r="609" ht="14.25" customHeight="1">
      <c r="A609" s="73"/>
      <c r="B609" s="73"/>
      <c r="C609" s="73"/>
      <c r="D609" s="73"/>
      <c r="E609" s="73"/>
      <c r="F609" s="72"/>
    </row>
    <row r="610" ht="14.25" customHeight="1">
      <c r="A610" s="73"/>
      <c r="B610" s="73"/>
      <c r="C610" s="73"/>
      <c r="D610" s="73"/>
      <c r="E610" s="73"/>
      <c r="F610" s="72"/>
    </row>
    <row r="611" ht="14.25" customHeight="1">
      <c r="A611" s="73"/>
      <c r="B611" s="73"/>
      <c r="C611" s="73"/>
      <c r="D611" s="73"/>
      <c r="E611" s="73"/>
      <c r="F611" s="72"/>
    </row>
    <row r="612" ht="14.25" customHeight="1">
      <c r="A612" s="73"/>
      <c r="B612" s="73"/>
      <c r="C612" s="73"/>
      <c r="D612" s="73"/>
      <c r="E612" s="73"/>
      <c r="F612" s="72"/>
    </row>
    <row r="613" ht="14.25" customHeight="1">
      <c r="A613" s="73"/>
      <c r="B613" s="73"/>
      <c r="C613" s="73"/>
      <c r="D613" s="73"/>
      <c r="E613" s="73"/>
      <c r="F613" s="72"/>
    </row>
    <row r="614" ht="14.25" customHeight="1">
      <c r="A614" s="73"/>
      <c r="B614" s="73"/>
      <c r="C614" s="73"/>
      <c r="D614" s="73"/>
      <c r="E614" s="73"/>
      <c r="F614" s="72"/>
    </row>
    <row r="615" ht="14.25" customHeight="1">
      <c r="A615" s="73"/>
      <c r="B615" s="73"/>
      <c r="C615" s="73"/>
      <c r="D615" s="73"/>
      <c r="E615" s="73"/>
      <c r="F615" s="72"/>
    </row>
    <row r="616" ht="14.25" customHeight="1">
      <c r="A616" s="73"/>
      <c r="B616" s="73"/>
      <c r="C616" s="73"/>
      <c r="D616" s="73"/>
      <c r="E616" s="73"/>
      <c r="F616" s="72"/>
    </row>
    <row r="617" ht="14.25" customHeight="1">
      <c r="A617" s="73"/>
      <c r="B617" s="73"/>
      <c r="C617" s="73"/>
      <c r="D617" s="73"/>
      <c r="E617" s="73"/>
      <c r="F617" s="72"/>
    </row>
    <row r="618" ht="14.25" customHeight="1">
      <c r="A618" s="73"/>
      <c r="B618" s="73"/>
      <c r="C618" s="73"/>
      <c r="D618" s="73"/>
      <c r="E618" s="73"/>
      <c r="F618" s="72"/>
    </row>
    <row r="619" ht="14.25" customHeight="1">
      <c r="A619" s="73"/>
      <c r="B619" s="73"/>
      <c r="C619" s="73"/>
      <c r="D619" s="73"/>
      <c r="E619" s="73"/>
      <c r="F619" s="72"/>
    </row>
    <row r="620" ht="14.25" customHeight="1">
      <c r="A620" s="73"/>
      <c r="B620" s="73"/>
      <c r="C620" s="73"/>
      <c r="D620" s="73"/>
      <c r="E620" s="73"/>
      <c r="F620" s="72"/>
    </row>
    <row r="621" ht="14.25" customHeight="1">
      <c r="A621" s="73"/>
      <c r="B621" s="73"/>
      <c r="C621" s="73"/>
      <c r="D621" s="73"/>
      <c r="E621" s="73"/>
      <c r="F621" s="72"/>
    </row>
    <row r="622" ht="14.25" customHeight="1">
      <c r="A622" s="73"/>
      <c r="B622" s="73"/>
      <c r="C622" s="73"/>
      <c r="D622" s="73"/>
      <c r="E622" s="73"/>
      <c r="F622" s="72"/>
    </row>
    <row r="623" ht="14.25" customHeight="1">
      <c r="A623" s="73"/>
      <c r="B623" s="73"/>
      <c r="C623" s="73"/>
      <c r="D623" s="73"/>
      <c r="E623" s="73"/>
      <c r="F623" s="72"/>
    </row>
    <row r="624" ht="14.25" customHeight="1">
      <c r="A624" s="73"/>
      <c r="B624" s="73"/>
      <c r="C624" s="73"/>
      <c r="D624" s="73"/>
      <c r="E624" s="73"/>
      <c r="F624" s="72"/>
    </row>
    <row r="625" ht="14.25" customHeight="1">
      <c r="A625" s="73"/>
      <c r="B625" s="73"/>
      <c r="C625" s="73"/>
      <c r="D625" s="73"/>
      <c r="E625" s="73"/>
      <c r="F625" s="72"/>
    </row>
    <row r="626" ht="14.25" customHeight="1">
      <c r="A626" s="73"/>
      <c r="B626" s="73"/>
      <c r="C626" s="73"/>
      <c r="D626" s="73"/>
      <c r="E626" s="73"/>
      <c r="F626" s="72"/>
    </row>
    <row r="627" ht="14.25" customHeight="1">
      <c r="A627" s="73"/>
      <c r="B627" s="73"/>
      <c r="C627" s="73"/>
      <c r="D627" s="73"/>
      <c r="E627" s="73"/>
      <c r="F627" s="72"/>
    </row>
    <row r="628" ht="14.25" customHeight="1">
      <c r="A628" s="73"/>
      <c r="B628" s="73"/>
      <c r="C628" s="73"/>
      <c r="D628" s="73"/>
      <c r="E628" s="73"/>
      <c r="F628" s="72"/>
    </row>
    <row r="629" ht="14.25" customHeight="1">
      <c r="A629" s="73"/>
      <c r="B629" s="73"/>
      <c r="C629" s="73"/>
      <c r="D629" s="73"/>
      <c r="E629" s="73"/>
      <c r="F629" s="72"/>
    </row>
    <row r="630" ht="14.25" customHeight="1">
      <c r="A630" s="73"/>
      <c r="B630" s="73"/>
      <c r="C630" s="73"/>
      <c r="D630" s="73"/>
      <c r="E630" s="73"/>
      <c r="F630" s="72"/>
    </row>
    <row r="631" ht="14.25" customHeight="1">
      <c r="A631" s="73"/>
      <c r="B631" s="73"/>
      <c r="C631" s="73"/>
      <c r="D631" s="73"/>
      <c r="E631" s="73"/>
      <c r="F631" s="72"/>
    </row>
    <row r="632" ht="14.25" customHeight="1">
      <c r="A632" s="73"/>
      <c r="B632" s="73"/>
      <c r="C632" s="73"/>
      <c r="D632" s="73"/>
      <c r="E632" s="73"/>
      <c r="F632" s="72"/>
    </row>
    <row r="633" ht="14.25" customHeight="1">
      <c r="A633" s="73"/>
      <c r="B633" s="73"/>
      <c r="C633" s="73"/>
      <c r="D633" s="73"/>
      <c r="E633" s="73"/>
      <c r="F633" s="72"/>
    </row>
    <row r="634" ht="14.25" customHeight="1">
      <c r="A634" s="73"/>
      <c r="B634" s="73"/>
      <c r="C634" s="73"/>
      <c r="D634" s="73"/>
      <c r="E634" s="73"/>
      <c r="F634" s="72"/>
    </row>
    <row r="635" ht="14.25" customHeight="1">
      <c r="A635" s="73"/>
      <c r="B635" s="73"/>
      <c r="C635" s="73"/>
      <c r="D635" s="73"/>
      <c r="E635" s="73"/>
      <c r="F635" s="72"/>
    </row>
    <row r="636" ht="14.25" customHeight="1">
      <c r="A636" s="73"/>
      <c r="B636" s="73"/>
      <c r="C636" s="73"/>
      <c r="D636" s="73"/>
      <c r="E636" s="73"/>
      <c r="F636" s="72"/>
    </row>
    <row r="637" ht="14.25" customHeight="1">
      <c r="A637" s="73"/>
      <c r="B637" s="73"/>
      <c r="C637" s="73"/>
      <c r="D637" s="73"/>
      <c r="E637" s="73"/>
      <c r="F637" s="72"/>
    </row>
    <row r="638" ht="14.25" customHeight="1">
      <c r="A638" s="73"/>
      <c r="B638" s="73"/>
      <c r="C638" s="73"/>
      <c r="D638" s="73"/>
      <c r="E638" s="73"/>
      <c r="F638" s="72"/>
    </row>
    <row r="639" ht="14.25" customHeight="1">
      <c r="A639" s="73"/>
      <c r="B639" s="73"/>
      <c r="C639" s="73"/>
      <c r="D639" s="73"/>
      <c r="E639" s="73"/>
      <c r="F639" s="72"/>
    </row>
    <row r="640" ht="14.25" customHeight="1">
      <c r="A640" s="73"/>
      <c r="B640" s="73"/>
      <c r="C640" s="73"/>
      <c r="D640" s="73"/>
      <c r="E640" s="73"/>
      <c r="F640" s="72"/>
    </row>
    <row r="641" ht="14.25" customHeight="1">
      <c r="A641" s="73"/>
      <c r="B641" s="73"/>
      <c r="C641" s="73"/>
      <c r="D641" s="73"/>
      <c r="E641" s="73"/>
      <c r="F641" s="72"/>
    </row>
    <row r="642" ht="14.25" customHeight="1">
      <c r="A642" s="73"/>
      <c r="B642" s="73"/>
      <c r="C642" s="73"/>
      <c r="D642" s="73"/>
      <c r="E642" s="73"/>
      <c r="F642" s="72"/>
    </row>
    <row r="643" ht="14.25" customHeight="1">
      <c r="A643" s="73"/>
      <c r="B643" s="73"/>
      <c r="C643" s="73"/>
      <c r="D643" s="73"/>
      <c r="E643" s="73"/>
      <c r="F643" s="72"/>
    </row>
    <row r="644" ht="14.25" customHeight="1">
      <c r="A644" s="73"/>
      <c r="B644" s="73"/>
      <c r="C644" s="73"/>
      <c r="D644" s="73"/>
      <c r="E644" s="73"/>
      <c r="F644" s="72"/>
    </row>
    <row r="645" ht="14.25" customHeight="1">
      <c r="A645" s="73"/>
      <c r="B645" s="73"/>
      <c r="C645" s="73"/>
      <c r="D645" s="73"/>
      <c r="E645" s="73"/>
      <c r="F645" s="72"/>
    </row>
    <row r="646" ht="14.25" customHeight="1">
      <c r="A646" s="73"/>
      <c r="B646" s="73"/>
      <c r="C646" s="73"/>
      <c r="D646" s="73"/>
      <c r="E646" s="73"/>
      <c r="F646" s="72"/>
    </row>
    <row r="647" ht="14.25" customHeight="1">
      <c r="A647" s="73"/>
      <c r="B647" s="73"/>
      <c r="C647" s="73"/>
      <c r="D647" s="73"/>
      <c r="E647" s="73"/>
      <c r="F647" s="72"/>
    </row>
    <row r="648" ht="14.25" customHeight="1">
      <c r="A648" s="73"/>
      <c r="B648" s="73"/>
      <c r="C648" s="73"/>
      <c r="D648" s="73"/>
      <c r="E648" s="73"/>
      <c r="F648" s="72"/>
    </row>
    <row r="649" ht="14.25" customHeight="1">
      <c r="A649" s="73"/>
      <c r="B649" s="73"/>
      <c r="C649" s="73"/>
      <c r="D649" s="73"/>
      <c r="E649" s="73"/>
      <c r="F649" s="72"/>
    </row>
    <row r="650" ht="14.25" customHeight="1">
      <c r="A650" s="73"/>
      <c r="B650" s="73"/>
      <c r="C650" s="73"/>
      <c r="D650" s="73"/>
      <c r="E650" s="73"/>
      <c r="F650" s="72"/>
    </row>
    <row r="651" ht="14.25" customHeight="1">
      <c r="A651" s="73"/>
      <c r="B651" s="73"/>
      <c r="C651" s="73"/>
      <c r="D651" s="73"/>
      <c r="E651" s="73"/>
      <c r="F651" s="72"/>
    </row>
    <row r="652" ht="14.25" customHeight="1">
      <c r="A652" s="73"/>
      <c r="B652" s="73"/>
      <c r="C652" s="73"/>
      <c r="D652" s="73"/>
      <c r="E652" s="73"/>
      <c r="F652" s="72"/>
    </row>
    <row r="653" ht="14.25" customHeight="1">
      <c r="A653" s="73"/>
      <c r="B653" s="73"/>
      <c r="C653" s="73"/>
      <c r="D653" s="73"/>
      <c r="E653" s="73"/>
      <c r="F653" s="72"/>
    </row>
    <row r="654" ht="14.25" customHeight="1">
      <c r="A654" s="73"/>
      <c r="B654" s="73"/>
      <c r="C654" s="73"/>
      <c r="D654" s="73"/>
      <c r="E654" s="73"/>
      <c r="F654" s="72"/>
    </row>
    <row r="655" ht="14.25" customHeight="1">
      <c r="A655" s="73"/>
      <c r="B655" s="73"/>
      <c r="C655" s="73"/>
      <c r="D655" s="73"/>
      <c r="E655" s="73"/>
      <c r="F655" s="72"/>
    </row>
    <row r="656" ht="14.25" customHeight="1">
      <c r="A656" s="73"/>
      <c r="B656" s="73"/>
      <c r="C656" s="73"/>
      <c r="D656" s="73"/>
      <c r="E656" s="73"/>
      <c r="F656" s="72"/>
    </row>
    <row r="657" ht="14.25" customHeight="1">
      <c r="A657" s="73"/>
      <c r="B657" s="73"/>
      <c r="C657" s="73"/>
      <c r="D657" s="73"/>
      <c r="E657" s="73"/>
      <c r="F657" s="72"/>
    </row>
    <row r="658" ht="14.25" customHeight="1">
      <c r="A658" s="73"/>
      <c r="B658" s="73"/>
      <c r="C658" s="73"/>
      <c r="D658" s="73"/>
      <c r="E658" s="73"/>
      <c r="F658" s="72"/>
    </row>
    <row r="659" ht="14.25" customHeight="1">
      <c r="A659" s="73"/>
      <c r="B659" s="73"/>
      <c r="C659" s="73"/>
      <c r="D659" s="73"/>
      <c r="E659" s="73"/>
      <c r="F659" s="72"/>
    </row>
    <row r="660" ht="14.25" customHeight="1">
      <c r="A660" s="73"/>
      <c r="B660" s="73"/>
      <c r="C660" s="73"/>
      <c r="D660" s="73"/>
      <c r="E660" s="73"/>
      <c r="F660" s="72"/>
    </row>
    <row r="661" ht="14.25" customHeight="1">
      <c r="A661" s="73"/>
      <c r="B661" s="73"/>
      <c r="C661" s="73"/>
      <c r="D661" s="73"/>
      <c r="E661" s="73"/>
      <c r="F661" s="72"/>
    </row>
    <row r="662" ht="14.25" customHeight="1">
      <c r="A662" s="73"/>
      <c r="B662" s="73"/>
      <c r="C662" s="73"/>
      <c r="D662" s="73"/>
      <c r="E662" s="73"/>
      <c r="F662" s="72"/>
    </row>
    <row r="663" ht="14.25" customHeight="1">
      <c r="A663" s="73"/>
      <c r="B663" s="73"/>
      <c r="C663" s="73"/>
      <c r="D663" s="73"/>
      <c r="E663" s="73"/>
      <c r="F663" s="72"/>
    </row>
    <row r="664" ht="14.25" customHeight="1">
      <c r="A664" s="73"/>
      <c r="B664" s="73"/>
      <c r="C664" s="73"/>
      <c r="D664" s="73"/>
      <c r="E664" s="73"/>
      <c r="F664" s="72"/>
    </row>
    <row r="665" ht="14.25" customHeight="1">
      <c r="A665" s="73"/>
      <c r="B665" s="73"/>
      <c r="C665" s="73"/>
      <c r="D665" s="73"/>
      <c r="E665" s="73"/>
      <c r="F665" s="72"/>
    </row>
    <row r="666" ht="14.25" customHeight="1">
      <c r="A666" s="73"/>
      <c r="B666" s="73"/>
      <c r="C666" s="73"/>
      <c r="D666" s="73"/>
      <c r="E666" s="73"/>
      <c r="F666" s="72"/>
    </row>
    <row r="667" ht="14.25" customHeight="1">
      <c r="A667" s="73"/>
      <c r="B667" s="73"/>
      <c r="C667" s="73"/>
      <c r="D667" s="73"/>
      <c r="E667" s="73"/>
      <c r="F667" s="72"/>
    </row>
    <row r="668" ht="14.25" customHeight="1">
      <c r="A668" s="73"/>
      <c r="B668" s="73"/>
      <c r="C668" s="73"/>
      <c r="D668" s="73"/>
      <c r="E668" s="73"/>
      <c r="F668" s="72"/>
    </row>
    <row r="669" ht="14.25" customHeight="1">
      <c r="A669" s="73"/>
      <c r="B669" s="73"/>
      <c r="C669" s="73"/>
      <c r="D669" s="73"/>
      <c r="E669" s="73"/>
      <c r="F669" s="72"/>
    </row>
    <row r="670" ht="14.25" customHeight="1">
      <c r="A670" s="73"/>
      <c r="B670" s="73"/>
      <c r="C670" s="73"/>
      <c r="D670" s="73"/>
      <c r="E670" s="73"/>
      <c r="F670" s="72"/>
    </row>
    <row r="671" ht="14.25" customHeight="1">
      <c r="A671" s="73"/>
      <c r="B671" s="73"/>
      <c r="C671" s="73"/>
      <c r="D671" s="73"/>
      <c r="E671" s="73"/>
      <c r="F671" s="72"/>
    </row>
    <row r="672" ht="14.25" customHeight="1">
      <c r="A672" s="73"/>
      <c r="B672" s="73"/>
      <c r="C672" s="73"/>
      <c r="D672" s="73"/>
      <c r="E672" s="73"/>
      <c r="F672" s="72"/>
    </row>
    <row r="673" ht="14.25" customHeight="1">
      <c r="A673" s="73"/>
      <c r="B673" s="73"/>
      <c r="C673" s="73"/>
      <c r="D673" s="73"/>
      <c r="E673" s="73"/>
      <c r="F673" s="72"/>
    </row>
    <row r="674" ht="14.25" customHeight="1">
      <c r="A674" s="73"/>
      <c r="B674" s="73"/>
      <c r="C674" s="73"/>
      <c r="D674" s="73"/>
      <c r="E674" s="73"/>
      <c r="F674" s="72"/>
    </row>
    <row r="675" ht="14.25" customHeight="1">
      <c r="A675" s="73"/>
      <c r="B675" s="73"/>
      <c r="C675" s="73"/>
      <c r="D675" s="73"/>
      <c r="E675" s="73"/>
      <c r="F675" s="72"/>
    </row>
    <row r="676" ht="14.25" customHeight="1">
      <c r="A676" s="73"/>
      <c r="B676" s="73"/>
      <c r="C676" s="73"/>
      <c r="D676" s="73"/>
      <c r="E676" s="73"/>
      <c r="F676" s="72"/>
    </row>
    <row r="677" ht="14.25" customHeight="1">
      <c r="A677" s="73"/>
      <c r="B677" s="73"/>
      <c r="C677" s="73"/>
      <c r="D677" s="73"/>
      <c r="E677" s="73"/>
      <c r="F677" s="72"/>
    </row>
    <row r="678" ht="14.25" customHeight="1">
      <c r="A678" s="73"/>
      <c r="B678" s="73"/>
      <c r="C678" s="73"/>
      <c r="D678" s="73"/>
      <c r="E678" s="73"/>
      <c r="F678" s="72"/>
    </row>
    <row r="679" ht="14.25" customHeight="1">
      <c r="A679" s="73"/>
      <c r="B679" s="73"/>
      <c r="C679" s="73"/>
      <c r="D679" s="73"/>
      <c r="E679" s="73"/>
      <c r="F679" s="72"/>
    </row>
    <row r="680" ht="14.25" customHeight="1">
      <c r="A680" s="73"/>
      <c r="B680" s="73"/>
      <c r="C680" s="73"/>
      <c r="D680" s="73"/>
      <c r="E680" s="73"/>
      <c r="F680" s="72"/>
    </row>
    <row r="681" ht="14.25" customHeight="1">
      <c r="A681" s="73"/>
      <c r="B681" s="73"/>
      <c r="C681" s="73"/>
      <c r="D681" s="73"/>
      <c r="E681" s="73"/>
      <c r="F681" s="72"/>
    </row>
    <row r="682" ht="14.25" customHeight="1">
      <c r="A682" s="73"/>
      <c r="B682" s="73"/>
      <c r="C682" s="73"/>
      <c r="D682" s="73"/>
      <c r="E682" s="73"/>
      <c r="F682" s="72"/>
    </row>
    <row r="683" ht="14.25" customHeight="1">
      <c r="A683" s="73"/>
      <c r="B683" s="73"/>
      <c r="C683" s="73"/>
      <c r="D683" s="73"/>
      <c r="E683" s="73"/>
      <c r="F683" s="72"/>
    </row>
    <row r="684" ht="14.25" customHeight="1">
      <c r="A684" s="73"/>
      <c r="B684" s="73"/>
      <c r="C684" s="73"/>
      <c r="D684" s="73"/>
      <c r="E684" s="73"/>
      <c r="F684" s="72"/>
    </row>
    <row r="685" ht="14.25" customHeight="1">
      <c r="A685" s="73"/>
      <c r="B685" s="73"/>
      <c r="C685" s="73"/>
      <c r="D685" s="73"/>
      <c r="E685" s="73"/>
      <c r="F685" s="72"/>
    </row>
    <row r="686" ht="14.25" customHeight="1">
      <c r="A686" s="73"/>
      <c r="B686" s="73"/>
      <c r="C686" s="73"/>
      <c r="D686" s="73"/>
      <c r="E686" s="73"/>
      <c r="F686" s="72"/>
    </row>
    <row r="687" ht="14.25" customHeight="1">
      <c r="A687" s="73"/>
      <c r="B687" s="73"/>
      <c r="C687" s="73"/>
      <c r="D687" s="73"/>
      <c r="E687" s="73"/>
      <c r="F687" s="72"/>
    </row>
    <row r="688" ht="14.25" customHeight="1">
      <c r="A688" s="73"/>
      <c r="B688" s="73"/>
      <c r="C688" s="73"/>
      <c r="D688" s="73"/>
      <c r="E688" s="73"/>
      <c r="F688" s="72"/>
    </row>
    <row r="689" ht="14.25" customHeight="1">
      <c r="A689" s="73"/>
      <c r="B689" s="73"/>
      <c r="C689" s="73"/>
      <c r="D689" s="73"/>
      <c r="E689" s="73"/>
      <c r="F689" s="72"/>
    </row>
    <row r="690" ht="14.25" customHeight="1">
      <c r="A690" s="73"/>
      <c r="B690" s="73"/>
      <c r="C690" s="73"/>
      <c r="D690" s="73"/>
      <c r="E690" s="73"/>
      <c r="F690" s="72"/>
    </row>
    <row r="691" ht="14.25" customHeight="1">
      <c r="A691" s="73"/>
      <c r="B691" s="73"/>
      <c r="C691" s="73"/>
      <c r="D691" s="73"/>
      <c r="E691" s="73"/>
      <c r="F691" s="72"/>
    </row>
    <row r="692" ht="14.25" customHeight="1">
      <c r="A692" s="73"/>
      <c r="B692" s="73"/>
      <c r="C692" s="73"/>
      <c r="D692" s="73"/>
      <c r="E692" s="73"/>
      <c r="F692" s="72"/>
    </row>
    <row r="693" ht="14.25" customHeight="1">
      <c r="A693" s="73"/>
      <c r="B693" s="73"/>
      <c r="C693" s="73"/>
      <c r="D693" s="73"/>
      <c r="E693" s="73"/>
      <c r="F693" s="72"/>
    </row>
    <row r="694" ht="14.25" customHeight="1">
      <c r="A694" s="73"/>
      <c r="B694" s="73"/>
      <c r="C694" s="73"/>
      <c r="D694" s="73"/>
      <c r="E694" s="73"/>
      <c r="F694" s="72"/>
    </row>
    <row r="695" ht="14.25" customHeight="1">
      <c r="A695" s="73"/>
      <c r="B695" s="73"/>
      <c r="C695" s="73"/>
      <c r="D695" s="73"/>
      <c r="E695" s="73"/>
      <c r="F695" s="72"/>
    </row>
    <row r="696" ht="14.25" customHeight="1">
      <c r="A696" s="73"/>
      <c r="B696" s="73"/>
      <c r="C696" s="73"/>
      <c r="D696" s="73"/>
      <c r="E696" s="73"/>
      <c r="F696" s="72"/>
    </row>
    <row r="697" ht="14.25" customHeight="1">
      <c r="A697" s="73"/>
      <c r="B697" s="73"/>
      <c r="C697" s="73"/>
      <c r="D697" s="73"/>
      <c r="E697" s="73"/>
      <c r="F697" s="72"/>
    </row>
    <row r="698" ht="14.25" customHeight="1">
      <c r="A698" s="73"/>
      <c r="B698" s="73"/>
      <c r="C698" s="73"/>
      <c r="D698" s="73"/>
      <c r="E698" s="73"/>
      <c r="F698" s="72"/>
    </row>
    <row r="699" ht="14.25" customHeight="1">
      <c r="A699" s="73"/>
      <c r="B699" s="73"/>
      <c r="C699" s="73"/>
      <c r="D699" s="73"/>
      <c r="E699" s="73"/>
      <c r="F699" s="72"/>
    </row>
    <row r="700" ht="14.25" customHeight="1">
      <c r="A700" s="73"/>
      <c r="B700" s="73"/>
      <c r="C700" s="73"/>
      <c r="D700" s="73"/>
      <c r="E700" s="73"/>
      <c r="F700" s="72"/>
    </row>
    <row r="701" ht="14.25" customHeight="1">
      <c r="A701" s="73"/>
      <c r="B701" s="73"/>
      <c r="C701" s="73"/>
      <c r="D701" s="73"/>
      <c r="E701" s="73"/>
      <c r="F701" s="72"/>
    </row>
    <row r="702" ht="14.25" customHeight="1">
      <c r="A702" s="73"/>
      <c r="B702" s="73"/>
      <c r="C702" s="73"/>
      <c r="D702" s="73"/>
      <c r="E702" s="73"/>
      <c r="F702" s="72"/>
    </row>
    <row r="703" ht="14.25" customHeight="1">
      <c r="A703" s="73"/>
      <c r="B703" s="73"/>
      <c r="C703" s="73"/>
      <c r="D703" s="73"/>
      <c r="E703" s="73"/>
      <c r="F703" s="72"/>
    </row>
    <row r="704" ht="14.25" customHeight="1">
      <c r="A704" s="73"/>
      <c r="B704" s="73"/>
      <c r="C704" s="73"/>
      <c r="D704" s="73"/>
      <c r="E704" s="73"/>
      <c r="F704" s="72"/>
    </row>
    <row r="705" ht="14.25" customHeight="1">
      <c r="A705" s="73"/>
      <c r="B705" s="73"/>
      <c r="C705" s="73"/>
      <c r="D705" s="73"/>
      <c r="E705" s="73"/>
      <c r="F705" s="72"/>
    </row>
    <row r="706" ht="14.25" customHeight="1">
      <c r="A706" s="73"/>
      <c r="B706" s="73"/>
      <c r="C706" s="73"/>
      <c r="D706" s="73"/>
      <c r="E706" s="73"/>
      <c r="F706" s="72"/>
    </row>
    <row r="707" ht="14.25" customHeight="1">
      <c r="A707" s="73"/>
      <c r="B707" s="73"/>
      <c r="C707" s="73"/>
      <c r="D707" s="73"/>
      <c r="E707" s="73"/>
      <c r="F707" s="72"/>
    </row>
    <row r="708" ht="14.25" customHeight="1">
      <c r="A708" s="73"/>
      <c r="B708" s="73"/>
      <c r="C708" s="73"/>
      <c r="D708" s="73"/>
      <c r="E708" s="73"/>
      <c r="F708" s="72"/>
    </row>
    <row r="709" ht="14.25" customHeight="1">
      <c r="A709" s="73"/>
      <c r="B709" s="73"/>
      <c r="C709" s="73"/>
      <c r="D709" s="73"/>
      <c r="E709" s="73"/>
      <c r="F709" s="72"/>
    </row>
    <row r="710" ht="14.25" customHeight="1">
      <c r="A710" s="73"/>
      <c r="B710" s="73"/>
      <c r="C710" s="73"/>
      <c r="D710" s="73"/>
      <c r="E710" s="73"/>
      <c r="F710" s="72"/>
    </row>
    <row r="711" ht="14.25" customHeight="1">
      <c r="A711" s="73"/>
      <c r="B711" s="73"/>
      <c r="C711" s="73"/>
      <c r="D711" s="73"/>
      <c r="E711" s="73"/>
      <c r="F711" s="72"/>
    </row>
    <row r="712" ht="14.25" customHeight="1">
      <c r="A712" s="73"/>
      <c r="B712" s="73"/>
      <c r="C712" s="73"/>
      <c r="D712" s="73"/>
      <c r="E712" s="73"/>
      <c r="F712" s="72"/>
    </row>
    <row r="713" ht="14.25" customHeight="1">
      <c r="A713" s="73"/>
      <c r="B713" s="73"/>
      <c r="C713" s="73"/>
      <c r="D713" s="73"/>
      <c r="E713" s="73"/>
      <c r="F713" s="72"/>
    </row>
    <row r="714" ht="14.25" customHeight="1">
      <c r="A714" s="73"/>
      <c r="B714" s="73"/>
      <c r="C714" s="73"/>
      <c r="D714" s="73"/>
      <c r="E714" s="73"/>
      <c r="F714" s="72"/>
    </row>
    <row r="715" ht="14.25" customHeight="1">
      <c r="A715" s="73"/>
      <c r="B715" s="73"/>
      <c r="C715" s="73"/>
      <c r="D715" s="73"/>
      <c r="E715" s="73"/>
      <c r="F715" s="72"/>
    </row>
    <row r="716" ht="14.25" customHeight="1">
      <c r="A716" s="73"/>
      <c r="B716" s="73"/>
      <c r="C716" s="73"/>
      <c r="D716" s="73"/>
      <c r="E716" s="73"/>
      <c r="F716" s="72"/>
    </row>
    <row r="717" ht="14.25" customHeight="1">
      <c r="A717" s="73"/>
      <c r="B717" s="73"/>
      <c r="C717" s="73"/>
      <c r="D717" s="73"/>
      <c r="E717" s="73"/>
      <c r="F717" s="72"/>
    </row>
    <row r="718" ht="14.25" customHeight="1">
      <c r="A718" s="73"/>
      <c r="B718" s="73"/>
      <c r="C718" s="73"/>
      <c r="D718" s="73"/>
      <c r="E718" s="73"/>
      <c r="F718" s="72"/>
    </row>
    <row r="719" ht="14.25" customHeight="1">
      <c r="A719" s="73"/>
      <c r="B719" s="73"/>
      <c r="C719" s="73"/>
      <c r="D719" s="73"/>
      <c r="E719" s="73"/>
      <c r="F719" s="72"/>
    </row>
    <row r="720" ht="14.25" customHeight="1">
      <c r="A720" s="73"/>
      <c r="B720" s="73"/>
      <c r="C720" s="73"/>
      <c r="D720" s="73"/>
      <c r="E720" s="73"/>
      <c r="F720" s="72"/>
    </row>
    <row r="721" ht="14.25" customHeight="1">
      <c r="A721" s="73"/>
      <c r="B721" s="73"/>
      <c r="C721" s="73"/>
      <c r="D721" s="73"/>
      <c r="E721" s="73"/>
      <c r="F721" s="72"/>
    </row>
    <row r="722" ht="14.25" customHeight="1">
      <c r="A722" s="73"/>
      <c r="B722" s="73"/>
      <c r="C722" s="73"/>
      <c r="D722" s="73"/>
      <c r="E722" s="73"/>
      <c r="F722" s="72"/>
    </row>
    <row r="723" ht="14.25" customHeight="1">
      <c r="A723" s="73"/>
      <c r="B723" s="73"/>
      <c r="C723" s="73"/>
      <c r="D723" s="73"/>
      <c r="E723" s="73"/>
      <c r="F723" s="72"/>
    </row>
    <row r="724" ht="14.25" customHeight="1">
      <c r="A724" s="73"/>
      <c r="B724" s="73"/>
      <c r="C724" s="73"/>
      <c r="D724" s="73"/>
      <c r="E724" s="73"/>
      <c r="F724" s="72"/>
    </row>
    <row r="725" ht="14.25" customHeight="1">
      <c r="A725" s="73"/>
      <c r="B725" s="73"/>
      <c r="C725" s="73"/>
      <c r="D725" s="73"/>
      <c r="E725" s="73"/>
      <c r="F725" s="72"/>
    </row>
    <row r="726" ht="14.25" customHeight="1">
      <c r="A726" s="73"/>
      <c r="B726" s="73"/>
      <c r="C726" s="73"/>
      <c r="D726" s="73"/>
      <c r="E726" s="73"/>
      <c r="F726" s="72"/>
    </row>
    <row r="727" ht="14.25" customHeight="1">
      <c r="A727" s="73"/>
      <c r="B727" s="73"/>
      <c r="C727" s="73"/>
      <c r="D727" s="73"/>
      <c r="E727" s="73"/>
      <c r="F727" s="72"/>
    </row>
    <row r="728" ht="14.25" customHeight="1">
      <c r="A728" s="73"/>
      <c r="B728" s="73"/>
      <c r="C728" s="73"/>
      <c r="D728" s="73"/>
      <c r="E728" s="73"/>
      <c r="F728" s="72"/>
    </row>
    <row r="729" ht="14.25" customHeight="1">
      <c r="A729" s="73"/>
      <c r="B729" s="73"/>
      <c r="C729" s="73"/>
      <c r="D729" s="73"/>
      <c r="E729" s="73"/>
      <c r="F729" s="72"/>
    </row>
    <row r="730" ht="14.25" customHeight="1">
      <c r="A730" s="73"/>
      <c r="B730" s="73"/>
      <c r="C730" s="73"/>
      <c r="D730" s="73"/>
      <c r="E730" s="73"/>
      <c r="F730" s="72"/>
    </row>
    <row r="731" ht="14.25" customHeight="1">
      <c r="A731" s="73"/>
      <c r="B731" s="73"/>
      <c r="C731" s="73"/>
      <c r="D731" s="73"/>
      <c r="E731" s="73"/>
      <c r="F731" s="72"/>
    </row>
    <row r="732" ht="14.25" customHeight="1">
      <c r="A732" s="73"/>
      <c r="B732" s="73"/>
      <c r="C732" s="73"/>
      <c r="D732" s="73"/>
      <c r="E732" s="73"/>
      <c r="F732" s="72"/>
    </row>
    <row r="733" ht="14.25" customHeight="1">
      <c r="A733" s="73"/>
      <c r="B733" s="73"/>
      <c r="C733" s="73"/>
      <c r="D733" s="73"/>
      <c r="E733" s="73"/>
      <c r="F733" s="72"/>
    </row>
    <row r="734" ht="14.25" customHeight="1">
      <c r="A734" s="73"/>
      <c r="B734" s="73"/>
      <c r="C734" s="73"/>
      <c r="D734" s="73"/>
      <c r="E734" s="73"/>
      <c r="F734" s="72"/>
    </row>
    <row r="735" ht="14.25" customHeight="1">
      <c r="A735" s="73"/>
      <c r="B735" s="73"/>
      <c r="C735" s="73"/>
      <c r="D735" s="73"/>
      <c r="E735" s="73"/>
      <c r="F735" s="72"/>
    </row>
    <row r="736" ht="14.25" customHeight="1">
      <c r="A736" s="73"/>
      <c r="B736" s="73"/>
      <c r="C736" s="73"/>
      <c r="D736" s="73"/>
      <c r="E736" s="73"/>
      <c r="F736" s="72"/>
    </row>
    <row r="737" ht="14.25" customHeight="1">
      <c r="A737" s="73"/>
      <c r="B737" s="73"/>
      <c r="C737" s="73"/>
      <c r="D737" s="73"/>
      <c r="E737" s="73"/>
      <c r="F737" s="72"/>
    </row>
    <row r="738" ht="14.25" customHeight="1">
      <c r="A738" s="73"/>
      <c r="B738" s="73"/>
      <c r="C738" s="73"/>
      <c r="D738" s="73"/>
      <c r="E738" s="73"/>
      <c r="F738" s="72"/>
    </row>
    <row r="739" ht="14.25" customHeight="1">
      <c r="A739" s="73"/>
      <c r="B739" s="73"/>
      <c r="C739" s="73"/>
      <c r="D739" s="73"/>
      <c r="E739" s="73"/>
      <c r="F739" s="72"/>
    </row>
    <row r="740" ht="14.25" customHeight="1">
      <c r="A740" s="73"/>
      <c r="B740" s="73"/>
      <c r="C740" s="73"/>
      <c r="D740" s="73"/>
      <c r="E740" s="73"/>
      <c r="F740" s="72"/>
    </row>
    <row r="741" ht="14.25" customHeight="1">
      <c r="A741" s="73"/>
      <c r="B741" s="73"/>
      <c r="C741" s="73"/>
      <c r="D741" s="73"/>
      <c r="E741" s="73"/>
      <c r="F741" s="72"/>
    </row>
    <row r="742" ht="14.25" customHeight="1">
      <c r="A742" s="73"/>
      <c r="B742" s="73"/>
      <c r="C742" s="73"/>
      <c r="D742" s="73"/>
      <c r="E742" s="73"/>
      <c r="F742" s="72"/>
    </row>
    <row r="743" ht="14.25" customHeight="1">
      <c r="A743" s="73"/>
      <c r="B743" s="73"/>
      <c r="C743" s="73"/>
      <c r="D743" s="73"/>
      <c r="E743" s="73"/>
      <c r="F743" s="72"/>
    </row>
    <row r="744" ht="14.25" customHeight="1">
      <c r="A744" s="73"/>
      <c r="B744" s="73"/>
      <c r="C744" s="73"/>
      <c r="D744" s="73"/>
      <c r="E744" s="73"/>
      <c r="F744" s="72"/>
    </row>
    <row r="745" ht="14.25" customHeight="1">
      <c r="A745" s="73"/>
      <c r="B745" s="73"/>
      <c r="C745" s="73"/>
      <c r="D745" s="73"/>
      <c r="E745" s="73"/>
      <c r="F745" s="72"/>
    </row>
    <row r="746" ht="14.25" customHeight="1">
      <c r="A746" s="73"/>
      <c r="B746" s="73"/>
      <c r="C746" s="73"/>
      <c r="D746" s="73"/>
      <c r="E746" s="73"/>
      <c r="F746" s="72"/>
    </row>
    <row r="747" ht="14.25" customHeight="1">
      <c r="A747" s="73"/>
      <c r="B747" s="73"/>
      <c r="C747" s="73"/>
      <c r="D747" s="73"/>
      <c r="E747" s="73"/>
      <c r="F747" s="72"/>
    </row>
    <row r="748" ht="14.25" customHeight="1">
      <c r="A748" s="73"/>
      <c r="B748" s="73"/>
      <c r="C748" s="73"/>
      <c r="D748" s="73"/>
      <c r="E748" s="73"/>
      <c r="F748" s="72"/>
    </row>
    <row r="749" ht="14.25" customHeight="1">
      <c r="A749" s="73"/>
      <c r="B749" s="73"/>
      <c r="C749" s="73"/>
      <c r="D749" s="73"/>
      <c r="E749" s="73"/>
      <c r="F749" s="72"/>
    </row>
    <row r="750" ht="14.25" customHeight="1">
      <c r="A750" s="73"/>
      <c r="B750" s="73"/>
      <c r="C750" s="73"/>
      <c r="D750" s="73"/>
      <c r="E750" s="73"/>
      <c r="F750" s="72"/>
    </row>
    <row r="751" ht="14.25" customHeight="1">
      <c r="A751" s="73"/>
      <c r="B751" s="73"/>
      <c r="C751" s="73"/>
      <c r="D751" s="73"/>
      <c r="E751" s="73"/>
      <c r="F751" s="72"/>
    </row>
    <row r="752" ht="14.25" customHeight="1">
      <c r="A752" s="73"/>
      <c r="B752" s="73"/>
      <c r="C752" s="73"/>
      <c r="D752" s="73"/>
      <c r="E752" s="73"/>
      <c r="F752" s="72"/>
    </row>
    <row r="753" ht="14.25" customHeight="1">
      <c r="A753" s="73"/>
      <c r="B753" s="73"/>
      <c r="C753" s="73"/>
      <c r="D753" s="73"/>
      <c r="E753" s="73"/>
      <c r="F753" s="72"/>
    </row>
    <row r="754" ht="14.25" customHeight="1">
      <c r="A754" s="73"/>
      <c r="B754" s="73"/>
      <c r="C754" s="73"/>
      <c r="D754" s="73"/>
      <c r="E754" s="73"/>
      <c r="F754" s="72"/>
    </row>
    <row r="755" ht="14.25" customHeight="1">
      <c r="A755" s="73"/>
      <c r="B755" s="73"/>
      <c r="C755" s="73"/>
      <c r="D755" s="73"/>
      <c r="E755" s="73"/>
      <c r="F755" s="72"/>
    </row>
    <row r="756" ht="14.25" customHeight="1">
      <c r="A756" s="73"/>
      <c r="B756" s="73"/>
      <c r="C756" s="73"/>
      <c r="D756" s="73"/>
      <c r="E756" s="73"/>
      <c r="F756" s="72"/>
    </row>
    <row r="757" ht="14.25" customHeight="1">
      <c r="A757" s="73"/>
      <c r="B757" s="73"/>
      <c r="C757" s="73"/>
      <c r="D757" s="73"/>
      <c r="E757" s="73"/>
      <c r="F757" s="72"/>
    </row>
    <row r="758" ht="14.25" customHeight="1">
      <c r="A758" s="73"/>
      <c r="B758" s="73"/>
      <c r="C758" s="73"/>
      <c r="D758" s="73"/>
      <c r="E758" s="73"/>
      <c r="F758" s="72"/>
    </row>
    <row r="759" ht="14.25" customHeight="1">
      <c r="A759" s="73"/>
      <c r="B759" s="73"/>
      <c r="C759" s="73"/>
      <c r="D759" s="73"/>
      <c r="E759" s="73"/>
      <c r="F759" s="72"/>
    </row>
    <row r="760" ht="14.25" customHeight="1">
      <c r="A760" s="73"/>
      <c r="B760" s="73"/>
      <c r="C760" s="73"/>
      <c r="D760" s="73"/>
      <c r="E760" s="73"/>
      <c r="F760" s="72"/>
    </row>
    <row r="761" ht="14.25" customHeight="1">
      <c r="A761" s="73"/>
      <c r="B761" s="73"/>
      <c r="C761" s="73"/>
      <c r="D761" s="73"/>
      <c r="E761" s="73"/>
      <c r="F761" s="72"/>
    </row>
    <row r="762" ht="14.25" customHeight="1">
      <c r="A762" s="73"/>
      <c r="B762" s="73"/>
      <c r="C762" s="73"/>
      <c r="D762" s="73"/>
      <c r="E762" s="73"/>
      <c r="F762" s="72"/>
    </row>
    <row r="763" ht="14.25" customHeight="1">
      <c r="A763" s="73"/>
      <c r="B763" s="73"/>
      <c r="C763" s="73"/>
      <c r="D763" s="73"/>
      <c r="E763" s="73"/>
      <c r="F763" s="72"/>
    </row>
    <row r="764" ht="14.25" customHeight="1">
      <c r="A764" s="73"/>
      <c r="B764" s="73"/>
      <c r="C764" s="73"/>
      <c r="D764" s="73"/>
      <c r="E764" s="73"/>
      <c r="F764" s="72"/>
    </row>
    <row r="765" ht="14.25" customHeight="1">
      <c r="A765" s="73"/>
      <c r="B765" s="73"/>
      <c r="C765" s="73"/>
      <c r="D765" s="73"/>
      <c r="E765" s="73"/>
      <c r="F765" s="72"/>
    </row>
    <row r="766" ht="14.25" customHeight="1">
      <c r="A766" s="73"/>
      <c r="B766" s="73"/>
      <c r="C766" s="73"/>
      <c r="D766" s="73"/>
      <c r="E766" s="73"/>
      <c r="F766" s="72"/>
    </row>
    <row r="767" ht="14.25" customHeight="1">
      <c r="A767" s="73"/>
      <c r="B767" s="73"/>
      <c r="C767" s="73"/>
      <c r="D767" s="73"/>
      <c r="E767" s="73"/>
      <c r="F767" s="72"/>
    </row>
    <row r="768" ht="14.25" customHeight="1">
      <c r="A768" s="73"/>
      <c r="B768" s="73"/>
      <c r="C768" s="73"/>
      <c r="D768" s="73"/>
      <c r="E768" s="73"/>
      <c r="F768" s="72"/>
    </row>
    <row r="769" ht="14.25" customHeight="1">
      <c r="A769" s="73"/>
      <c r="B769" s="73"/>
      <c r="C769" s="73"/>
      <c r="D769" s="73"/>
      <c r="E769" s="73"/>
      <c r="F769" s="72"/>
    </row>
    <row r="770" ht="14.25" customHeight="1">
      <c r="A770" s="73"/>
      <c r="B770" s="73"/>
      <c r="C770" s="73"/>
      <c r="D770" s="73"/>
      <c r="E770" s="73"/>
      <c r="F770" s="72"/>
    </row>
    <row r="771" ht="14.25" customHeight="1">
      <c r="A771" s="73"/>
      <c r="B771" s="73"/>
      <c r="C771" s="73"/>
      <c r="D771" s="73"/>
      <c r="E771" s="73"/>
      <c r="F771" s="72"/>
    </row>
    <row r="772" ht="14.25" customHeight="1">
      <c r="A772" s="73"/>
      <c r="B772" s="73"/>
      <c r="C772" s="73"/>
      <c r="D772" s="73"/>
      <c r="E772" s="73"/>
      <c r="F772" s="72"/>
    </row>
    <row r="773" ht="14.25" customHeight="1">
      <c r="A773" s="73"/>
      <c r="B773" s="73"/>
      <c r="C773" s="73"/>
      <c r="D773" s="73"/>
      <c r="E773" s="73"/>
      <c r="F773" s="72"/>
    </row>
    <row r="774" ht="14.25" customHeight="1">
      <c r="A774" s="73"/>
      <c r="B774" s="73"/>
      <c r="C774" s="73"/>
      <c r="D774" s="73"/>
      <c r="E774" s="73"/>
      <c r="F774" s="72"/>
    </row>
    <row r="775" ht="14.25" customHeight="1">
      <c r="A775" s="73"/>
      <c r="B775" s="73"/>
      <c r="C775" s="73"/>
      <c r="D775" s="73"/>
      <c r="E775" s="73"/>
      <c r="F775" s="72"/>
    </row>
    <row r="776" ht="14.25" customHeight="1">
      <c r="A776" s="73"/>
      <c r="B776" s="73"/>
      <c r="C776" s="73"/>
      <c r="D776" s="73"/>
      <c r="E776" s="73"/>
      <c r="F776" s="72"/>
    </row>
    <row r="777" ht="14.25" customHeight="1">
      <c r="A777" s="73"/>
      <c r="B777" s="73"/>
      <c r="C777" s="73"/>
      <c r="D777" s="73"/>
      <c r="E777" s="73"/>
      <c r="F777" s="72"/>
    </row>
    <row r="778" ht="14.25" customHeight="1">
      <c r="A778" s="73"/>
      <c r="B778" s="73"/>
      <c r="C778" s="73"/>
      <c r="D778" s="73"/>
      <c r="E778" s="73"/>
      <c r="F778" s="72"/>
    </row>
    <row r="779" ht="14.25" customHeight="1">
      <c r="A779" s="73"/>
      <c r="B779" s="73"/>
      <c r="C779" s="73"/>
      <c r="D779" s="73"/>
      <c r="E779" s="73"/>
      <c r="F779" s="72"/>
    </row>
    <row r="780" ht="14.25" customHeight="1">
      <c r="A780" s="73"/>
      <c r="B780" s="73"/>
      <c r="C780" s="73"/>
      <c r="D780" s="73"/>
      <c r="E780" s="73"/>
      <c r="F780" s="72"/>
    </row>
    <row r="781" ht="14.25" customHeight="1">
      <c r="A781" s="73"/>
      <c r="B781" s="73"/>
      <c r="C781" s="73"/>
      <c r="D781" s="73"/>
      <c r="E781" s="73"/>
      <c r="F781" s="72"/>
    </row>
    <row r="782" ht="14.25" customHeight="1">
      <c r="A782" s="73"/>
      <c r="B782" s="73"/>
      <c r="C782" s="73"/>
      <c r="D782" s="73"/>
      <c r="E782" s="73"/>
      <c r="F782" s="72"/>
    </row>
    <row r="783" ht="14.25" customHeight="1">
      <c r="A783" s="73"/>
      <c r="B783" s="73"/>
      <c r="C783" s="73"/>
      <c r="D783" s="73"/>
      <c r="E783" s="73"/>
      <c r="F783" s="72"/>
    </row>
    <row r="784" ht="14.25" customHeight="1">
      <c r="A784" s="73"/>
      <c r="B784" s="73"/>
      <c r="C784" s="73"/>
      <c r="D784" s="73"/>
      <c r="E784" s="73"/>
      <c r="F784" s="72"/>
    </row>
    <row r="785" ht="14.25" customHeight="1">
      <c r="A785" s="73"/>
      <c r="B785" s="73"/>
      <c r="C785" s="73"/>
      <c r="D785" s="73"/>
      <c r="E785" s="73"/>
      <c r="F785" s="72"/>
    </row>
    <row r="786" ht="14.25" customHeight="1">
      <c r="A786" s="73"/>
      <c r="B786" s="73"/>
      <c r="C786" s="73"/>
      <c r="D786" s="73"/>
      <c r="E786" s="73"/>
      <c r="F786" s="72"/>
    </row>
    <row r="787" ht="14.25" customHeight="1">
      <c r="A787" s="73"/>
      <c r="B787" s="73"/>
      <c r="C787" s="73"/>
      <c r="D787" s="73"/>
      <c r="E787" s="73"/>
      <c r="F787" s="72"/>
    </row>
    <row r="788" ht="14.25" customHeight="1">
      <c r="A788" s="73"/>
      <c r="B788" s="73"/>
      <c r="C788" s="73"/>
      <c r="D788" s="73"/>
      <c r="E788" s="73"/>
      <c r="F788" s="72"/>
    </row>
    <row r="789" ht="14.25" customHeight="1">
      <c r="A789" s="73"/>
      <c r="B789" s="73"/>
      <c r="C789" s="73"/>
      <c r="D789" s="73"/>
      <c r="E789" s="73"/>
      <c r="F789" s="72"/>
    </row>
    <row r="790" ht="14.25" customHeight="1">
      <c r="A790" s="73"/>
      <c r="B790" s="73"/>
      <c r="C790" s="73"/>
      <c r="D790" s="73"/>
      <c r="E790" s="73"/>
      <c r="F790" s="72"/>
    </row>
    <row r="791" ht="14.25" customHeight="1">
      <c r="A791" s="73"/>
      <c r="B791" s="73"/>
      <c r="C791" s="73"/>
      <c r="D791" s="73"/>
      <c r="E791" s="73"/>
      <c r="F791" s="72"/>
    </row>
    <row r="792" ht="14.25" customHeight="1">
      <c r="A792" s="73"/>
      <c r="B792" s="73"/>
      <c r="C792" s="73"/>
      <c r="D792" s="73"/>
      <c r="E792" s="73"/>
      <c r="F792" s="72"/>
    </row>
    <row r="793" ht="14.25" customHeight="1">
      <c r="A793" s="73"/>
      <c r="B793" s="73"/>
      <c r="C793" s="73"/>
      <c r="D793" s="73"/>
      <c r="E793" s="73"/>
      <c r="F793" s="72"/>
    </row>
    <row r="794" ht="14.25" customHeight="1">
      <c r="A794" s="73"/>
      <c r="B794" s="73"/>
      <c r="C794" s="73"/>
      <c r="D794" s="73"/>
      <c r="E794" s="73"/>
      <c r="F794" s="72"/>
    </row>
    <row r="795" ht="14.25" customHeight="1">
      <c r="A795" s="73"/>
      <c r="B795" s="73"/>
      <c r="C795" s="73"/>
      <c r="D795" s="73"/>
      <c r="E795" s="73"/>
      <c r="F795" s="72"/>
    </row>
    <row r="796" ht="14.25" customHeight="1">
      <c r="A796" s="73"/>
      <c r="B796" s="73"/>
      <c r="C796" s="73"/>
      <c r="D796" s="73"/>
      <c r="E796" s="73"/>
      <c r="F796" s="72"/>
    </row>
    <row r="797" ht="14.25" customHeight="1">
      <c r="A797" s="73"/>
      <c r="B797" s="73"/>
      <c r="C797" s="73"/>
      <c r="D797" s="73"/>
      <c r="E797" s="73"/>
      <c r="F797" s="72"/>
    </row>
    <row r="798" ht="14.25" customHeight="1">
      <c r="A798" s="73"/>
      <c r="B798" s="73"/>
      <c r="C798" s="73"/>
      <c r="D798" s="73"/>
      <c r="E798" s="73"/>
      <c r="F798" s="72"/>
    </row>
    <row r="799" ht="14.25" customHeight="1">
      <c r="A799" s="73"/>
      <c r="B799" s="73"/>
      <c r="C799" s="73"/>
      <c r="D799" s="73"/>
      <c r="E799" s="73"/>
      <c r="F799" s="72"/>
    </row>
    <row r="800" ht="14.25" customHeight="1">
      <c r="A800" s="73"/>
      <c r="B800" s="73"/>
      <c r="C800" s="73"/>
      <c r="D800" s="73"/>
      <c r="E800" s="73"/>
      <c r="F800" s="72"/>
    </row>
    <row r="801" ht="14.25" customHeight="1">
      <c r="A801" s="73"/>
      <c r="B801" s="73"/>
      <c r="C801" s="73"/>
      <c r="D801" s="73"/>
      <c r="E801" s="73"/>
      <c r="F801" s="72"/>
    </row>
    <row r="802" ht="14.25" customHeight="1">
      <c r="A802" s="73"/>
      <c r="B802" s="73"/>
      <c r="C802" s="73"/>
      <c r="D802" s="73"/>
      <c r="E802" s="73"/>
      <c r="F802" s="72"/>
    </row>
    <row r="803" ht="14.25" customHeight="1">
      <c r="A803" s="73"/>
      <c r="B803" s="73"/>
      <c r="C803" s="73"/>
      <c r="D803" s="73"/>
      <c r="E803" s="73"/>
      <c r="F803" s="72"/>
    </row>
    <row r="804" ht="14.25" customHeight="1">
      <c r="A804" s="73"/>
      <c r="B804" s="73"/>
      <c r="C804" s="73"/>
      <c r="D804" s="73"/>
      <c r="E804" s="73"/>
      <c r="F804" s="72"/>
    </row>
    <row r="805" ht="14.25" customHeight="1">
      <c r="A805" s="73"/>
      <c r="B805" s="73"/>
      <c r="C805" s="73"/>
      <c r="D805" s="73"/>
      <c r="E805" s="73"/>
      <c r="F805" s="72"/>
    </row>
    <row r="806" ht="14.25" customHeight="1">
      <c r="A806" s="73"/>
      <c r="B806" s="73"/>
      <c r="C806" s="73"/>
      <c r="D806" s="73"/>
      <c r="E806" s="73"/>
      <c r="F806" s="72"/>
    </row>
    <row r="807" ht="14.25" customHeight="1">
      <c r="A807" s="73"/>
      <c r="B807" s="73"/>
      <c r="C807" s="73"/>
      <c r="D807" s="73"/>
      <c r="E807" s="73"/>
      <c r="F807" s="72"/>
    </row>
    <row r="808" ht="14.25" customHeight="1">
      <c r="A808" s="73"/>
      <c r="B808" s="73"/>
      <c r="C808" s="73"/>
      <c r="D808" s="73"/>
      <c r="E808" s="73"/>
      <c r="F808" s="72"/>
    </row>
    <row r="809" ht="14.25" customHeight="1">
      <c r="A809" s="73"/>
      <c r="B809" s="73"/>
      <c r="C809" s="73"/>
      <c r="D809" s="73"/>
      <c r="E809" s="73"/>
      <c r="F809" s="72"/>
    </row>
    <row r="810" ht="14.25" customHeight="1">
      <c r="A810" s="73"/>
      <c r="B810" s="73"/>
      <c r="C810" s="73"/>
      <c r="D810" s="73"/>
      <c r="E810" s="73"/>
      <c r="F810" s="72"/>
    </row>
    <row r="811" ht="14.25" customHeight="1">
      <c r="A811" s="73"/>
      <c r="B811" s="73"/>
      <c r="C811" s="73"/>
      <c r="D811" s="73"/>
      <c r="E811" s="73"/>
      <c r="F811" s="72"/>
    </row>
    <row r="812" ht="14.25" customHeight="1">
      <c r="A812" s="73"/>
      <c r="B812" s="73"/>
      <c r="C812" s="73"/>
      <c r="D812" s="73"/>
      <c r="E812" s="73"/>
      <c r="F812" s="72"/>
    </row>
    <row r="813" ht="14.25" customHeight="1">
      <c r="A813" s="73"/>
      <c r="B813" s="73"/>
      <c r="C813" s="73"/>
      <c r="D813" s="73"/>
      <c r="E813" s="73"/>
      <c r="F813" s="72"/>
    </row>
    <row r="814" ht="14.25" customHeight="1">
      <c r="A814" s="73"/>
      <c r="B814" s="73"/>
      <c r="C814" s="73"/>
      <c r="D814" s="73"/>
      <c r="E814" s="73"/>
      <c r="F814" s="72"/>
    </row>
    <row r="815" ht="14.25" customHeight="1">
      <c r="A815" s="73"/>
      <c r="B815" s="73"/>
      <c r="C815" s="73"/>
      <c r="D815" s="73"/>
      <c r="E815" s="73"/>
      <c r="F815" s="72"/>
    </row>
    <row r="816" ht="14.25" customHeight="1">
      <c r="A816" s="73"/>
      <c r="B816" s="73"/>
      <c r="C816" s="73"/>
      <c r="D816" s="73"/>
      <c r="E816" s="73"/>
      <c r="F816" s="72"/>
    </row>
    <row r="817" ht="14.25" customHeight="1">
      <c r="A817" s="73"/>
      <c r="B817" s="73"/>
      <c r="C817" s="73"/>
      <c r="D817" s="73"/>
      <c r="E817" s="73"/>
      <c r="F817" s="72"/>
    </row>
    <row r="818" ht="14.25" customHeight="1">
      <c r="A818" s="73"/>
      <c r="B818" s="73"/>
      <c r="C818" s="73"/>
      <c r="D818" s="73"/>
      <c r="E818" s="73"/>
      <c r="F818" s="72"/>
    </row>
    <row r="819" ht="14.25" customHeight="1">
      <c r="A819" s="73"/>
      <c r="B819" s="73"/>
      <c r="C819" s="73"/>
      <c r="D819" s="73"/>
      <c r="E819" s="73"/>
      <c r="F819" s="72"/>
    </row>
    <row r="820" ht="14.25" customHeight="1">
      <c r="A820" s="73"/>
      <c r="B820" s="73"/>
      <c r="C820" s="73"/>
      <c r="D820" s="73"/>
      <c r="E820" s="73"/>
      <c r="F820" s="72"/>
    </row>
    <row r="821" ht="14.25" customHeight="1">
      <c r="A821" s="73"/>
      <c r="B821" s="73"/>
      <c r="C821" s="73"/>
      <c r="D821" s="73"/>
      <c r="E821" s="73"/>
      <c r="F821" s="72"/>
    </row>
    <row r="822" ht="14.25" customHeight="1">
      <c r="A822" s="73"/>
      <c r="B822" s="73"/>
      <c r="C822" s="73"/>
      <c r="D822" s="73"/>
      <c r="E822" s="73"/>
      <c r="F822" s="72"/>
    </row>
    <row r="823" ht="14.25" customHeight="1">
      <c r="A823" s="73"/>
      <c r="B823" s="73"/>
      <c r="C823" s="73"/>
      <c r="D823" s="73"/>
      <c r="E823" s="73"/>
      <c r="F823" s="72"/>
    </row>
    <row r="824" ht="14.25" customHeight="1">
      <c r="A824" s="73"/>
      <c r="B824" s="73"/>
      <c r="C824" s="73"/>
      <c r="D824" s="73"/>
      <c r="E824" s="73"/>
      <c r="F824" s="72"/>
    </row>
    <row r="825" ht="14.25" customHeight="1">
      <c r="A825" s="73"/>
      <c r="B825" s="73"/>
      <c r="C825" s="73"/>
      <c r="D825" s="73"/>
      <c r="E825" s="73"/>
      <c r="F825" s="72"/>
    </row>
    <row r="826" ht="14.25" customHeight="1">
      <c r="A826" s="73"/>
      <c r="B826" s="73"/>
      <c r="C826" s="73"/>
      <c r="D826" s="73"/>
      <c r="E826" s="73"/>
      <c r="F826" s="72"/>
    </row>
    <row r="827" ht="14.25" customHeight="1">
      <c r="A827" s="73"/>
      <c r="B827" s="73"/>
      <c r="C827" s="73"/>
      <c r="D827" s="73"/>
      <c r="E827" s="73"/>
      <c r="F827" s="72"/>
    </row>
    <row r="828" ht="14.25" customHeight="1">
      <c r="A828" s="73"/>
      <c r="B828" s="73"/>
      <c r="C828" s="73"/>
      <c r="D828" s="73"/>
      <c r="E828" s="73"/>
      <c r="F828" s="72"/>
    </row>
    <row r="829" ht="14.25" customHeight="1">
      <c r="A829" s="73"/>
      <c r="B829" s="73"/>
      <c r="C829" s="73"/>
      <c r="D829" s="73"/>
      <c r="E829" s="73"/>
      <c r="F829" s="72"/>
    </row>
    <row r="830" ht="14.25" customHeight="1">
      <c r="A830" s="73"/>
      <c r="B830" s="73"/>
      <c r="C830" s="73"/>
      <c r="D830" s="73"/>
      <c r="E830" s="73"/>
      <c r="F830" s="72"/>
    </row>
    <row r="831" ht="14.25" customHeight="1">
      <c r="A831" s="73"/>
      <c r="B831" s="73"/>
      <c r="C831" s="73"/>
      <c r="D831" s="73"/>
      <c r="E831" s="73"/>
      <c r="F831" s="72"/>
    </row>
    <row r="832" ht="14.25" customHeight="1">
      <c r="A832" s="73"/>
      <c r="B832" s="73"/>
      <c r="C832" s="73"/>
      <c r="D832" s="73"/>
      <c r="E832" s="73"/>
      <c r="F832" s="72"/>
    </row>
    <row r="833" ht="14.25" customHeight="1">
      <c r="A833" s="73"/>
      <c r="B833" s="73"/>
      <c r="C833" s="73"/>
      <c r="D833" s="73"/>
      <c r="E833" s="73"/>
      <c r="F833" s="72"/>
    </row>
    <row r="834" ht="14.25" customHeight="1">
      <c r="A834" s="73"/>
      <c r="B834" s="73"/>
      <c r="C834" s="73"/>
      <c r="D834" s="73"/>
      <c r="E834" s="73"/>
      <c r="F834" s="72"/>
    </row>
    <row r="835" ht="14.25" customHeight="1">
      <c r="A835" s="73"/>
      <c r="B835" s="73"/>
      <c r="C835" s="73"/>
      <c r="D835" s="73"/>
      <c r="E835" s="73"/>
      <c r="F835" s="72"/>
    </row>
    <row r="836" ht="14.25" customHeight="1">
      <c r="A836" s="73"/>
      <c r="B836" s="73"/>
      <c r="C836" s="73"/>
      <c r="D836" s="73"/>
      <c r="E836" s="73"/>
      <c r="F836" s="72"/>
    </row>
    <row r="837" ht="14.25" customHeight="1">
      <c r="A837" s="73"/>
      <c r="B837" s="73"/>
      <c r="C837" s="73"/>
      <c r="D837" s="73"/>
      <c r="E837" s="73"/>
      <c r="F837" s="72"/>
    </row>
    <row r="838" ht="14.25" customHeight="1">
      <c r="A838" s="73"/>
      <c r="B838" s="73"/>
      <c r="C838" s="73"/>
      <c r="D838" s="73"/>
      <c r="E838" s="73"/>
      <c r="F838" s="72"/>
    </row>
    <row r="839" ht="14.25" customHeight="1">
      <c r="A839" s="73"/>
      <c r="B839" s="73"/>
      <c r="C839" s="73"/>
      <c r="D839" s="73"/>
      <c r="E839" s="73"/>
      <c r="F839" s="72"/>
    </row>
    <row r="840" ht="14.25" customHeight="1">
      <c r="A840" s="73"/>
      <c r="B840" s="73"/>
      <c r="C840" s="73"/>
      <c r="D840" s="73"/>
      <c r="E840" s="73"/>
      <c r="F840" s="72"/>
    </row>
    <row r="841" ht="14.25" customHeight="1">
      <c r="A841" s="73"/>
      <c r="B841" s="73"/>
      <c r="C841" s="73"/>
      <c r="D841" s="73"/>
      <c r="E841" s="73"/>
      <c r="F841" s="72"/>
    </row>
    <row r="842" ht="14.25" customHeight="1">
      <c r="A842" s="73"/>
      <c r="B842" s="73"/>
      <c r="C842" s="73"/>
      <c r="D842" s="73"/>
      <c r="E842" s="73"/>
      <c r="F842" s="72"/>
    </row>
    <row r="843" ht="14.25" customHeight="1">
      <c r="A843" s="73"/>
      <c r="B843" s="73"/>
      <c r="C843" s="73"/>
      <c r="D843" s="73"/>
      <c r="E843" s="73"/>
      <c r="F843" s="72"/>
    </row>
    <row r="844" ht="14.25" customHeight="1">
      <c r="A844" s="73"/>
      <c r="B844" s="73"/>
      <c r="C844" s="73"/>
      <c r="D844" s="73"/>
      <c r="E844" s="73"/>
      <c r="F844" s="72"/>
    </row>
    <row r="845" ht="14.25" customHeight="1">
      <c r="A845" s="73"/>
      <c r="B845" s="73"/>
      <c r="C845" s="73"/>
      <c r="D845" s="73"/>
      <c r="E845" s="73"/>
      <c r="F845" s="72"/>
    </row>
    <row r="846" ht="14.25" customHeight="1">
      <c r="A846" s="73"/>
      <c r="B846" s="73"/>
      <c r="C846" s="73"/>
      <c r="D846" s="73"/>
      <c r="E846" s="73"/>
      <c r="F846" s="72"/>
    </row>
    <row r="847" ht="14.25" customHeight="1">
      <c r="A847" s="73"/>
      <c r="B847" s="73"/>
      <c r="C847" s="73"/>
      <c r="D847" s="73"/>
      <c r="E847" s="73"/>
      <c r="F847" s="72"/>
    </row>
    <row r="848" ht="14.25" customHeight="1">
      <c r="A848" s="73"/>
      <c r="B848" s="73"/>
      <c r="C848" s="73"/>
      <c r="D848" s="73"/>
      <c r="E848" s="73"/>
      <c r="F848" s="72"/>
    </row>
    <row r="849" ht="14.25" customHeight="1">
      <c r="A849" s="73"/>
      <c r="B849" s="73"/>
      <c r="C849" s="73"/>
      <c r="D849" s="73"/>
      <c r="E849" s="73"/>
      <c r="F849" s="72"/>
    </row>
    <row r="850" ht="14.25" customHeight="1">
      <c r="A850" s="73"/>
      <c r="B850" s="73"/>
      <c r="C850" s="73"/>
      <c r="D850" s="73"/>
      <c r="E850" s="73"/>
      <c r="F850" s="72"/>
    </row>
    <row r="851" ht="14.25" customHeight="1">
      <c r="A851" s="73"/>
      <c r="B851" s="73"/>
      <c r="C851" s="73"/>
      <c r="D851" s="73"/>
      <c r="E851" s="73"/>
      <c r="F851" s="72"/>
    </row>
    <row r="852" ht="14.25" customHeight="1">
      <c r="A852" s="73"/>
      <c r="B852" s="73"/>
      <c r="C852" s="73"/>
      <c r="D852" s="73"/>
      <c r="E852" s="73"/>
      <c r="F852" s="72"/>
    </row>
    <row r="853" ht="14.25" customHeight="1">
      <c r="A853" s="73"/>
      <c r="B853" s="73"/>
      <c r="C853" s="73"/>
      <c r="D853" s="73"/>
      <c r="E853" s="73"/>
      <c r="F853" s="72"/>
    </row>
    <row r="854" ht="14.25" customHeight="1">
      <c r="A854" s="73"/>
      <c r="B854" s="73"/>
      <c r="C854" s="73"/>
      <c r="D854" s="73"/>
      <c r="E854" s="73"/>
      <c r="F854" s="72"/>
    </row>
    <row r="855" ht="14.25" customHeight="1">
      <c r="A855" s="73"/>
      <c r="B855" s="73"/>
      <c r="C855" s="73"/>
      <c r="D855" s="73"/>
      <c r="E855" s="73"/>
      <c r="F855" s="72"/>
    </row>
    <row r="856" ht="14.25" customHeight="1">
      <c r="A856" s="73"/>
      <c r="B856" s="73"/>
      <c r="C856" s="73"/>
      <c r="D856" s="73"/>
      <c r="E856" s="73"/>
      <c r="F856" s="72"/>
    </row>
    <row r="857" ht="14.25" customHeight="1">
      <c r="A857" s="73"/>
      <c r="B857" s="73"/>
      <c r="C857" s="73"/>
      <c r="D857" s="73"/>
      <c r="E857" s="73"/>
      <c r="F857" s="72"/>
    </row>
    <row r="858" ht="14.25" customHeight="1">
      <c r="A858" s="73"/>
      <c r="B858" s="73"/>
      <c r="C858" s="73"/>
      <c r="D858" s="73"/>
      <c r="E858" s="73"/>
      <c r="F858" s="72"/>
    </row>
    <row r="859" ht="14.25" customHeight="1">
      <c r="A859" s="73"/>
      <c r="B859" s="73"/>
      <c r="C859" s="73"/>
      <c r="D859" s="73"/>
      <c r="E859" s="73"/>
      <c r="F859" s="72"/>
    </row>
    <row r="860" ht="14.25" customHeight="1">
      <c r="A860" s="73"/>
      <c r="B860" s="73"/>
      <c r="C860" s="73"/>
      <c r="D860" s="73"/>
      <c r="E860" s="73"/>
      <c r="F860" s="72"/>
    </row>
    <row r="861" ht="14.25" customHeight="1">
      <c r="A861" s="73"/>
      <c r="B861" s="73"/>
      <c r="C861" s="73"/>
      <c r="D861" s="73"/>
      <c r="E861" s="73"/>
      <c r="F861" s="72"/>
    </row>
    <row r="862" ht="14.25" customHeight="1">
      <c r="A862" s="73"/>
      <c r="B862" s="73"/>
      <c r="C862" s="73"/>
      <c r="D862" s="73"/>
      <c r="E862" s="73"/>
      <c r="F862" s="72"/>
    </row>
    <row r="863" ht="14.25" customHeight="1">
      <c r="A863" s="73"/>
      <c r="B863" s="73"/>
      <c r="C863" s="73"/>
      <c r="D863" s="73"/>
      <c r="E863" s="73"/>
      <c r="F863" s="72"/>
    </row>
    <row r="864" ht="14.25" customHeight="1">
      <c r="A864" s="73"/>
      <c r="B864" s="73"/>
      <c r="C864" s="73"/>
      <c r="D864" s="73"/>
      <c r="E864" s="73"/>
      <c r="F864" s="72"/>
    </row>
    <row r="865" ht="14.25" customHeight="1">
      <c r="A865" s="73"/>
      <c r="B865" s="73"/>
      <c r="C865" s="73"/>
      <c r="D865" s="73"/>
      <c r="E865" s="73"/>
      <c r="F865" s="72"/>
    </row>
    <row r="866" ht="14.25" customHeight="1">
      <c r="A866" s="73"/>
      <c r="B866" s="73"/>
      <c r="C866" s="73"/>
      <c r="D866" s="73"/>
      <c r="E866" s="73"/>
      <c r="F866" s="72"/>
    </row>
    <row r="867" ht="14.25" customHeight="1">
      <c r="A867" s="73"/>
      <c r="B867" s="73"/>
      <c r="C867" s="73"/>
      <c r="D867" s="73"/>
      <c r="E867" s="73"/>
      <c r="F867" s="72"/>
    </row>
    <row r="868" ht="14.25" customHeight="1">
      <c r="A868" s="73"/>
      <c r="B868" s="73"/>
      <c r="C868" s="73"/>
      <c r="D868" s="73"/>
      <c r="E868" s="73"/>
      <c r="F868" s="72"/>
    </row>
    <row r="869" ht="14.25" customHeight="1">
      <c r="A869" s="73"/>
      <c r="B869" s="73"/>
      <c r="C869" s="73"/>
      <c r="D869" s="73"/>
      <c r="E869" s="73"/>
      <c r="F869" s="72"/>
    </row>
    <row r="870" ht="14.25" customHeight="1">
      <c r="A870" s="73"/>
      <c r="B870" s="73"/>
      <c r="C870" s="73"/>
      <c r="D870" s="73"/>
      <c r="E870" s="73"/>
      <c r="F870" s="72"/>
    </row>
    <row r="871" ht="14.25" customHeight="1">
      <c r="A871" s="73"/>
      <c r="B871" s="73"/>
      <c r="C871" s="73"/>
      <c r="D871" s="73"/>
      <c r="E871" s="73"/>
      <c r="F871" s="72"/>
    </row>
    <row r="872" ht="14.25" customHeight="1">
      <c r="A872" s="73"/>
      <c r="B872" s="73"/>
      <c r="C872" s="73"/>
      <c r="D872" s="73"/>
      <c r="E872" s="73"/>
      <c r="F872" s="72"/>
    </row>
    <row r="873" ht="14.25" customHeight="1">
      <c r="A873" s="73"/>
      <c r="B873" s="73"/>
      <c r="C873" s="73"/>
      <c r="D873" s="73"/>
      <c r="E873" s="73"/>
      <c r="F873" s="72"/>
    </row>
    <row r="874" ht="14.25" customHeight="1">
      <c r="A874" s="73"/>
      <c r="B874" s="73"/>
      <c r="C874" s="73"/>
      <c r="D874" s="73"/>
      <c r="E874" s="73"/>
      <c r="F874" s="72"/>
    </row>
    <row r="875" ht="14.25" customHeight="1">
      <c r="A875" s="73"/>
      <c r="B875" s="73"/>
      <c r="C875" s="73"/>
      <c r="D875" s="73"/>
      <c r="E875" s="73"/>
      <c r="F875" s="72"/>
    </row>
    <row r="876" ht="14.25" customHeight="1">
      <c r="A876" s="73"/>
      <c r="B876" s="73"/>
      <c r="C876" s="73"/>
      <c r="D876" s="73"/>
      <c r="E876" s="73"/>
      <c r="F876" s="72"/>
    </row>
    <row r="877" ht="14.25" customHeight="1">
      <c r="A877" s="73"/>
      <c r="B877" s="73"/>
      <c r="C877" s="73"/>
      <c r="D877" s="73"/>
      <c r="E877" s="73"/>
      <c r="F877" s="72"/>
    </row>
    <row r="878" ht="14.25" customHeight="1">
      <c r="A878" s="73"/>
      <c r="B878" s="73"/>
      <c r="C878" s="73"/>
      <c r="D878" s="73"/>
      <c r="E878" s="73"/>
      <c r="F878" s="72"/>
    </row>
    <row r="879" ht="14.25" customHeight="1">
      <c r="A879" s="73"/>
      <c r="B879" s="73"/>
      <c r="C879" s="73"/>
      <c r="D879" s="73"/>
      <c r="E879" s="73"/>
      <c r="F879" s="72"/>
    </row>
    <row r="880" ht="14.25" customHeight="1">
      <c r="A880" s="73"/>
      <c r="B880" s="73"/>
      <c r="C880" s="73"/>
      <c r="D880" s="73"/>
      <c r="E880" s="73"/>
      <c r="F880" s="72"/>
    </row>
    <row r="881" ht="14.25" customHeight="1">
      <c r="A881" s="73"/>
      <c r="B881" s="73"/>
      <c r="C881" s="73"/>
      <c r="D881" s="73"/>
      <c r="E881" s="73"/>
      <c r="F881" s="72"/>
    </row>
    <row r="882" ht="14.25" customHeight="1">
      <c r="A882" s="73"/>
      <c r="B882" s="73"/>
      <c r="C882" s="73"/>
      <c r="D882" s="73"/>
      <c r="E882" s="73"/>
      <c r="F882" s="72"/>
    </row>
    <row r="883" ht="14.25" customHeight="1">
      <c r="A883" s="73"/>
      <c r="B883" s="73"/>
      <c r="C883" s="73"/>
      <c r="D883" s="73"/>
      <c r="E883" s="73"/>
      <c r="F883" s="72"/>
    </row>
    <row r="884" ht="14.25" customHeight="1">
      <c r="A884" s="73"/>
      <c r="B884" s="73"/>
      <c r="C884" s="73"/>
      <c r="D884" s="73"/>
      <c r="E884" s="73"/>
      <c r="F884" s="72"/>
    </row>
    <row r="885" ht="14.25" customHeight="1">
      <c r="A885" s="73"/>
      <c r="B885" s="73"/>
      <c r="C885" s="73"/>
      <c r="D885" s="73"/>
      <c r="E885" s="73"/>
      <c r="F885" s="72"/>
    </row>
    <row r="886" ht="14.25" customHeight="1">
      <c r="A886" s="73"/>
      <c r="B886" s="73"/>
      <c r="C886" s="73"/>
      <c r="D886" s="73"/>
      <c r="E886" s="73"/>
      <c r="F886" s="72"/>
    </row>
    <row r="887" ht="14.25" customHeight="1">
      <c r="A887" s="73"/>
      <c r="B887" s="73"/>
      <c r="C887" s="73"/>
      <c r="D887" s="73"/>
      <c r="E887" s="73"/>
      <c r="F887" s="72"/>
    </row>
    <row r="888" ht="14.25" customHeight="1">
      <c r="A888" s="73"/>
      <c r="B888" s="73"/>
      <c r="C888" s="73"/>
      <c r="D888" s="73"/>
      <c r="E888" s="73"/>
      <c r="F888" s="72"/>
    </row>
    <row r="889" ht="14.25" customHeight="1">
      <c r="A889" s="73"/>
      <c r="B889" s="73"/>
      <c r="C889" s="73"/>
      <c r="D889" s="73"/>
      <c r="E889" s="73"/>
      <c r="F889" s="72"/>
    </row>
    <row r="890" ht="14.25" customHeight="1">
      <c r="A890" s="73"/>
      <c r="B890" s="73"/>
      <c r="C890" s="73"/>
      <c r="D890" s="73"/>
      <c r="E890" s="73"/>
      <c r="F890" s="72"/>
    </row>
    <row r="891" ht="14.25" customHeight="1">
      <c r="A891" s="73"/>
      <c r="B891" s="73"/>
      <c r="C891" s="73"/>
      <c r="D891" s="73"/>
      <c r="E891" s="73"/>
      <c r="F891" s="72"/>
    </row>
    <row r="892" ht="14.25" customHeight="1">
      <c r="A892" s="73"/>
      <c r="B892" s="73"/>
      <c r="C892" s="73"/>
      <c r="D892" s="73"/>
      <c r="E892" s="73"/>
      <c r="F892" s="72"/>
    </row>
    <row r="893" ht="14.25" customHeight="1">
      <c r="A893" s="73"/>
      <c r="B893" s="73"/>
      <c r="C893" s="73"/>
      <c r="D893" s="73"/>
      <c r="E893" s="73"/>
      <c r="F893" s="72"/>
    </row>
    <row r="894" ht="14.25" customHeight="1">
      <c r="A894" s="73"/>
      <c r="B894" s="73"/>
      <c r="C894" s="73"/>
      <c r="D894" s="73"/>
      <c r="E894" s="73"/>
      <c r="F894" s="72"/>
    </row>
    <row r="895" ht="14.25" customHeight="1">
      <c r="A895" s="73"/>
      <c r="B895" s="73"/>
      <c r="C895" s="73"/>
      <c r="D895" s="73"/>
      <c r="E895" s="73"/>
      <c r="F895" s="72"/>
    </row>
    <row r="896" ht="14.25" customHeight="1">
      <c r="A896" s="73"/>
      <c r="B896" s="73"/>
      <c r="C896" s="73"/>
      <c r="D896" s="73"/>
      <c r="E896" s="73"/>
      <c r="F896" s="72"/>
    </row>
    <row r="897" ht="14.25" customHeight="1">
      <c r="A897" s="73"/>
      <c r="B897" s="73"/>
      <c r="C897" s="73"/>
      <c r="D897" s="73"/>
      <c r="E897" s="73"/>
      <c r="F897" s="72"/>
    </row>
    <row r="898" ht="14.25" customHeight="1">
      <c r="A898" s="73"/>
      <c r="B898" s="73"/>
      <c r="C898" s="73"/>
      <c r="D898" s="73"/>
      <c r="E898" s="73"/>
      <c r="F898" s="72"/>
    </row>
    <row r="899" ht="14.25" customHeight="1">
      <c r="A899" s="73"/>
      <c r="B899" s="73"/>
      <c r="C899" s="73"/>
      <c r="D899" s="73"/>
      <c r="E899" s="73"/>
      <c r="F899" s="72"/>
    </row>
    <row r="900" ht="14.25" customHeight="1">
      <c r="A900" s="73"/>
      <c r="B900" s="73"/>
      <c r="C900" s="73"/>
      <c r="D900" s="73"/>
      <c r="E900" s="73"/>
      <c r="F900" s="72"/>
    </row>
    <row r="901" ht="14.25" customHeight="1">
      <c r="A901" s="73"/>
      <c r="B901" s="73"/>
      <c r="C901" s="73"/>
      <c r="D901" s="73"/>
      <c r="E901" s="73"/>
      <c r="F901" s="72"/>
    </row>
    <row r="902" ht="14.25" customHeight="1">
      <c r="A902" s="73"/>
      <c r="B902" s="73"/>
      <c r="C902" s="73"/>
      <c r="D902" s="73"/>
      <c r="E902" s="73"/>
      <c r="F902" s="72"/>
    </row>
    <row r="903" ht="14.25" customHeight="1">
      <c r="A903" s="73"/>
      <c r="B903" s="73"/>
      <c r="C903" s="73"/>
      <c r="D903" s="73"/>
      <c r="E903" s="73"/>
      <c r="F903" s="72"/>
    </row>
    <row r="904" ht="14.25" customHeight="1">
      <c r="A904" s="73"/>
      <c r="B904" s="73"/>
      <c r="C904" s="73"/>
      <c r="D904" s="73"/>
      <c r="E904" s="73"/>
      <c r="F904" s="72"/>
    </row>
    <row r="905" ht="14.25" customHeight="1">
      <c r="A905" s="73"/>
      <c r="B905" s="73"/>
      <c r="C905" s="73"/>
      <c r="D905" s="73"/>
      <c r="E905" s="73"/>
      <c r="F905" s="72"/>
    </row>
    <row r="906" ht="14.25" customHeight="1">
      <c r="A906" s="73"/>
      <c r="B906" s="73"/>
      <c r="C906" s="73"/>
      <c r="D906" s="73"/>
      <c r="E906" s="73"/>
      <c r="F906" s="72"/>
    </row>
    <row r="907" ht="14.25" customHeight="1">
      <c r="A907" s="73"/>
      <c r="B907" s="73"/>
      <c r="C907" s="73"/>
      <c r="D907" s="73"/>
      <c r="E907" s="73"/>
      <c r="F907" s="72"/>
    </row>
    <row r="908" ht="14.25" customHeight="1">
      <c r="A908" s="73"/>
      <c r="B908" s="73"/>
      <c r="C908" s="73"/>
      <c r="D908" s="73"/>
      <c r="E908" s="73"/>
      <c r="F908" s="72"/>
    </row>
    <row r="909" ht="14.25" customHeight="1">
      <c r="A909" s="73"/>
      <c r="B909" s="73"/>
      <c r="C909" s="73"/>
      <c r="D909" s="73"/>
      <c r="E909" s="73"/>
      <c r="F909" s="72"/>
    </row>
    <row r="910" ht="14.25" customHeight="1">
      <c r="A910" s="73"/>
      <c r="B910" s="73"/>
      <c r="C910" s="73"/>
      <c r="D910" s="73"/>
      <c r="E910" s="73"/>
      <c r="F910" s="72"/>
    </row>
    <row r="911" ht="14.25" customHeight="1">
      <c r="A911" s="73"/>
      <c r="B911" s="73"/>
      <c r="C911" s="73"/>
      <c r="D911" s="73"/>
      <c r="E911" s="73"/>
      <c r="F911" s="72"/>
    </row>
    <row r="912" ht="14.25" customHeight="1">
      <c r="A912" s="73"/>
      <c r="B912" s="73"/>
      <c r="C912" s="73"/>
      <c r="D912" s="73"/>
      <c r="E912" s="73"/>
      <c r="F912" s="72"/>
    </row>
    <row r="913" ht="14.25" customHeight="1">
      <c r="A913" s="73"/>
      <c r="B913" s="73"/>
      <c r="C913" s="73"/>
      <c r="D913" s="73"/>
      <c r="E913" s="73"/>
      <c r="F913" s="72"/>
    </row>
    <row r="914" ht="14.25" customHeight="1">
      <c r="A914" s="73"/>
      <c r="B914" s="73"/>
      <c r="C914" s="73"/>
      <c r="D914" s="73"/>
      <c r="E914" s="73"/>
      <c r="F914" s="72"/>
    </row>
    <row r="915" ht="14.25" customHeight="1">
      <c r="A915" s="73"/>
      <c r="B915" s="73"/>
      <c r="C915" s="73"/>
      <c r="D915" s="73"/>
      <c r="E915" s="73"/>
      <c r="F915" s="72"/>
    </row>
    <row r="916" ht="14.25" customHeight="1">
      <c r="A916" s="73"/>
      <c r="B916" s="73"/>
      <c r="C916" s="73"/>
      <c r="D916" s="73"/>
      <c r="E916" s="73"/>
      <c r="F916" s="72"/>
    </row>
    <row r="917" ht="14.25" customHeight="1">
      <c r="A917" s="73"/>
      <c r="B917" s="73"/>
      <c r="C917" s="73"/>
      <c r="D917" s="73"/>
      <c r="E917" s="73"/>
      <c r="F917" s="72"/>
    </row>
    <row r="918" ht="14.25" customHeight="1">
      <c r="A918" s="73"/>
      <c r="B918" s="73"/>
      <c r="C918" s="73"/>
      <c r="D918" s="73"/>
      <c r="E918" s="73"/>
      <c r="F918" s="72"/>
    </row>
    <row r="919" ht="14.25" customHeight="1">
      <c r="A919" s="73"/>
      <c r="B919" s="73"/>
      <c r="C919" s="73"/>
      <c r="D919" s="73"/>
      <c r="E919" s="73"/>
      <c r="F919" s="72"/>
    </row>
    <row r="920" ht="14.25" customHeight="1">
      <c r="A920" s="73"/>
      <c r="B920" s="73"/>
      <c r="C920" s="73"/>
      <c r="D920" s="73"/>
      <c r="E920" s="73"/>
      <c r="F920" s="72"/>
    </row>
    <row r="921" ht="14.25" customHeight="1">
      <c r="A921" s="73"/>
      <c r="B921" s="73"/>
      <c r="C921" s="73"/>
      <c r="D921" s="73"/>
      <c r="E921" s="73"/>
      <c r="F921" s="72"/>
    </row>
    <row r="922" ht="14.25" customHeight="1">
      <c r="A922" s="73"/>
      <c r="B922" s="73"/>
      <c r="C922" s="73"/>
      <c r="D922" s="73"/>
      <c r="E922" s="73"/>
      <c r="F922" s="72"/>
    </row>
    <row r="923" ht="14.25" customHeight="1">
      <c r="A923" s="73"/>
      <c r="B923" s="73"/>
      <c r="C923" s="73"/>
      <c r="D923" s="73"/>
      <c r="E923" s="73"/>
      <c r="F923" s="72"/>
    </row>
    <row r="924" ht="14.25" customHeight="1">
      <c r="A924" s="73"/>
      <c r="B924" s="73"/>
      <c r="C924" s="73"/>
      <c r="D924" s="73"/>
      <c r="E924" s="73"/>
      <c r="F924" s="72"/>
    </row>
    <row r="925" ht="14.25" customHeight="1">
      <c r="A925" s="73"/>
      <c r="B925" s="73"/>
      <c r="C925" s="73"/>
      <c r="D925" s="73"/>
      <c r="E925" s="73"/>
      <c r="F925" s="72"/>
    </row>
    <row r="926" ht="14.25" customHeight="1">
      <c r="A926" s="73"/>
      <c r="B926" s="73"/>
      <c r="C926" s="73"/>
      <c r="D926" s="73"/>
      <c r="E926" s="73"/>
      <c r="F926" s="72"/>
    </row>
    <row r="927" ht="14.25" customHeight="1">
      <c r="A927" s="73"/>
      <c r="B927" s="73"/>
      <c r="C927" s="73"/>
      <c r="D927" s="73"/>
      <c r="E927" s="73"/>
      <c r="F927" s="72"/>
    </row>
    <row r="928" ht="14.25" customHeight="1">
      <c r="A928" s="73"/>
      <c r="B928" s="73"/>
      <c r="C928" s="73"/>
      <c r="D928" s="73"/>
      <c r="E928" s="73"/>
      <c r="F928" s="72"/>
    </row>
    <row r="929" ht="14.25" customHeight="1">
      <c r="A929" s="73"/>
      <c r="B929" s="73"/>
      <c r="C929" s="73"/>
      <c r="D929" s="73"/>
      <c r="E929" s="73"/>
      <c r="F929" s="72"/>
    </row>
    <row r="930" ht="14.25" customHeight="1">
      <c r="A930" s="73"/>
      <c r="B930" s="73"/>
      <c r="C930" s="73"/>
      <c r="D930" s="73"/>
      <c r="E930" s="73"/>
      <c r="F930" s="72"/>
    </row>
    <row r="931" ht="14.25" customHeight="1">
      <c r="A931" s="73"/>
      <c r="B931" s="73"/>
      <c r="C931" s="73"/>
      <c r="D931" s="73"/>
      <c r="E931" s="73"/>
      <c r="F931" s="72"/>
    </row>
    <row r="932" ht="14.25" customHeight="1">
      <c r="A932" s="73"/>
      <c r="B932" s="73"/>
      <c r="C932" s="73"/>
      <c r="D932" s="73"/>
      <c r="E932" s="73"/>
      <c r="F932" s="72"/>
    </row>
    <row r="933" ht="14.25" customHeight="1">
      <c r="A933" s="73"/>
      <c r="B933" s="73"/>
      <c r="C933" s="73"/>
      <c r="D933" s="73"/>
      <c r="E933" s="73"/>
      <c r="F933" s="72"/>
    </row>
    <row r="934" ht="14.25" customHeight="1">
      <c r="A934" s="73"/>
      <c r="B934" s="73"/>
      <c r="C934" s="73"/>
      <c r="D934" s="73"/>
      <c r="E934" s="73"/>
      <c r="F934" s="72"/>
    </row>
    <row r="935" ht="14.25" customHeight="1">
      <c r="A935" s="73"/>
      <c r="B935" s="73"/>
      <c r="C935" s="73"/>
      <c r="D935" s="73"/>
      <c r="E935" s="73"/>
      <c r="F935" s="72"/>
    </row>
    <row r="936" ht="14.25" customHeight="1">
      <c r="A936" s="73"/>
      <c r="B936" s="73"/>
      <c r="C936" s="73"/>
      <c r="D936" s="73"/>
      <c r="E936" s="73"/>
      <c r="F936" s="72"/>
    </row>
    <row r="937" ht="14.25" customHeight="1">
      <c r="A937" s="73"/>
      <c r="B937" s="73"/>
      <c r="C937" s="73"/>
      <c r="D937" s="73"/>
      <c r="E937" s="73"/>
      <c r="F937" s="72"/>
    </row>
    <row r="938" ht="14.25" customHeight="1">
      <c r="A938" s="73"/>
      <c r="B938" s="73"/>
      <c r="C938" s="73"/>
      <c r="D938" s="73"/>
      <c r="E938" s="73"/>
      <c r="F938" s="72"/>
    </row>
    <row r="939" ht="14.25" customHeight="1">
      <c r="A939" s="73"/>
      <c r="B939" s="73"/>
      <c r="C939" s="73"/>
      <c r="D939" s="73"/>
      <c r="E939" s="73"/>
      <c r="F939" s="72"/>
    </row>
    <row r="940" ht="14.25" customHeight="1">
      <c r="A940" s="73"/>
      <c r="B940" s="73"/>
      <c r="C940" s="73"/>
      <c r="D940" s="73"/>
      <c r="E940" s="73"/>
      <c r="F940" s="72"/>
    </row>
    <row r="941" ht="14.25" customHeight="1">
      <c r="A941" s="73"/>
      <c r="B941" s="73"/>
      <c r="C941" s="73"/>
      <c r="D941" s="73"/>
      <c r="E941" s="73"/>
      <c r="F941" s="72"/>
    </row>
    <row r="942" ht="14.25" customHeight="1">
      <c r="A942" s="73"/>
      <c r="B942" s="73"/>
      <c r="C942" s="73"/>
      <c r="D942" s="73"/>
      <c r="E942" s="73"/>
      <c r="F942" s="72"/>
    </row>
    <row r="943" ht="14.25" customHeight="1">
      <c r="A943" s="73"/>
      <c r="B943" s="73"/>
      <c r="C943" s="73"/>
      <c r="D943" s="73"/>
      <c r="E943" s="73"/>
      <c r="F943" s="72"/>
    </row>
    <row r="944" ht="14.25" customHeight="1">
      <c r="A944" s="73"/>
      <c r="B944" s="73"/>
      <c r="C944" s="73"/>
      <c r="D944" s="73"/>
      <c r="E944" s="73"/>
      <c r="F944" s="72"/>
    </row>
    <row r="945" ht="14.25" customHeight="1">
      <c r="A945" s="73"/>
      <c r="B945" s="73"/>
      <c r="C945" s="73"/>
      <c r="D945" s="73"/>
      <c r="E945" s="73"/>
      <c r="F945" s="72"/>
    </row>
    <row r="946" ht="14.25" customHeight="1">
      <c r="A946" s="73"/>
      <c r="B946" s="73"/>
      <c r="C946" s="73"/>
      <c r="D946" s="73"/>
      <c r="E946" s="73"/>
      <c r="F946" s="72"/>
    </row>
    <row r="947" ht="14.25" customHeight="1">
      <c r="A947" s="73"/>
      <c r="B947" s="73"/>
      <c r="C947" s="73"/>
      <c r="D947" s="73"/>
      <c r="E947" s="73"/>
      <c r="F947" s="72"/>
    </row>
    <row r="948" ht="14.25" customHeight="1">
      <c r="A948" s="73"/>
      <c r="B948" s="73"/>
      <c r="C948" s="73"/>
      <c r="D948" s="73"/>
      <c r="E948" s="73"/>
      <c r="F948" s="72"/>
    </row>
    <row r="949" ht="14.25" customHeight="1">
      <c r="A949" s="73"/>
      <c r="B949" s="73"/>
      <c r="C949" s="73"/>
      <c r="D949" s="73"/>
      <c r="E949" s="73"/>
      <c r="F949" s="72"/>
    </row>
    <row r="950" ht="14.25" customHeight="1">
      <c r="A950" s="73"/>
      <c r="B950" s="73"/>
      <c r="C950" s="73"/>
      <c r="D950" s="73"/>
      <c r="E950" s="73"/>
      <c r="F950" s="72"/>
    </row>
    <row r="951" ht="14.25" customHeight="1">
      <c r="A951" s="73"/>
      <c r="B951" s="73"/>
      <c r="C951" s="73"/>
      <c r="D951" s="73"/>
      <c r="E951" s="73"/>
      <c r="F951" s="72"/>
    </row>
    <row r="952" ht="14.25" customHeight="1">
      <c r="A952" s="73"/>
      <c r="B952" s="73"/>
      <c r="C952" s="73"/>
      <c r="D952" s="73"/>
      <c r="E952" s="73"/>
      <c r="F952" s="72"/>
    </row>
    <row r="953" ht="14.25" customHeight="1">
      <c r="A953" s="73"/>
      <c r="B953" s="73"/>
      <c r="C953" s="73"/>
      <c r="D953" s="73"/>
      <c r="E953" s="73"/>
      <c r="F953" s="72"/>
    </row>
    <row r="954" ht="14.25" customHeight="1">
      <c r="A954" s="73"/>
      <c r="B954" s="73"/>
      <c r="C954" s="73"/>
      <c r="D954" s="73"/>
      <c r="E954" s="73"/>
      <c r="F954" s="72"/>
    </row>
    <row r="955" ht="14.25" customHeight="1">
      <c r="A955" s="73"/>
      <c r="B955" s="73"/>
      <c r="C955" s="73"/>
      <c r="D955" s="73"/>
      <c r="E955" s="73"/>
      <c r="F955" s="72"/>
    </row>
    <row r="956" ht="14.25" customHeight="1">
      <c r="A956" s="73"/>
      <c r="B956" s="73"/>
      <c r="C956" s="73"/>
      <c r="D956" s="73"/>
      <c r="E956" s="73"/>
      <c r="F956" s="72"/>
    </row>
    <row r="957" ht="14.25" customHeight="1">
      <c r="A957" s="73"/>
      <c r="B957" s="73"/>
      <c r="C957" s="73"/>
      <c r="D957" s="73"/>
      <c r="E957" s="73"/>
      <c r="F957" s="72"/>
    </row>
    <row r="958" ht="14.25" customHeight="1">
      <c r="A958" s="73"/>
      <c r="B958" s="73"/>
      <c r="C958" s="73"/>
      <c r="D958" s="73"/>
      <c r="E958" s="73"/>
      <c r="F958" s="72"/>
    </row>
    <row r="959" ht="14.25" customHeight="1">
      <c r="A959" s="73"/>
      <c r="B959" s="73"/>
      <c r="C959" s="73"/>
      <c r="D959" s="73"/>
      <c r="E959" s="73"/>
      <c r="F959" s="72"/>
    </row>
    <row r="960" ht="14.25" customHeight="1">
      <c r="A960" s="73"/>
      <c r="B960" s="73"/>
      <c r="C960" s="73"/>
      <c r="D960" s="73"/>
      <c r="E960" s="73"/>
      <c r="F960" s="72"/>
    </row>
    <row r="961" ht="14.25" customHeight="1">
      <c r="A961" s="73"/>
      <c r="B961" s="73"/>
      <c r="C961" s="73"/>
      <c r="D961" s="73"/>
      <c r="E961" s="73"/>
      <c r="F961" s="72"/>
    </row>
    <row r="962" ht="14.25" customHeight="1">
      <c r="A962" s="73"/>
      <c r="B962" s="73"/>
      <c r="C962" s="73"/>
      <c r="D962" s="73"/>
      <c r="E962" s="73"/>
      <c r="F962" s="72"/>
    </row>
    <row r="963" ht="14.25" customHeight="1">
      <c r="A963" s="73"/>
      <c r="B963" s="73"/>
      <c r="C963" s="73"/>
      <c r="D963" s="73"/>
      <c r="E963" s="73"/>
      <c r="F963" s="72"/>
    </row>
    <row r="964" ht="14.25" customHeight="1">
      <c r="A964" s="73"/>
      <c r="B964" s="73"/>
      <c r="C964" s="73"/>
      <c r="D964" s="73"/>
      <c r="E964" s="73"/>
      <c r="F964" s="72"/>
    </row>
    <row r="965" ht="14.25" customHeight="1">
      <c r="A965" s="73"/>
      <c r="B965" s="73"/>
      <c r="C965" s="73"/>
      <c r="D965" s="73"/>
      <c r="E965" s="73"/>
      <c r="F965" s="72"/>
    </row>
    <row r="966" ht="14.25" customHeight="1">
      <c r="A966" s="73"/>
      <c r="B966" s="73"/>
      <c r="C966" s="73"/>
      <c r="D966" s="73"/>
      <c r="E966" s="73"/>
      <c r="F966" s="72"/>
    </row>
    <row r="967" ht="14.25" customHeight="1">
      <c r="A967" s="73"/>
      <c r="B967" s="73"/>
      <c r="C967" s="73"/>
      <c r="D967" s="73"/>
      <c r="E967" s="73"/>
      <c r="F967" s="72"/>
    </row>
    <row r="968" ht="14.25" customHeight="1">
      <c r="A968" s="73"/>
      <c r="B968" s="73"/>
      <c r="C968" s="73"/>
      <c r="D968" s="73"/>
      <c r="E968" s="73"/>
      <c r="F968" s="72"/>
    </row>
    <row r="969" ht="14.25" customHeight="1">
      <c r="A969" s="73"/>
      <c r="B969" s="73"/>
      <c r="C969" s="73"/>
      <c r="D969" s="73"/>
      <c r="E969" s="73"/>
      <c r="F969" s="72"/>
    </row>
    <row r="970" ht="14.25" customHeight="1">
      <c r="A970" s="73"/>
      <c r="B970" s="73"/>
      <c r="C970" s="73"/>
      <c r="D970" s="73"/>
      <c r="E970" s="73"/>
      <c r="F970" s="72"/>
    </row>
    <row r="971" ht="14.25" customHeight="1">
      <c r="A971" s="73"/>
      <c r="B971" s="73"/>
      <c r="C971" s="73"/>
      <c r="D971" s="73"/>
      <c r="E971" s="73"/>
      <c r="F971" s="72"/>
    </row>
    <row r="972" ht="14.25" customHeight="1">
      <c r="A972" s="73"/>
      <c r="B972" s="73"/>
      <c r="C972" s="73"/>
      <c r="D972" s="73"/>
      <c r="E972" s="73"/>
      <c r="F972" s="72"/>
    </row>
    <row r="973" ht="14.25" customHeight="1">
      <c r="A973" s="73"/>
      <c r="B973" s="73"/>
      <c r="C973" s="73"/>
      <c r="D973" s="73"/>
      <c r="E973" s="73"/>
      <c r="F973" s="72"/>
    </row>
    <row r="974" ht="14.25" customHeight="1">
      <c r="A974" s="73"/>
      <c r="B974" s="73"/>
      <c r="C974" s="73"/>
      <c r="D974" s="73"/>
      <c r="E974" s="73"/>
      <c r="F974" s="72"/>
    </row>
    <row r="975" ht="14.25" customHeight="1">
      <c r="A975" s="73"/>
      <c r="B975" s="73"/>
      <c r="C975" s="73"/>
      <c r="D975" s="73"/>
      <c r="E975" s="73"/>
      <c r="F975" s="72"/>
    </row>
    <row r="976" ht="14.25" customHeight="1">
      <c r="A976" s="73"/>
      <c r="B976" s="73"/>
      <c r="C976" s="73"/>
      <c r="D976" s="73"/>
      <c r="E976" s="73"/>
      <c r="F976" s="72"/>
    </row>
    <row r="977" ht="14.25" customHeight="1">
      <c r="A977" s="73"/>
      <c r="B977" s="73"/>
      <c r="C977" s="73"/>
      <c r="D977" s="73"/>
      <c r="E977" s="73"/>
      <c r="F977" s="72"/>
    </row>
    <row r="978" ht="14.25" customHeight="1">
      <c r="A978" s="73"/>
      <c r="B978" s="73"/>
      <c r="C978" s="73"/>
      <c r="D978" s="73"/>
      <c r="E978" s="73"/>
      <c r="F978" s="72"/>
    </row>
    <row r="979" ht="14.25" customHeight="1">
      <c r="A979" s="73"/>
      <c r="B979" s="73"/>
      <c r="C979" s="73"/>
      <c r="D979" s="73"/>
      <c r="E979" s="73"/>
      <c r="F979" s="72"/>
    </row>
    <row r="980" ht="14.25" customHeight="1">
      <c r="A980" s="73"/>
      <c r="B980" s="73"/>
      <c r="C980" s="73"/>
      <c r="D980" s="73"/>
      <c r="E980" s="73"/>
      <c r="F980" s="72"/>
    </row>
    <row r="981" ht="14.25" customHeight="1">
      <c r="A981" s="73"/>
      <c r="B981" s="73"/>
      <c r="C981" s="73"/>
      <c r="D981" s="73"/>
      <c r="E981" s="73"/>
      <c r="F981" s="72"/>
    </row>
    <row r="982" ht="14.25" customHeight="1">
      <c r="A982" s="73"/>
      <c r="B982" s="73"/>
      <c r="C982" s="73"/>
      <c r="D982" s="73"/>
      <c r="E982" s="73"/>
      <c r="F982" s="72"/>
    </row>
    <row r="983" ht="14.25" customHeight="1">
      <c r="A983" s="73"/>
      <c r="B983" s="73"/>
      <c r="C983" s="73"/>
      <c r="D983" s="73"/>
      <c r="E983" s="73"/>
      <c r="F983" s="72"/>
    </row>
    <row r="984" ht="14.25" customHeight="1">
      <c r="A984" s="73"/>
      <c r="B984" s="73"/>
      <c r="C984" s="73"/>
      <c r="D984" s="73"/>
      <c r="E984" s="73"/>
      <c r="F984" s="72"/>
    </row>
  </sheetData>
  <mergeCells count="144">
    <mergeCell ref="G2:J2"/>
    <mergeCell ref="K2:N2"/>
    <mergeCell ref="O2:R2"/>
    <mergeCell ref="S2:V2"/>
    <mergeCell ref="W2:Z2"/>
    <mergeCell ref="AA2:AC2"/>
    <mergeCell ref="AG2:AI2"/>
    <mergeCell ref="AK6:AN6"/>
    <mergeCell ref="AL13:AM13"/>
    <mergeCell ref="AL14:AM14"/>
    <mergeCell ref="L3:M3"/>
    <mergeCell ref="P3:Q3"/>
    <mergeCell ref="T3:U3"/>
    <mergeCell ref="X3:Y3"/>
    <mergeCell ref="A1:F1"/>
    <mergeCell ref="G1:AF1"/>
    <mergeCell ref="A2:B3"/>
    <mergeCell ref="C2:C3"/>
    <mergeCell ref="D2:D3"/>
    <mergeCell ref="E2:E3"/>
    <mergeCell ref="AD2:AF2"/>
    <mergeCell ref="F2:F3"/>
    <mergeCell ref="H3:I3"/>
    <mergeCell ref="B4:B5"/>
    <mergeCell ref="C4:C5"/>
    <mergeCell ref="B6:B7"/>
    <mergeCell ref="C6:C7"/>
    <mergeCell ref="B13:B14"/>
    <mergeCell ref="B21:B24"/>
    <mergeCell ref="C21:C24"/>
    <mergeCell ref="C28:C29"/>
    <mergeCell ref="B31:B33"/>
    <mergeCell ref="C31:C33"/>
    <mergeCell ref="B34:B35"/>
    <mergeCell ref="A47:AH47"/>
    <mergeCell ref="AH48:AH49"/>
    <mergeCell ref="AK51:AN51"/>
    <mergeCell ref="K48:N48"/>
    <mergeCell ref="O48:R48"/>
    <mergeCell ref="S48:V48"/>
    <mergeCell ref="W48:Z48"/>
    <mergeCell ref="AA48:AC48"/>
    <mergeCell ref="AD48:AF48"/>
    <mergeCell ref="AG48:AG49"/>
    <mergeCell ref="A44:E44"/>
    <mergeCell ref="C48:C49"/>
    <mergeCell ref="D48:D49"/>
    <mergeCell ref="E48:E49"/>
    <mergeCell ref="F48:F49"/>
    <mergeCell ref="G48:J48"/>
    <mergeCell ref="H49:I49"/>
    <mergeCell ref="E63:E64"/>
    <mergeCell ref="F63:F64"/>
    <mergeCell ref="G63:H63"/>
    <mergeCell ref="I63:J63"/>
    <mergeCell ref="K63:L63"/>
    <mergeCell ref="M63:N63"/>
    <mergeCell ref="AA65:AG65"/>
    <mergeCell ref="I77:J77"/>
    <mergeCell ref="K77:L77"/>
    <mergeCell ref="A89:B90"/>
    <mergeCell ref="B95:S95"/>
    <mergeCell ref="B96:C97"/>
    <mergeCell ref="D96:E97"/>
    <mergeCell ref="F96:G97"/>
    <mergeCell ref="H96:I97"/>
    <mergeCell ref="J96:K97"/>
    <mergeCell ref="N96:O102"/>
    <mergeCell ref="S96:S102"/>
    <mergeCell ref="N103:O103"/>
    <mergeCell ref="B108:F108"/>
    <mergeCell ref="C109:F109"/>
    <mergeCell ref="B114:E115"/>
    <mergeCell ref="B117:F117"/>
    <mergeCell ref="D118:F118"/>
    <mergeCell ref="D122:E122"/>
    <mergeCell ref="B126:I126"/>
    <mergeCell ref="B145:G145"/>
    <mergeCell ref="E148:F148"/>
    <mergeCell ref="F174:F175"/>
    <mergeCell ref="G174:G175"/>
    <mergeCell ref="E152:E153"/>
    <mergeCell ref="F152:F153"/>
    <mergeCell ref="B171:G172"/>
    <mergeCell ref="B173:G173"/>
    <mergeCell ref="B174:C175"/>
    <mergeCell ref="D174:D175"/>
    <mergeCell ref="E174:E175"/>
    <mergeCell ref="C176:C177"/>
    <mergeCell ref="D176:D177"/>
    <mergeCell ref="C178:C179"/>
    <mergeCell ref="D178:D179"/>
    <mergeCell ref="C185:C186"/>
    <mergeCell ref="C188:C189"/>
    <mergeCell ref="C192:C195"/>
    <mergeCell ref="D192:D195"/>
    <mergeCell ref="D199:D200"/>
    <mergeCell ref="C202:C204"/>
    <mergeCell ref="D202:D204"/>
    <mergeCell ref="C205:C206"/>
    <mergeCell ref="B212:F212"/>
    <mergeCell ref="B213:G213"/>
    <mergeCell ref="D218:D219"/>
    <mergeCell ref="B223:F223"/>
    <mergeCell ref="B214:C215"/>
    <mergeCell ref="D214:D215"/>
    <mergeCell ref="E214:E215"/>
    <mergeCell ref="F214:F215"/>
    <mergeCell ref="G214:G215"/>
    <mergeCell ref="B218:B219"/>
    <mergeCell ref="C218:C219"/>
    <mergeCell ref="O63:P63"/>
    <mergeCell ref="R63:R64"/>
    <mergeCell ref="A48:B49"/>
    <mergeCell ref="A52:A53"/>
    <mergeCell ref="A58:E58"/>
    <mergeCell ref="A62:R62"/>
    <mergeCell ref="A63:B64"/>
    <mergeCell ref="C63:C64"/>
    <mergeCell ref="D63:D64"/>
    <mergeCell ref="M77:N77"/>
    <mergeCell ref="O77:P77"/>
    <mergeCell ref="Q77:R77"/>
    <mergeCell ref="S77:T77"/>
    <mergeCell ref="W77:X77"/>
    <mergeCell ref="Y77:Z77"/>
    <mergeCell ref="V79:V88"/>
    <mergeCell ref="C65:C71"/>
    <mergeCell ref="A73:E73"/>
    <mergeCell ref="A76:V76"/>
    <mergeCell ref="A77:B78"/>
    <mergeCell ref="C77:D77"/>
    <mergeCell ref="E77:F77"/>
    <mergeCell ref="G77:H77"/>
    <mergeCell ref="U77:V77"/>
    <mergeCell ref="L96:M97"/>
    <mergeCell ref="P96:R97"/>
    <mergeCell ref="B110:B111"/>
    <mergeCell ref="C110:C111"/>
    <mergeCell ref="I111:J111"/>
    <mergeCell ref="L111:O111"/>
    <mergeCell ref="F114:F115"/>
    <mergeCell ref="I115:I116"/>
    <mergeCell ref="J115:J116"/>
  </mergeCells>
  <conditionalFormatting sqref="AG4:AG43">
    <cfRule type="cellIs" dxfId="0" priority="1" operator="lessThan">
      <formula>-1</formula>
    </cfRule>
  </conditionalFormatting>
  <conditionalFormatting sqref="AG44">
    <cfRule type="cellIs" dxfId="1" priority="2" operator="greaterThan">
      <formula>0</formula>
    </cfRule>
  </conditionalFormatting>
  <conditionalFormatting sqref="AG50:AG57">
    <cfRule type="cellIs" dxfId="0" priority="3" operator="lessThan">
      <formula>0</formula>
    </cfRule>
  </conditionalFormatting>
  <conditionalFormatting sqref="AH4">
    <cfRule type="cellIs" dxfId="0" priority="4" operator="greaterThan">
      <formula>$F$4</formula>
    </cfRule>
  </conditionalFormatting>
  <conditionalFormatting sqref="AH5">
    <cfRule type="cellIs" dxfId="0" priority="5" operator="greaterThan">
      <formula>$F$5</formula>
    </cfRule>
  </conditionalFormatting>
  <conditionalFormatting sqref="AH6">
    <cfRule type="cellIs" dxfId="0" priority="6" operator="greaterThan">
      <formula>$F$6</formula>
    </cfRule>
  </conditionalFormatting>
  <conditionalFormatting sqref="AH7">
    <cfRule type="cellIs" dxfId="0" priority="7" operator="greaterThan">
      <formula>$F$7</formula>
    </cfRule>
  </conditionalFormatting>
  <conditionalFormatting sqref="AH8">
    <cfRule type="cellIs" dxfId="0" priority="8" operator="greaterThan">
      <formula>$F$8</formula>
    </cfRule>
  </conditionalFormatting>
  <conditionalFormatting sqref="AH9">
    <cfRule type="cellIs" dxfId="0" priority="9" operator="greaterThan">
      <formula>$F$9</formula>
    </cfRule>
  </conditionalFormatting>
  <conditionalFormatting sqref="AH10">
    <cfRule type="cellIs" dxfId="0" priority="10" operator="greaterThan">
      <formula>$F$10</formula>
    </cfRule>
  </conditionalFormatting>
  <conditionalFormatting sqref="AH11">
    <cfRule type="cellIs" dxfId="0" priority="11" operator="greaterThan">
      <formula>$F$11</formula>
    </cfRule>
  </conditionalFormatting>
  <conditionalFormatting sqref="AH12">
    <cfRule type="cellIs" dxfId="0" priority="12" operator="greaterThan">
      <formula>$F$12</formula>
    </cfRule>
  </conditionalFormatting>
  <conditionalFormatting sqref="AH13">
    <cfRule type="cellIs" dxfId="0" priority="13" operator="greaterThan">
      <formula>$F$13</formula>
    </cfRule>
  </conditionalFormatting>
  <conditionalFormatting sqref="AH14">
    <cfRule type="cellIs" dxfId="0" priority="14" operator="greaterThan">
      <formula>$F$14</formula>
    </cfRule>
  </conditionalFormatting>
  <conditionalFormatting sqref="AH15">
    <cfRule type="cellIs" dxfId="0" priority="15" operator="greaterThan">
      <formula>$F$15</formula>
    </cfRule>
  </conditionalFormatting>
  <conditionalFormatting sqref="AH16:AH18">
    <cfRule type="cellIs" dxfId="0" priority="16" operator="greaterThan">
      <formula>$F$16</formula>
    </cfRule>
  </conditionalFormatting>
  <conditionalFormatting sqref="AH19">
    <cfRule type="cellIs" dxfId="0" priority="17" operator="greaterThan">
      <formula>$F$19</formula>
    </cfRule>
  </conditionalFormatting>
  <conditionalFormatting sqref="AH20">
    <cfRule type="cellIs" dxfId="0" priority="18" operator="greaterThan">
      <formula>$F$20</formula>
    </cfRule>
  </conditionalFormatting>
  <conditionalFormatting sqref="AH21">
    <cfRule type="cellIs" dxfId="0" priority="19" operator="greaterThan">
      <formula>$F$21</formula>
    </cfRule>
  </conditionalFormatting>
  <conditionalFormatting sqref="AH22">
    <cfRule type="cellIs" dxfId="0" priority="20" operator="greaterThan">
      <formula>$F$22</formula>
    </cfRule>
  </conditionalFormatting>
  <conditionalFormatting sqref="AH25">
    <cfRule type="cellIs" dxfId="0" priority="21" operator="greaterThan">
      <formula>$F$25</formula>
    </cfRule>
  </conditionalFormatting>
  <conditionalFormatting sqref="AH26">
    <cfRule type="cellIs" dxfId="0" priority="22" operator="greaterThan">
      <formula>$F$26</formula>
    </cfRule>
  </conditionalFormatting>
  <conditionalFormatting sqref="AH27">
    <cfRule type="cellIs" dxfId="0" priority="23" operator="greaterThan">
      <formula>$F$27</formula>
    </cfRule>
  </conditionalFormatting>
  <conditionalFormatting sqref="AH28">
    <cfRule type="cellIs" dxfId="0" priority="24" operator="greaterThan">
      <formula>$F$28</formula>
    </cfRule>
  </conditionalFormatting>
  <conditionalFormatting sqref="AH29">
    <cfRule type="cellIs" dxfId="0" priority="25" operator="greaterThan">
      <formula>$F$29</formula>
    </cfRule>
  </conditionalFormatting>
  <conditionalFormatting sqref="AH30">
    <cfRule type="cellIs" dxfId="0" priority="26" operator="greaterThan">
      <formula>$F$30</formula>
    </cfRule>
  </conditionalFormatting>
  <conditionalFormatting sqref="AH31">
    <cfRule type="cellIs" dxfId="0" priority="27" operator="greaterThan">
      <formula>$F$31</formula>
    </cfRule>
  </conditionalFormatting>
  <conditionalFormatting sqref="AH32 AH36 AH40">
    <cfRule type="cellIs" dxfId="0" priority="28" operator="greaterThan">
      <formula>$F$32</formula>
    </cfRule>
  </conditionalFormatting>
  <conditionalFormatting sqref="AH33 AH37 AH41">
    <cfRule type="cellIs" dxfId="0" priority="29" operator="greaterThan">
      <formula>$F$33</formula>
    </cfRule>
  </conditionalFormatting>
  <conditionalFormatting sqref="AH34 AH38 AH42:AH43">
    <cfRule type="cellIs" dxfId="0" priority="30" operator="greaterThan">
      <formula>$F$34</formula>
    </cfRule>
  </conditionalFormatting>
  <conditionalFormatting sqref="AH35 AH39">
    <cfRule type="cellIs" dxfId="0" priority="31" operator="greaterThan">
      <formula>$F$35</formula>
    </cfRule>
  </conditionalFormatting>
  <conditionalFormatting sqref="AH44">
    <cfRule type="cellIs" dxfId="1" priority="32" operator="lessThan">
      <formula>46700</formula>
    </cfRule>
  </conditionalFormatting>
  <printOptions/>
  <pageMargins bottom="0.75" footer="0.0" header="0.0" left="0.25" right="0.25" top="0.7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40.13"/>
    <col customWidth="1" min="4" max="4" width="32.38"/>
    <col customWidth="1" min="5" max="5" width="19.75"/>
    <col customWidth="1" min="6" max="6" width="21.5"/>
    <col customWidth="1" min="7" max="7" width="20.0"/>
    <col customWidth="1" min="8" max="8" width="17.0"/>
    <col customWidth="1" min="9" max="9" width="36.75"/>
    <col customWidth="1" min="10" max="10" width="17.0"/>
    <col customWidth="1" min="11" max="11" width="17.25"/>
    <col customWidth="1" min="12" max="13" width="15.25"/>
    <col customWidth="1" min="14" max="14" width="24.38"/>
    <col customWidth="1" min="15" max="15" width="16.75"/>
    <col customWidth="1" min="16" max="17" width="21.63"/>
    <col customWidth="1" min="18" max="18" width="20.88"/>
    <col customWidth="1" min="19" max="19" width="19.0"/>
    <col customWidth="1" min="20" max="21" width="15.63"/>
    <col customWidth="1" min="22" max="22" width="14.88"/>
    <col customWidth="1" min="23" max="23" width="18.5"/>
    <col customWidth="1" min="24" max="25" width="22.25"/>
    <col customWidth="1" min="26" max="26" width="16.5"/>
    <col customWidth="1" min="27" max="27" width="16.63"/>
    <col customWidth="1" min="28" max="28" width="17.25"/>
    <col customWidth="1" min="29" max="32" width="10.63"/>
    <col customWidth="1" min="33" max="33" width="19.13"/>
    <col customWidth="1" min="34" max="34" width="18.63"/>
    <col customWidth="1" min="35" max="35" width="14.63"/>
    <col customWidth="1" min="36" max="36" width="10.63"/>
    <col customWidth="1" min="37" max="37" width="21.38"/>
    <col customWidth="1" min="38" max="38" width="16.5"/>
    <col customWidth="1" min="39" max="39" width="21.0"/>
    <col customWidth="1" min="40" max="40" width="18.25"/>
    <col customWidth="1" min="41" max="41" width="10.63"/>
    <col customWidth="1" min="42" max="42" width="15.63"/>
    <col customWidth="1" min="43" max="44" width="10.63"/>
    <col customWidth="1" min="45" max="47" width="13.88"/>
    <col customWidth="1" min="48" max="49" width="14.38"/>
    <col customWidth="1" min="50" max="51" width="14.75"/>
    <col customWidth="1" min="52" max="53" width="18.38"/>
    <col customWidth="1" min="54" max="54" width="10.63"/>
    <col customWidth="1" min="55" max="55" width="13.38"/>
    <col customWidth="1" min="56" max="58" width="10.63"/>
    <col customWidth="1" min="59" max="59" width="15.5"/>
    <col customWidth="1" min="60" max="60" width="10.63"/>
  </cols>
  <sheetData>
    <row r="1" ht="14.25" customHeight="1">
      <c r="A1" s="1"/>
      <c r="B1" s="2"/>
      <c r="C1" s="2"/>
      <c r="D1" s="2"/>
      <c r="E1" s="2"/>
      <c r="F1" s="3"/>
      <c r="G1" s="344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  <c r="AG1" s="345"/>
      <c r="AH1" s="345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352">
        <v>46237.0</v>
      </c>
      <c r="H2" s="2"/>
      <c r="I2" s="2"/>
      <c r="J2" s="3"/>
      <c r="K2" s="352">
        <v>46238.0</v>
      </c>
      <c r="L2" s="2"/>
      <c r="M2" s="2"/>
      <c r="N2" s="3"/>
      <c r="O2" s="352">
        <v>46239.0</v>
      </c>
      <c r="P2" s="2"/>
      <c r="Q2" s="2"/>
      <c r="R2" s="3"/>
      <c r="S2" s="352">
        <v>46240.0</v>
      </c>
      <c r="T2" s="2"/>
      <c r="U2" s="2"/>
      <c r="V2" s="3"/>
      <c r="W2" s="352">
        <v>46241.0</v>
      </c>
      <c r="X2" s="2"/>
      <c r="Y2" s="2"/>
      <c r="Z2" s="3"/>
      <c r="AA2" s="352">
        <v>46242.0</v>
      </c>
      <c r="AB2" s="2"/>
      <c r="AC2" s="3"/>
      <c r="AD2" s="352">
        <v>46236.0</v>
      </c>
      <c r="AE2" s="2"/>
      <c r="AF2" s="3"/>
      <c r="AG2" s="8" t="s">
        <v>7</v>
      </c>
      <c r="AH2" s="2"/>
      <c r="AI2" s="3"/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8" t="s">
        <v>10</v>
      </c>
      <c r="I3" s="3"/>
      <c r="J3" s="13" t="s">
        <v>11</v>
      </c>
      <c r="K3" s="13" t="s">
        <v>9</v>
      </c>
      <c r="L3" s="8" t="s">
        <v>10</v>
      </c>
      <c r="M3" s="3"/>
      <c r="N3" s="13" t="s">
        <v>12</v>
      </c>
      <c r="O3" s="13" t="s">
        <v>9</v>
      </c>
      <c r="P3" s="8" t="s">
        <v>10</v>
      </c>
      <c r="Q3" s="3"/>
      <c r="R3" s="13" t="s">
        <v>12</v>
      </c>
      <c r="S3" s="13" t="s">
        <v>9</v>
      </c>
      <c r="T3" s="8" t="s">
        <v>10</v>
      </c>
      <c r="U3" s="3"/>
      <c r="V3" s="13" t="s">
        <v>12</v>
      </c>
      <c r="W3" s="13" t="s">
        <v>9</v>
      </c>
      <c r="X3" s="8" t="s">
        <v>10</v>
      </c>
      <c r="Y3" s="3"/>
      <c r="Z3" s="13" t="s">
        <v>11</v>
      </c>
      <c r="AA3" s="13" t="s">
        <v>9</v>
      </c>
      <c r="AB3" s="13" t="s">
        <v>10</v>
      </c>
      <c r="AC3" s="13" t="s">
        <v>11</v>
      </c>
      <c r="AD3" s="13" t="s">
        <v>9</v>
      </c>
      <c r="AE3" s="13" t="s">
        <v>10</v>
      </c>
      <c r="AF3" s="13" t="s">
        <v>11</v>
      </c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24"/>
      <c r="H4" s="24"/>
      <c r="I4" s="24"/>
      <c r="J4" s="85"/>
      <c r="K4" s="24"/>
      <c r="L4" s="24"/>
      <c r="M4" s="24"/>
      <c r="N4" s="24"/>
      <c r="O4" s="24"/>
      <c r="P4" s="24"/>
      <c r="Q4" s="24"/>
      <c r="R4" s="85"/>
      <c r="S4" s="24"/>
      <c r="T4" s="24"/>
      <c r="U4" s="24"/>
      <c r="V4" s="85"/>
      <c r="W4" s="24"/>
      <c r="X4" s="24"/>
      <c r="Y4" s="24"/>
      <c r="Z4" s="85"/>
      <c r="AA4" s="24"/>
      <c r="AB4" s="24"/>
      <c r="AC4" s="24"/>
      <c r="AD4" s="24"/>
      <c r="AE4" s="24"/>
      <c r="AF4" s="24"/>
      <c r="AG4" s="18">
        <f t="shared" ref="AG4:AG19" si="1">F4-(SUM(G4:AF4))</f>
        <v>1200</v>
      </c>
      <c r="AH4" s="18">
        <f t="shared" ref="AH4:AH18" si="2">SUM(G4:AC4)</f>
        <v>0</v>
      </c>
      <c r="AI4" s="20"/>
    </row>
    <row r="5" ht="14.25" customHeight="1">
      <c r="A5" s="14">
        <v>2.0</v>
      </c>
      <c r="B5" s="15" t="s">
        <v>13</v>
      </c>
      <c r="C5" s="15" t="s">
        <v>14</v>
      </c>
      <c r="D5" s="21" t="s">
        <v>17</v>
      </c>
      <c r="E5" s="21"/>
      <c r="F5" s="22">
        <v>500.0</v>
      </c>
      <c r="G5" s="24"/>
      <c r="H5" s="24"/>
      <c r="I5" s="24"/>
      <c r="J5" s="85"/>
      <c r="K5" s="24"/>
      <c r="L5" s="24"/>
      <c r="M5" s="24"/>
      <c r="N5" s="24"/>
      <c r="O5" s="24"/>
      <c r="P5" s="24"/>
      <c r="Q5" s="24"/>
      <c r="R5" s="85"/>
      <c r="S5" s="24"/>
      <c r="T5" s="24"/>
      <c r="U5" s="24"/>
      <c r="V5" s="85"/>
      <c r="W5" s="24"/>
      <c r="X5" s="24"/>
      <c r="Y5" s="24"/>
      <c r="Z5" s="85"/>
      <c r="AA5" s="24"/>
      <c r="AB5" s="24"/>
      <c r="AC5" s="24"/>
      <c r="AD5" s="24"/>
      <c r="AE5" s="24"/>
      <c r="AF5" s="24"/>
      <c r="AG5" s="18">
        <f t="shared" si="1"/>
        <v>500</v>
      </c>
      <c r="AH5" s="18">
        <f t="shared" si="2"/>
        <v>0</v>
      </c>
      <c r="AI5" s="20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4"/>
      <c r="H6" s="353"/>
      <c r="I6" s="353"/>
      <c r="J6" s="85"/>
      <c r="K6" s="354">
        <v>1504.72</v>
      </c>
      <c r="L6" s="24"/>
      <c r="M6" s="24"/>
      <c r="N6" s="24"/>
      <c r="O6" s="24"/>
      <c r="P6" s="24"/>
      <c r="Q6" s="24"/>
      <c r="R6" s="85"/>
      <c r="S6" s="24"/>
      <c r="T6" s="24"/>
      <c r="U6" s="24"/>
      <c r="V6" s="85"/>
      <c r="W6" s="24"/>
      <c r="X6" s="24"/>
      <c r="Y6" s="24"/>
      <c r="Z6" s="85"/>
      <c r="AA6" s="24"/>
      <c r="AB6" s="24"/>
      <c r="AC6" s="24"/>
      <c r="AD6" s="24"/>
      <c r="AE6" s="24"/>
      <c r="AF6" s="24"/>
      <c r="AG6" s="18">
        <f t="shared" si="1"/>
        <v>995.28</v>
      </c>
      <c r="AH6" s="18">
        <f t="shared" si="2"/>
        <v>1504.72</v>
      </c>
      <c r="AI6" s="20"/>
      <c r="AK6" s="31" t="s">
        <v>23</v>
      </c>
      <c r="AL6" s="2"/>
      <c r="AM6" s="2"/>
      <c r="AN6" s="3"/>
      <c r="AP6" s="32"/>
    </row>
    <row r="7" ht="14.25" customHeight="1">
      <c r="A7" s="25">
        <v>4.0</v>
      </c>
      <c r="B7" s="26" t="s">
        <v>18</v>
      </c>
      <c r="C7" s="26" t="s">
        <v>19</v>
      </c>
      <c r="D7" s="27" t="s">
        <v>17</v>
      </c>
      <c r="E7" s="27"/>
      <c r="F7" s="28">
        <v>500.0</v>
      </c>
      <c r="G7" s="24"/>
      <c r="H7" s="24"/>
      <c r="I7" s="24"/>
      <c r="J7" s="85"/>
      <c r="K7" s="354">
        <v>686.7</v>
      </c>
      <c r="L7" s="24"/>
      <c r="M7" s="24"/>
      <c r="N7" s="24"/>
      <c r="O7" s="24"/>
      <c r="P7" s="24"/>
      <c r="Q7" s="24"/>
      <c r="R7" s="85"/>
      <c r="S7" s="24"/>
      <c r="T7" s="24"/>
      <c r="U7" s="24"/>
      <c r="V7" s="85"/>
      <c r="W7" s="24"/>
      <c r="X7" s="24"/>
      <c r="Y7" s="24"/>
      <c r="Z7" s="85"/>
      <c r="AA7" s="24"/>
      <c r="AB7" s="24"/>
      <c r="AC7" s="24"/>
      <c r="AD7" s="24"/>
      <c r="AE7" s="24"/>
      <c r="AF7" s="24"/>
      <c r="AG7" s="18">
        <f t="shared" si="1"/>
        <v>-186.7</v>
      </c>
      <c r="AH7" s="18">
        <f t="shared" si="2"/>
        <v>686.7</v>
      </c>
      <c r="AI7" s="20"/>
      <c r="AK7" s="35" t="s">
        <v>25</v>
      </c>
      <c r="AL7" s="35" t="s">
        <v>26</v>
      </c>
      <c r="AM7" s="35" t="s">
        <v>27</v>
      </c>
      <c r="AN7" s="35" t="s">
        <v>28</v>
      </c>
      <c r="AP7" s="32"/>
    </row>
    <row r="8" ht="14.25" customHeight="1">
      <c r="A8" s="25">
        <v>5.0</v>
      </c>
      <c r="B8" s="27" t="s">
        <v>30</v>
      </c>
      <c r="C8" s="27" t="s">
        <v>19</v>
      </c>
      <c r="D8" s="27" t="s">
        <v>31</v>
      </c>
      <c r="E8" s="27" t="s">
        <v>32</v>
      </c>
      <c r="F8" s="28">
        <v>1500.0</v>
      </c>
      <c r="G8" s="24"/>
      <c r="H8" s="24"/>
      <c r="I8" s="24"/>
      <c r="J8" s="85"/>
      <c r="K8" s="24"/>
      <c r="L8" s="24"/>
      <c r="M8" s="24"/>
      <c r="N8" s="24"/>
      <c r="O8" s="24"/>
      <c r="P8" s="24"/>
      <c r="Q8" s="24"/>
      <c r="R8" s="85"/>
      <c r="S8" s="24"/>
      <c r="T8" s="24"/>
      <c r="U8" s="24"/>
      <c r="V8" s="85"/>
      <c r="W8" s="24"/>
      <c r="X8" s="24"/>
      <c r="Y8" s="24"/>
      <c r="Z8" s="85"/>
      <c r="AA8" s="24"/>
      <c r="AB8" s="24"/>
      <c r="AC8" s="24"/>
      <c r="AD8" s="24"/>
      <c r="AE8" s="24"/>
      <c r="AF8" s="24"/>
      <c r="AG8" s="18">
        <f t="shared" si="1"/>
        <v>1500</v>
      </c>
      <c r="AH8" s="18">
        <f t="shared" si="2"/>
        <v>0</v>
      </c>
      <c r="AI8" s="20"/>
      <c r="AK8" s="37" t="s">
        <v>9</v>
      </c>
      <c r="AL8" s="38">
        <f>AN8/AM8</f>
        <v>1640.261686</v>
      </c>
      <c r="AM8" s="39">
        <v>22.89</v>
      </c>
      <c r="AN8" s="40">
        <f>G44+K44+O44+S44+W44+AA44</f>
        <v>37545.59</v>
      </c>
    </row>
    <row r="9" ht="14.25" customHeight="1">
      <c r="A9" s="25">
        <v>6.0</v>
      </c>
      <c r="B9" s="27" t="s">
        <v>35</v>
      </c>
      <c r="C9" s="27" t="s">
        <v>19</v>
      </c>
      <c r="D9" s="27" t="s">
        <v>31</v>
      </c>
      <c r="E9" s="27" t="s">
        <v>36</v>
      </c>
      <c r="F9" s="28">
        <v>1500.0</v>
      </c>
      <c r="G9" s="354">
        <v>1087.94</v>
      </c>
      <c r="H9" s="24"/>
      <c r="I9" s="24"/>
      <c r="J9" s="85"/>
      <c r="K9" s="353"/>
      <c r="L9" s="24"/>
      <c r="M9" s="24"/>
      <c r="N9" s="24"/>
      <c r="O9" s="24"/>
      <c r="P9" s="24"/>
      <c r="Q9" s="24"/>
      <c r="R9" s="85"/>
      <c r="S9" s="24"/>
      <c r="T9" s="24"/>
      <c r="U9" s="24"/>
      <c r="V9" s="85"/>
      <c r="W9" s="354">
        <v>412.0</v>
      </c>
      <c r="X9" s="24"/>
      <c r="Y9" s="24"/>
      <c r="Z9" s="85"/>
      <c r="AA9" s="354">
        <v>1000.0</v>
      </c>
      <c r="AB9" s="353"/>
      <c r="AC9" s="24"/>
      <c r="AD9" s="24"/>
      <c r="AE9" s="24"/>
      <c r="AF9" s="24"/>
      <c r="AG9" s="18">
        <f t="shared" si="1"/>
        <v>-999.94</v>
      </c>
      <c r="AH9" s="18">
        <f t="shared" si="2"/>
        <v>2499.94</v>
      </c>
      <c r="AI9" s="20"/>
      <c r="AK9" s="37" t="s">
        <v>10</v>
      </c>
      <c r="AL9" s="38"/>
      <c r="AM9" s="39">
        <v>22.89</v>
      </c>
      <c r="AN9" s="43">
        <f>I44+L44+P44+T44+X44+AB44+AE44</f>
        <v>7278</v>
      </c>
    </row>
    <row r="10" ht="14.25" customHeight="1">
      <c r="A10" s="25">
        <v>7.0</v>
      </c>
      <c r="B10" s="27" t="s">
        <v>39</v>
      </c>
      <c r="C10" s="27" t="s">
        <v>19</v>
      </c>
      <c r="D10" s="27"/>
      <c r="E10" s="355" t="s">
        <v>38</v>
      </c>
      <c r="F10" s="28">
        <v>1500.0</v>
      </c>
      <c r="G10" s="24"/>
      <c r="H10" s="24"/>
      <c r="I10" s="24"/>
      <c r="J10" s="85"/>
      <c r="K10" s="354">
        <v>1500.0</v>
      </c>
      <c r="L10" s="24"/>
      <c r="M10" s="24"/>
      <c r="N10" s="24"/>
      <c r="O10" s="24"/>
      <c r="P10" s="24"/>
      <c r="Q10" s="24"/>
      <c r="R10" s="85"/>
      <c r="S10" s="24"/>
      <c r="T10" s="24"/>
      <c r="U10" s="24"/>
      <c r="V10" s="85"/>
      <c r="W10" s="24"/>
      <c r="X10" s="24"/>
      <c r="Y10" s="24"/>
      <c r="Z10" s="85"/>
      <c r="AA10" s="24"/>
      <c r="AB10" s="24"/>
      <c r="AC10" s="24"/>
      <c r="AD10" s="24"/>
      <c r="AE10" s="24"/>
      <c r="AF10" s="24"/>
      <c r="AG10" s="18">
        <f t="shared" si="1"/>
        <v>0</v>
      </c>
      <c r="AH10" s="18">
        <f t="shared" si="2"/>
        <v>1500</v>
      </c>
      <c r="AI10" s="20"/>
      <c r="AK10" s="37" t="s">
        <v>11</v>
      </c>
      <c r="AL10" s="39"/>
      <c r="AM10" s="39"/>
      <c r="AN10" s="40">
        <f>V44+Z44+R44</f>
        <v>0</v>
      </c>
    </row>
    <row r="11" ht="14.25" customHeight="1">
      <c r="A11" s="14">
        <v>8.0</v>
      </c>
      <c r="B11" s="21" t="s">
        <v>41</v>
      </c>
      <c r="C11" s="21" t="s">
        <v>42</v>
      </c>
      <c r="D11" s="21" t="s">
        <v>43</v>
      </c>
      <c r="E11" s="21" t="s">
        <v>44</v>
      </c>
      <c r="F11" s="22">
        <v>700.0</v>
      </c>
      <c r="G11" s="24"/>
      <c r="H11" s="24"/>
      <c r="I11" s="24"/>
      <c r="J11" s="85"/>
      <c r="K11" s="24"/>
      <c r="L11" s="24"/>
      <c r="M11" s="24"/>
      <c r="N11" s="24"/>
      <c r="O11" s="24"/>
      <c r="P11" s="24"/>
      <c r="Q11" s="24"/>
      <c r="R11" s="85"/>
      <c r="S11" s="24"/>
      <c r="T11" s="24"/>
      <c r="U11" s="24"/>
      <c r="V11" s="85"/>
      <c r="W11" s="24"/>
      <c r="X11" s="24"/>
      <c r="Y11" s="24"/>
      <c r="Z11" s="85"/>
      <c r="AA11" s="24"/>
      <c r="AB11" s="24"/>
      <c r="AC11" s="24"/>
      <c r="AD11" s="24"/>
      <c r="AE11" s="24"/>
      <c r="AF11" s="24"/>
      <c r="AG11" s="18">
        <f t="shared" si="1"/>
        <v>700</v>
      </c>
      <c r="AH11" s="18">
        <f t="shared" si="2"/>
        <v>0</v>
      </c>
      <c r="AI11" s="20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</row>
    <row r="12" ht="14.25" customHeight="1">
      <c r="A12" s="14">
        <v>9.0</v>
      </c>
      <c r="B12" s="21" t="s">
        <v>45</v>
      </c>
      <c r="C12" s="21" t="s">
        <v>46</v>
      </c>
      <c r="D12" s="21" t="s">
        <v>47</v>
      </c>
      <c r="E12" s="21" t="s">
        <v>48</v>
      </c>
      <c r="F12" s="22">
        <v>1500.0</v>
      </c>
      <c r="G12" s="24"/>
      <c r="H12" s="24"/>
      <c r="I12" s="24"/>
      <c r="J12" s="85"/>
      <c r="K12" s="24"/>
      <c r="L12" s="24"/>
      <c r="M12" s="24"/>
      <c r="N12" s="24"/>
      <c r="O12" s="24"/>
      <c r="P12" s="24"/>
      <c r="Q12" s="24"/>
      <c r="R12" s="85"/>
      <c r="S12" s="24"/>
      <c r="T12" s="24"/>
      <c r="U12" s="24"/>
      <c r="V12" s="85"/>
      <c r="W12" s="24"/>
      <c r="X12" s="24"/>
      <c r="Y12" s="24"/>
      <c r="Z12" s="85"/>
      <c r="AA12" s="24"/>
      <c r="AB12" s="24"/>
      <c r="AC12" s="24"/>
      <c r="AD12" s="24"/>
      <c r="AE12" s="24"/>
      <c r="AF12" s="24"/>
      <c r="AG12" s="18">
        <f t="shared" si="1"/>
        <v>1500</v>
      </c>
      <c r="AH12" s="18">
        <f t="shared" si="2"/>
        <v>0</v>
      </c>
      <c r="AI12" s="20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</row>
    <row r="13" ht="14.25" customHeight="1">
      <c r="A13" s="25">
        <v>10.0</v>
      </c>
      <c r="B13" s="26" t="s">
        <v>50</v>
      </c>
      <c r="C13" s="27" t="s">
        <v>51</v>
      </c>
      <c r="D13" s="27" t="s">
        <v>52</v>
      </c>
      <c r="E13" s="27" t="s">
        <v>53</v>
      </c>
      <c r="F13" s="28">
        <v>1500.0</v>
      </c>
      <c r="G13" s="354">
        <v>1500.0</v>
      </c>
      <c r="H13" s="24"/>
      <c r="I13" s="24"/>
      <c r="J13" s="85"/>
      <c r="K13" s="24"/>
      <c r="L13" s="24"/>
      <c r="M13" s="24"/>
      <c r="N13" s="24"/>
      <c r="O13" s="24"/>
      <c r="P13" s="24"/>
      <c r="Q13" s="24"/>
      <c r="R13" s="85"/>
      <c r="S13" s="354">
        <v>657.33</v>
      </c>
      <c r="T13" s="24"/>
      <c r="U13" s="24"/>
      <c r="V13" s="85"/>
      <c r="W13" s="24"/>
      <c r="X13" s="24"/>
      <c r="Y13" s="24"/>
      <c r="Z13" s="85"/>
      <c r="AA13" s="24"/>
      <c r="AB13" s="24"/>
      <c r="AC13" s="24"/>
      <c r="AD13" s="24"/>
      <c r="AE13" s="24"/>
      <c r="AF13" s="24"/>
      <c r="AG13" s="18">
        <f t="shared" si="1"/>
        <v>-657.33</v>
      </c>
      <c r="AH13" s="18">
        <f t="shared" si="2"/>
        <v>2157.33</v>
      </c>
      <c r="AI13" s="20"/>
      <c r="AL13" s="45"/>
      <c r="AN13" s="46"/>
      <c r="AO13" s="46"/>
      <c r="AP13" s="46"/>
    </row>
    <row r="14" ht="14.25" customHeight="1">
      <c r="A14" s="25">
        <v>11.0</v>
      </c>
      <c r="B14" s="12"/>
      <c r="C14" s="27" t="s">
        <v>54</v>
      </c>
      <c r="D14" s="27" t="s">
        <v>17</v>
      </c>
      <c r="E14" s="27"/>
      <c r="F14" s="28">
        <v>500.0</v>
      </c>
      <c r="G14" s="24"/>
      <c r="H14" s="24"/>
      <c r="I14" s="24"/>
      <c r="J14" s="85"/>
      <c r="K14" s="24"/>
      <c r="L14" s="24"/>
      <c r="M14" s="24"/>
      <c r="N14" s="24"/>
      <c r="O14" s="24"/>
      <c r="P14" s="24"/>
      <c r="Q14" s="24"/>
      <c r="R14" s="85"/>
      <c r="S14" s="24"/>
      <c r="T14" s="24"/>
      <c r="U14" s="24"/>
      <c r="V14" s="85"/>
      <c r="W14" s="24"/>
      <c r="X14" s="24"/>
      <c r="Y14" s="24"/>
      <c r="Z14" s="85"/>
      <c r="AA14" s="24"/>
      <c r="AB14" s="24"/>
      <c r="AC14" s="24"/>
      <c r="AD14" s="24"/>
      <c r="AE14" s="24"/>
      <c r="AF14" s="24"/>
      <c r="AG14" s="18">
        <f t="shared" si="1"/>
        <v>500</v>
      </c>
      <c r="AH14" s="18">
        <f t="shared" si="2"/>
        <v>0</v>
      </c>
      <c r="AI14" s="20"/>
      <c r="AL14" s="48" t="s">
        <v>55</v>
      </c>
      <c r="AM14" s="3"/>
      <c r="AN14" s="50"/>
      <c r="AO14" s="50"/>
      <c r="AP14" s="46"/>
    </row>
    <row r="15" ht="14.25" customHeight="1">
      <c r="A15" s="25">
        <v>12.0</v>
      </c>
      <c r="B15" s="27" t="s">
        <v>57</v>
      </c>
      <c r="C15" s="27" t="s">
        <v>51</v>
      </c>
      <c r="D15" s="27" t="s">
        <v>58</v>
      </c>
      <c r="E15" s="27" t="s">
        <v>59</v>
      </c>
      <c r="F15" s="28">
        <v>1500.0</v>
      </c>
      <c r="G15" s="354">
        <v>1500.0</v>
      </c>
      <c r="H15" s="24"/>
      <c r="I15" s="24"/>
      <c r="J15" s="85"/>
      <c r="K15" s="353"/>
      <c r="L15" s="24"/>
      <c r="M15" s="24"/>
      <c r="N15" s="24"/>
      <c r="O15" s="354">
        <v>1500.0</v>
      </c>
      <c r="P15" s="24"/>
      <c r="Q15" s="24"/>
      <c r="R15" s="85"/>
      <c r="S15" s="24"/>
      <c r="T15" s="24"/>
      <c r="U15" s="24"/>
      <c r="V15" s="85"/>
      <c r="W15" s="353"/>
      <c r="X15" s="24"/>
      <c r="Y15" s="24"/>
      <c r="Z15" s="85"/>
      <c r="AA15" s="24"/>
      <c r="AB15" s="24"/>
      <c r="AC15" s="24"/>
      <c r="AD15" s="24"/>
      <c r="AE15" s="24"/>
      <c r="AF15" s="24"/>
      <c r="AG15" s="18">
        <f t="shared" si="1"/>
        <v>-1500</v>
      </c>
      <c r="AH15" s="18">
        <f t="shared" si="2"/>
        <v>3000</v>
      </c>
      <c r="AI15" s="20"/>
      <c r="AL15" s="52" t="s">
        <v>9</v>
      </c>
      <c r="AM15" s="54">
        <f>AN8+AN53</f>
        <v>48055.79</v>
      </c>
      <c r="AN15" s="50">
        <f>AA59+W59+S59+O59+K59+G59</f>
        <v>48055.79</v>
      </c>
      <c r="AO15" s="46"/>
      <c r="AP15" s="50"/>
    </row>
    <row r="16" ht="14.25" customHeight="1">
      <c r="A16" s="14">
        <v>13.0</v>
      </c>
      <c r="B16" s="55" t="s">
        <v>61</v>
      </c>
      <c r="C16" s="21" t="s">
        <v>63</v>
      </c>
      <c r="D16" s="21" t="s">
        <v>65</v>
      </c>
      <c r="E16" s="21" t="s">
        <v>66</v>
      </c>
      <c r="F16" s="357">
        <v>1500.0</v>
      </c>
      <c r="G16" s="354">
        <v>1375.55</v>
      </c>
      <c r="H16" s="24"/>
      <c r="I16" s="24"/>
      <c r="J16" s="85"/>
      <c r="K16" s="24"/>
      <c r="L16" s="24"/>
      <c r="M16" s="24"/>
      <c r="N16" s="24"/>
      <c r="O16" s="24"/>
      <c r="P16" s="24"/>
      <c r="Q16" s="24"/>
      <c r="R16" s="85"/>
      <c r="S16" s="356">
        <v>1124.0</v>
      </c>
      <c r="T16" s="24"/>
      <c r="U16" s="24"/>
      <c r="V16" s="85"/>
      <c r="W16" s="24"/>
      <c r="X16" s="24"/>
      <c r="Y16" s="24"/>
      <c r="Z16" s="85"/>
      <c r="AA16" s="24"/>
      <c r="AB16" s="24"/>
      <c r="AC16" s="24"/>
      <c r="AD16" s="24"/>
      <c r="AE16" s="24"/>
      <c r="AF16" s="24"/>
      <c r="AG16" s="18">
        <f t="shared" si="1"/>
        <v>-999.55</v>
      </c>
      <c r="AH16" s="18">
        <f t="shared" si="2"/>
        <v>2499.55</v>
      </c>
      <c r="AI16" s="20"/>
      <c r="AL16" s="52" t="s">
        <v>10</v>
      </c>
      <c r="AM16" s="56">
        <f>X44+T44+P44+L44+G44</f>
        <v>28808.87</v>
      </c>
      <c r="AN16" s="46"/>
      <c r="AO16" s="46"/>
      <c r="AP16" s="46"/>
      <c r="BH16" s="19"/>
    </row>
    <row r="17" ht="14.25" customHeight="1">
      <c r="A17" s="14"/>
      <c r="B17" s="55" t="s">
        <v>61</v>
      </c>
      <c r="C17" s="21" t="s">
        <v>63</v>
      </c>
      <c r="D17" s="21"/>
      <c r="E17" s="21" t="s">
        <v>481</v>
      </c>
      <c r="F17" s="357">
        <v>2500.0</v>
      </c>
      <c r="G17" s="354">
        <v>1500.0</v>
      </c>
      <c r="H17" s="24"/>
      <c r="I17" s="24"/>
      <c r="J17" s="85"/>
      <c r="K17" s="24"/>
      <c r="L17" s="24"/>
      <c r="M17" s="24"/>
      <c r="N17" s="24"/>
      <c r="O17" s="24"/>
      <c r="P17" s="24"/>
      <c r="Q17" s="24"/>
      <c r="R17" s="85"/>
      <c r="S17" s="356">
        <v>1060.47</v>
      </c>
      <c r="T17" s="24"/>
      <c r="U17" s="24"/>
      <c r="V17" s="85"/>
      <c r="W17" s="24"/>
      <c r="X17" s="24"/>
      <c r="Y17" s="24"/>
      <c r="Z17" s="85"/>
      <c r="AA17" s="24"/>
      <c r="AB17" s="24"/>
      <c r="AC17" s="24"/>
      <c r="AD17" s="24"/>
      <c r="AE17" s="24"/>
      <c r="AF17" s="24"/>
      <c r="AG17" s="18">
        <f t="shared" si="1"/>
        <v>-60.47</v>
      </c>
      <c r="AH17" s="18">
        <f t="shared" si="2"/>
        <v>2560.47</v>
      </c>
      <c r="AI17" s="20"/>
      <c r="AL17" s="52"/>
      <c r="AM17" s="56"/>
      <c r="AN17" s="46"/>
      <c r="AO17" s="46"/>
      <c r="AP17" s="46"/>
      <c r="BH17" s="19"/>
    </row>
    <row r="18" ht="14.25" customHeight="1">
      <c r="A18" s="14"/>
      <c r="B18" s="55" t="s">
        <v>61</v>
      </c>
      <c r="C18" s="21" t="s">
        <v>63</v>
      </c>
      <c r="D18" s="21" t="s">
        <v>17</v>
      </c>
      <c r="E18" s="21"/>
      <c r="F18" s="22">
        <v>300.0</v>
      </c>
      <c r="G18" s="24"/>
      <c r="H18" s="24"/>
      <c r="I18" s="24"/>
      <c r="J18" s="85"/>
      <c r="K18" s="24"/>
      <c r="L18" s="24"/>
      <c r="M18" s="24"/>
      <c r="N18" s="24"/>
      <c r="O18" s="353"/>
      <c r="P18" s="353">
        <v>300.0</v>
      </c>
      <c r="Q18" s="353" t="s">
        <v>544</v>
      </c>
      <c r="R18" s="85"/>
      <c r="S18" s="24"/>
      <c r="T18" s="24"/>
      <c r="U18" s="24"/>
      <c r="V18" s="85"/>
      <c r="W18" s="24"/>
      <c r="X18" s="24"/>
      <c r="Y18" s="24"/>
      <c r="Z18" s="85"/>
      <c r="AA18" s="24"/>
      <c r="AB18" s="24"/>
      <c r="AC18" s="24"/>
      <c r="AD18" s="24"/>
      <c r="AE18" s="24"/>
      <c r="AF18" s="24"/>
      <c r="AG18" s="18">
        <f t="shared" si="1"/>
        <v>0</v>
      </c>
      <c r="AH18" s="18">
        <f t="shared" si="2"/>
        <v>300</v>
      </c>
      <c r="AI18" s="20"/>
      <c r="AL18" s="52" t="s">
        <v>12</v>
      </c>
      <c r="AM18" s="24">
        <f>AN10+AN55</f>
        <v>0</v>
      </c>
      <c r="BH18" s="19"/>
    </row>
    <row r="19" ht="14.25" customHeight="1">
      <c r="A19" s="14">
        <v>14.0</v>
      </c>
      <c r="B19" s="21" t="s">
        <v>68</v>
      </c>
      <c r="C19" s="21" t="s">
        <v>63</v>
      </c>
      <c r="D19" s="21" t="s">
        <v>69</v>
      </c>
      <c r="E19" s="21" t="s">
        <v>70</v>
      </c>
      <c r="F19" s="22">
        <v>2500.0</v>
      </c>
      <c r="G19" s="24"/>
      <c r="H19" s="24"/>
      <c r="I19" s="24"/>
      <c r="J19" s="85"/>
      <c r="K19" s="24"/>
      <c r="L19" s="24"/>
      <c r="M19" s="24"/>
      <c r="N19" s="24"/>
      <c r="O19" s="24"/>
      <c r="P19" s="24"/>
      <c r="Q19" s="24"/>
      <c r="R19" s="85"/>
      <c r="S19" s="24"/>
      <c r="T19" s="24"/>
      <c r="U19" s="24"/>
      <c r="V19" s="85"/>
      <c r="W19" s="24"/>
      <c r="X19" s="24"/>
      <c r="Y19" s="24"/>
      <c r="Z19" s="85"/>
      <c r="AA19" s="24"/>
      <c r="AB19" s="24"/>
      <c r="AC19" s="24"/>
      <c r="AD19" s="24"/>
      <c r="AE19" s="24"/>
      <c r="AF19" s="24"/>
      <c r="AG19" s="18">
        <f t="shared" si="1"/>
        <v>2500</v>
      </c>
      <c r="AH19" s="18">
        <f>SUM(I19:AC19)</f>
        <v>0</v>
      </c>
      <c r="AI19" s="20"/>
      <c r="BH19" s="19"/>
    </row>
    <row r="20" ht="14.25" customHeight="1">
      <c r="A20" s="14">
        <v>15.0</v>
      </c>
      <c r="B20" s="21" t="s">
        <v>71</v>
      </c>
      <c r="C20" s="21" t="s">
        <v>63</v>
      </c>
      <c r="D20" s="21" t="s">
        <v>58</v>
      </c>
      <c r="E20" s="21" t="s">
        <v>72</v>
      </c>
      <c r="F20" s="22">
        <v>4000.0</v>
      </c>
      <c r="H20" s="353">
        <v>3300.04</v>
      </c>
      <c r="I20" s="159" t="s">
        <v>545</v>
      </c>
      <c r="J20" s="85"/>
      <c r="K20" s="24"/>
      <c r="L20" s="24"/>
      <c r="M20" s="24"/>
      <c r="N20" s="24"/>
      <c r="O20" s="24"/>
      <c r="P20" s="24"/>
      <c r="Q20" s="24"/>
      <c r="R20" s="85"/>
      <c r="S20" s="24"/>
      <c r="T20" s="353">
        <v>1500.0</v>
      </c>
      <c r="U20" s="353" t="s">
        <v>546</v>
      </c>
      <c r="V20" s="85"/>
      <c r="W20" s="24"/>
      <c r="X20" s="24"/>
      <c r="Y20" s="24"/>
      <c r="Z20" s="85"/>
      <c r="AA20" s="24"/>
      <c r="AB20" s="24"/>
      <c r="AC20" s="24"/>
      <c r="AD20" s="24"/>
      <c r="AE20" s="24"/>
      <c r="AF20" s="24"/>
      <c r="AG20" s="18">
        <f>F20-(SUM(H20:AF20))</f>
        <v>-800.04</v>
      </c>
      <c r="AH20" s="18">
        <f>SUM(H20:AC20)</f>
        <v>4800.04</v>
      </c>
      <c r="AI20" s="20"/>
      <c r="BH20" s="19"/>
    </row>
    <row r="21" ht="14.25" customHeight="1">
      <c r="A21" s="25">
        <v>16.0</v>
      </c>
      <c r="B21" s="26" t="s">
        <v>74</v>
      </c>
      <c r="C21" s="26" t="s">
        <v>75</v>
      </c>
      <c r="D21" s="27" t="s">
        <v>65</v>
      </c>
      <c r="E21" s="27" t="s">
        <v>76</v>
      </c>
      <c r="F21" s="28">
        <v>2500.0</v>
      </c>
      <c r="G21" s="354">
        <v>947.26</v>
      </c>
      <c r="H21" s="24"/>
      <c r="I21" s="24"/>
      <c r="J21" s="85"/>
      <c r="K21" s="353"/>
      <c r="L21" s="24"/>
      <c r="M21" s="24"/>
      <c r="N21" s="24"/>
      <c r="O21" s="24"/>
      <c r="P21" s="24"/>
      <c r="Q21" s="24"/>
      <c r="R21" s="85"/>
      <c r="S21" s="353"/>
      <c r="T21" s="24"/>
      <c r="U21" s="24"/>
      <c r="V21" s="85"/>
      <c r="W21" s="24"/>
      <c r="X21" s="24"/>
      <c r="Y21" s="24"/>
      <c r="Z21" s="85"/>
      <c r="AA21" s="24"/>
      <c r="AB21" s="24"/>
      <c r="AC21" s="24"/>
      <c r="AD21" s="24"/>
      <c r="AE21" s="24"/>
      <c r="AF21" s="24"/>
      <c r="AG21" s="18">
        <f t="shared" ref="AG21:AG38" si="3">F21-(SUM(G21:AF21))</f>
        <v>1552.74</v>
      </c>
      <c r="AH21" s="18">
        <f t="shared" ref="AH21:AH38" si="4">SUM(G21:AC21)</f>
        <v>947.26</v>
      </c>
      <c r="AI21" s="20"/>
    </row>
    <row r="22" ht="14.25" customHeight="1">
      <c r="A22" s="25">
        <v>17.0</v>
      </c>
      <c r="B22" s="44"/>
      <c r="C22" s="44"/>
      <c r="D22" s="27" t="s">
        <v>77</v>
      </c>
      <c r="E22" s="27"/>
      <c r="F22" s="57">
        <v>1000.0</v>
      </c>
      <c r="G22" s="354">
        <v>1000.0</v>
      </c>
      <c r="H22" s="24"/>
      <c r="I22" s="24"/>
      <c r="J22" s="85"/>
      <c r="K22" s="24"/>
      <c r="L22" s="24"/>
      <c r="M22" s="24"/>
      <c r="N22" s="24"/>
      <c r="O22" s="24"/>
      <c r="P22" s="24"/>
      <c r="Q22" s="24"/>
      <c r="R22" s="85"/>
      <c r="S22" s="24"/>
      <c r="T22" s="24"/>
      <c r="U22" s="24"/>
      <c r="V22" s="85"/>
      <c r="W22" s="24"/>
      <c r="X22" s="24"/>
      <c r="Y22" s="24"/>
      <c r="Z22" s="85"/>
      <c r="AA22" s="24"/>
      <c r="AB22" s="24"/>
      <c r="AC22" s="24"/>
      <c r="AD22" s="24"/>
      <c r="AE22" s="24"/>
      <c r="AF22" s="24"/>
      <c r="AG22" s="18">
        <f t="shared" si="3"/>
        <v>0</v>
      </c>
      <c r="AH22" s="18">
        <f t="shared" si="4"/>
        <v>1000</v>
      </c>
      <c r="AI22" s="20"/>
    </row>
    <row r="23" ht="14.25" customHeight="1">
      <c r="A23" s="25">
        <v>18.0</v>
      </c>
      <c r="B23" s="44"/>
      <c r="C23" s="44"/>
      <c r="D23" s="27" t="s">
        <v>78</v>
      </c>
      <c r="E23" s="27"/>
      <c r="F23" s="57"/>
      <c r="G23" s="24"/>
      <c r="H23" s="24"/>
      <c r="I23" s="24"/>
      <c r="J23" s="85"/>
      <c r="K23" s="24"/>
      <c r="L23" s="24"/>
      <c r="M23" s="24"/>
      <c r="N23" s="24"/>
      <c r="O23" s="24"/>
      <c r="P23" s="24"/>
      <c r="Q23" s="24"/>
      <c r="R23" s="85"/>
      <c r="S23" s="24"/>
      <c r="T23" s="24"/>
      <c r="U23" s="24"/>
      <c r="V23" s="85"/>
      <c r="W23" s="24"/>
      <c r="X23" s="24"/>
      <c r="Y23" s="24"/>
      <c r="Z23" s="85"/>
      <c r="AA23" s="24"/>
      <c r="AB23" s="24"/>
      <c r="AC23" s="24"/>
      <c r="AD23" s="24"/>
      <c r="AE23" s="24"/>
      <c r="AF23" s="24"/>
      <c r="AG23" s="18">
        <f t="shared" si="3"/>
        <v>0</v>
      </c>
      <c r="AH23" s="18">
        <f t="shared" si="4"/>
        <v>0</v>
      </c>
      <c r="AI23" s="20"/>
      <c r="AL23" s="20">
        <f>G44+K44+O44+S44+W44+AA44</f>
        <v>37545.59</v>
      </c>
    </row>
    <row r="24" ht="14.25" customHeight="1">
      <c r="A24" s="25">
        <v>19.0</v>
      </c>
      <c r="B24" s="12"/>
      <c r="C24" s="12"/>
      <c r="D24" s="27" t="s">
        <v>81</v>
      </c>
      <c r="E24" s="27"/>
      <c r="F24" s="57"/>
      <c r="G24" s="24"/>
      <c r="H24" s="24"/>
      <c r="I24" s="24"/>
      <c r="J24" s="85"/>
      <c r="K24" s="24"/>
      <c r="L24" s="24"/>
      <c r="M24" s="24"/>
      <c r="N24" s="24"/>
      <c r="O24" s="24"/>
      <c r="P24" s="24"/>
      <c r="Q24" s="24"/>
      <c r="R24" s="85"/>
      <c r="S24" s="24"/>
      <c r="T24" s="24"/>
      <c r="U24" s="24"/>
      <c r="V24" s="85"/>
      <c r="W24" s="24"/>
      <c r="X24" s="24"/>
      <c r="Y24" s="24"/>
      <c r="Z24" s="85"/>
      <c r="AA24" s="24"/>
      <c r="AB24" s="24"/>
      <c r="AC24" s="24"/>
      <c r="AD24" s="24"/>
      <c r="AE24" s="24"/>
      <c r="AF24" s="24"/>
      <c r="AG24" s="18">
        <f t="shared" si="3"/>
        <v>0</v>
      </c>
      <c r="AH24" s="18">
        <f t="shared" si="4"/>
        <v>0</v>
      </c>
      <c r="AI24" s="20"/>
    </row>
    <row r="25" ht="14.25" customHeight="1">
      <c r="A25" s="25">
        <v>20.0</v>
      </c>
      <c r="B25" s="27" t="s">
        <v>82</v>
      </c>
      <c r="C25" s="27" t="s">
        <v>75</v>
      </c>
      <c r="D25" s="27" t="s">
        <v>65</v>
      </c>
      <c r="E25" s="27" t="s">
        <v>83</v>
      </c>
      <c r="F25" s="28">
        <v>1500.0</v>
      </c>
      <c r="G25" s="354">
        <v>1373.08</v>
      </c>
      <c r="H25" s="24"/>
      <c r="I25" s="24"/>
      <c r="J25" s="85"/>
      <c r="K25" s="353"/>
      <c r="L25" s="24"/>
      <c r="M25" s="24"/>
      <c r="N25" s="24"/>
      <c r="O25" s="24"/>
      <c r="P25" s="24"/>
      <c r="Q25" s="24"/>
      <c r="R25" s="85"/>
      <c r="S25" s="24"/>
      <c r="T25" s="24"/>
      <c r="U25" s="24"/>
      <c r="V25" s="85"/>
      <c r="W25" s="24"/>
      <c r="X25" s="24"/>
      <c r="Y25" s="24"/>
      <c r="Z25" s="85"/>
      <c r="AA25" s="24"/>
      <c r="AB25" s="24"/>
      <c r="AC25" s="24"/>
      <c r="AD25" s="24"/>
      <c r="AE25" s="24"/>
      <c r="AF25" s="24"/>
      <c r="AG25" s="18">
        <f t="shared" si="3"/>
        <v>126.92</v>
      </c>
      <c r="AH25" s="18">
        <f t="shared" si="4"/>
        <v>1373.08</v>
      </c>
      <c r="AI25" s="20"/>
    </row>
    <row r="26" ht="14.25" customHeight="1">
      <c r="A26" s="25">
        <v>21.0</v>
      </c>
      <c r="B26" s="27" t="s">
        <v>89</v>
      </c>
      <c r="C26" s="27" t="s">
        <v>75</v>
      </c>
      <c r="D26" s="27" t="s">
        <v>58</v>
      </c>
      <c r="E26" s="27" t="s">
        <v>90</v>
      </c>
      <c r="F26" s="28">
        <v>3000.0</v>
      </c>
      <c r="G26" s="354">
        <v>3000.0</v>
      </c>
      <c r="H26" s="24"/>
      <c r="I26" s="24"/>
      <c r="J26" s="85"/>
      <c r="K26" s="353"/>
      <c r="L26" s="24"/>
      <c r="M26" s="24"/>
      <c r="N26" s="24"/>
      <c r="O26" s="24"/>
      <c r="P26" s="24"/>
      <c r="Q26" s="24"/>
      <c r="R26" s="85"/>
      <c r="S26" s="354">
        <v>1000.0</v>
      </c>
      <c r="T26" s="24"/>
      <c r="U26" s="24"/>
      <c r="V26" s="85"/>
      <c r="W26" s="353"/>
      <c r="X26" s="24"/>
      <c r="Y26" s="24"/>
      <c r="Z26" s="85"/>
      <c r="AA26" s="24"/>
      <c r="AB26" s="24"/>
      <c r="AC26" s="24"/>
      <c r="AD26" s="24"/>
      <c r="AE26" s="24"/>
      <c r="AF26" s="24"/>
      <c r="AG26" s="18">
        <f t="shared" si="3"/>
        <v>-1000</v>
      </c>
      <c r="AH26" s="18">
        <f t="shared" si="4"/>
        <v>4000</v>
      </c>
      <c r="AI26" s="20"/>
    </row>
    <row r="27" ht="14.25" customHeight="1">
      <c r="A27" s="25">
        <v>22.0</v>
      </c>
      <c r="B27" s="27" t="s">
        <v>93</v>
      </c>
      <c r="C27" s="27" t="s">
        <v>75</v>
      </c>
      <c r="D27" s="27" t="s">
        <v>69</v>
      </c>
      <c r="E27" s="27" t="s">
        <v>94</v>
      </c>
      <c r="F27" s="28">
        <v>2500.0</v>
      </c>
      <c r="G27" s="354">
        <v>948.52</v>
      </c>
      <c r="H27" s="24"/>
      <c r="I27" s="24"/>
      <c r="J27" s="85"/>
      <c r="K27" s="24"/>
      <c r="L27" s="24"/>
      <c r="M27" s="24"/>
      <c r="N27" s="24"/>
      <c r="O27" s="354">
        <v>1304.94</v>
      </c>
      <c r="P27" s="24"/>
      <c r="Q27" s="24"/>
      <c r="R27" s="85"/>
      <c r="S27" s="353"/>
      <c r="T27" s="24"/>
      <c r="U27" s="24"/>
      <c r="V27" s="85"/>
      <c r="W27" s="24"/>
      <c r="X27" s="24"/>
      <c r="Y27" s="24"/>
      <c r="Z27" s="85"/>
      <c r="AA27" s="24"/>
      <c r="AB27" s="24"/>
      <c r="AD27" s="24"/>
      <c r="AE27" s="24"/>
      <c r="AF27" s="24"/>
      <c r="AG27" s="18">
        <f t="shared" si="3"/>
        <v>246.54</v>
      </c>
      <c r="AH27" s="18">
        <f t="shared" si="4"/>
        <v>2253.46</v>
      </c>
      <c r="AI27" s="20"/>
    </row>
    <row r="28" ht="14.25" customHeight="1">
      <c r="A28" s="14">
        <v>23.0</v>
      </c>
      <c r="B28" s="21" t="s">
        <v>96</v>
      </c>
      <c r="C28" s="55" t="s">
        <v>98</v>
      </c>
      <c r="D28" s="21" t="s">
        <v>99</v>
      </c>
      <c r="E28" s="21" t="s">
        <v>100</v>
      </c>
      <c r="F28" s="22">
        <v>2500.0</v>
      </c>
      <c r="G28" s="353"/>
      <c r="H28" s="353"/>
      <c r="I28" s="353"/>
      <c r="J28" s="85"/>
      <c r="K28" s="24"/>
      <c r="L28" s="353">
        <v>1000.0</v>
      </c>
      <c r="M28" s="353" t="s">
        <v>549</v>
      </c>
      <c r="N28" s="24"/>
      <c r="O28" s="24"/>
      <c r="P28" s="24"/>
      <c r="Q28" s="24"/>
      <c r="R28" s="85"/>
      <c r="S28" s="353"/>
      <c r="T28" s="353"/>
      <c r="U28" s="353"/>
      <c r="V28" s="85"/>
      <c r="W28" s="353"/>
      <c r="X28" s="353">
        <v>1000.0</v>
      </c>
      <c r="Y28" s="353" t="s">
        <v>550</v>
      </c>
      <c r="Z28" s="85"/>
      <c r="AA28" s="24"/>
      <c r="AB28" s="24"/>
      <c r="AC28" s="24"/>
      <c r="AD28" s="24"/>
      <c r="AE28" s="24"/>
      <c r="AF28" s="24"/>
      <c r="AG28" s="18">
        <f t="shared" si="3"/>
        <v>500</v>
      </c>
      <c r="AH28" s="18">
        <f t="shared" si="4"/>
        <v>2000</v>
      </c>
      <c r="AI28" s="20"/>
    </row>
    <row r="29" ht="14.25" customHeight="1">
      <c r="A29" s="14">
        <v>24.0</v>
      </c>
      <c r="B29" s="21" t="s">
        <v>102</v>
      </c>
      <c r="C29" s="12"/>
      <c r="D29" s="21" t="s">
        <v>17</v>
      </c>
      <c r="E29" s="21"/>
      <c r="F29" s="22">
        <v>1000.0</v>
      </c>
      <c r="G29" s="24"/>
      <c r="H29" s="24"/>
      <c r="I29" s="24"/>
      <c r="J29" s="85"/>
      <c r="K29" s="24"/>
      <c r="L29" s="24"/>
      <c r="M29" s="24"/>
      <c r="N29" s="24"/>
      <c r="O29" s="24"/>
      <c r="P29" s="24"/>
      <c r="Q29" s="24"/>
      <c r="R29" s="85"/>
      <c r="S29" s="24"/>
      <c r="T29" s="353"/>
      <c r="U29" s="353"/>
      <c r="V29" s="85"/>
      <c r="W29" s="24"/>
      <c r="X29" s="353">
        <v>478.0</v>
      </c>
      <c r="Y29" s="353" t="s">
        <v>551</v>
      </c>
      <c r="Z29" s="85"/>
      <c r="AA29" s="24"/>
      <c r="AB29" s="24"/>
      <c r="AC29" s="24"/>
      <c r="AD29" s="24"/>
      <c r="AE29" s="24"/>
      <c r="AF29" s="24"/>
      <c r="AG29" s="18">
        <f t="shared" si="3"/>
        <v>522</v>
      </c>
      <c r="AH29" s="18">
        <f t="shared" si="4"/>
        <v>478</v>
      </c>
      <c r="AI29" s="20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</row>
    <row r="30" ht="14.25" customHeight="1">
      <c r="A30" s="25">
        <v>25.0</v>
      </c>
      <c r="B30" s="27" t="s">
        <v>104</v>
      </c>
      <c r="C30" s="27" t="s">
        <v>105</v>
      </c>
      <c r="D30" s="27" t="s">
        <v>20</v>
      </c>
      <c r="E30" s="27" t="s">
        <v>106</v>
      </c>
      <c r="F30" s="28">
        <v>2500.0</v>
      </c>
      <c r="G30" s="354">
        <v>2231.31</v>
      </c>
      <c r="H30" s="24"/>
      <c r="I30" s="24"/>
      <c r="J30" s="85"/>
      <c r="K30" s="24"/>
      <c r="L30" s="24"/>
      <c r="M30" s="24"/>
      <c r="N30" s="24"/>
      <c r="O30" s="24"/>
      <c r="P30" s="24"/>
      <c r="Q30" s="24"/>
      <c r="R30" s="85"/>
      <c r="S30" s="353"/>
      <c r="T30" s="353">
        <v>2000.0</v>
      </c>
      <c r="U30" s="353" t="s">
        <v>552</v>
      </c>
      <c r="V30" s="85"/>
      <c r="W30" s="353"/>
      <c r="X30" s="24"/>
      <c r="Y30" s="24"/>
      <c r="Z30" s="85"/>
      <c r="AA30" s="24"/>
      <c r="AB30" s="24"/>
      <c r="AC30" s="24"/>
      <c r="AD30" s="24"/>
      <c r="AE30" s="24"/>
      <c r="AF30" s="24"/>
      <c r="AG30" s="18">
        <f t="shared" si="3"/>
        <v>-1731.31</v>
      </c>
      <c r="AH30" s="18">
        <f t="shared" si="4"/>
        <v>4231.31</v>
      </c>
      <c r="AI30" s="20"/>
    </row>
    <row r="31" ht="14.25" customHeight="1">
      <c r="A31" s="25">
        <v>26.0</v>
      </c>
      <c r="B31" s="26" t="s">
        <v>107</v>
      </c>
      <c r="C31" s="26" t="s">
        <v>105</v>
      </c>
      <c r="D31" s="27" t="s">
        <v>109</v>
      </c>
      <c r="E31" s="27" t="s">
        <v>110</v>
      </c>
      <c r="F31" s="28">
        <v>1000.0</v>
      </c>
      <c r="G31" s="353"/>
      <c r="H31" s="24"/>
      <c r="I31" s="24"/>
      <c r="J31" s="85"/>
      <c r="K31" s="354">
        <v>1000.0</v>
      </c>
      <c r="L31" s="24"/>
      <c r="M31" s="24"/>
      <c r="N31" s="24"/>
      <c r="O31" s="24"/>
      <c r="P31" s="24"/>
      <c r="Q31" s="24"/>
      <c r="R31" s="85"/>
      <c r="S31" s="24"/>
      <c r="T31" s="24"/>
      <c r="U31" s="24"/>
      <c r="V31" s="85"/>
      <c r="W31" s="353"/>
      <c r="X31" s="24"/>
      <c r="Y31" s="24"/>
      <c r="Z31" s="85"/>
      <c r="AA31" s="24"/>
      <c r="AB31" s="24"/>
      <c r="AC31" s="24"/>
      <c r="AD31" s="24"/>
      <c r="AE31" s="24"/>
      <c r="AF31" s="24"/>
      <c r="AG31" s="18">
        <f t="shared" si="3"/>
        <v>0</v>
      </c>
      <c r="AH31" s="18">
        <f t="shared" si="4"/>
        <v>1000</v>
      </c>
      <c r="AI31" s="20"/>
    </row>
    <row r="32" ht="14.25" customHeight="1">
      <c r="A32" s="25">
        <v>27.0</v>
      </c>
      <c r="B32" s="44"/>
      <c r="C32" s="44"/>
      <c r="D32" s="27" t="s">
        <v>111</v>
      </c>
      <c r="E32" s="27"/>
      <c r="F32" s="28">
        <v>500.0</v>
      </c>
      <c r="G32" s="353"/>
      <c r="H32" s="24"/>
      <c r="I32" s="24"/>
      <c r="J32" s="85"/>
      <c r="K32" s="354">
        <v>500.0</v>
      </c>
      <c r="L32" s="24"/>
      <c r="M32" s="24"/>
      <c r="N32" s="24"/>
      <c r="O32" s="24"/>
      <c r="P32" s="24"/>
      <c r="Q32" s="24"/>
      <c r="R32" s="85"/>
      <c r="S32" s="24"/>
      <c r="T32" s="24"/>
      <c r="U32" s="24"/>
      <c r="V32" s="85"/>
      <c r="W32" s="353"/>
      <c r="X32" s="24"/>
      <c r="Y32" s="24"/>
      <c r="Z32" s="85"/>
      <c r="AA32" s="24"/>
      <c r="AB32" s="24"/>
      <c r="AC32" s="24"/>
      <c r="AD32" s="24"/>
      <c r="AE32" s="24"/>
      <c r="AF32" s="24"/>
      <c r="AG32" s="18">
        <f t="shared" si="3"/>
        <v>0</v>
      </c>
      <c r="AH32" s="18">
        <f t="shared" si="4"/>
        <v>500</v>
      </c>
      <c r="AI32" s="20"/>
    </row>
    <row r="33" ht="14.25" customHeight="1">
      <c r="A33" s="25">
        <v>28.0</v>
      </c>
      <c r="B33" s="12"/>
      <c r="C33" s="12"/>
      <c r="D33" s="27" t="s">
        <v>111</v>
      </c>
      <c r="E33" s="27"/>
      <c r="F33" s="28">
        <v>500.0</v>
      </c>
      <c r="G33" s="24"/>
      <c r="H33" s="24"/>
      <c r="I33" s="24"/>
      <c r="J33" s="85"/>
      <c r="K33" s="24"/>
      <c r="L33" s="24"/>
      <c r="M33" s="24"/>
      <c r="N33" s="24"/>
      <c r="O33" s="24"/>
      <c r="P33" s="24"/>
      <c r="Q33" s="24"/>
      <c r="R33" s="85"/>
      <c r="S33" s="24"/>
      <c r="T33" s="24"/>
      <c r="U33" s="24"/>
      <c r="V33" s="85"/>
      <c r="W33" s="356">
        <v>500.0</v>
      </c>
      <c r="X33" s="24"/>
      <c r="Y33" s="24"/>
      <c r="Z33" s="85"/>
      <c r="AA33" s="24"/>
      <c r="AB33" s="24"/>
      <c r="AC33" s="24"/>
      <c r="AD33" s="24"/>
      <c r="AE33" s="24"/>
      <c r="AF33" s="24"/>
      <c r="AG33" s="18">
        <f t="shared" si="3"/>
        <v>0</v>
      </c>
      <c r="AH33" s="18">
        <f t="shared" si="4"/>
        <v>500</v>
      </c>
      <c r="AI33" s="20"/>
    </row>
    <row r="34" ht="14.25" customHeight="1">
      <c r="A34" s="25">
        <v>29.0</v>
      </c>
      <c r="B34" s="26" t="s">
        <v>114</v>
      </c>
      <c r="C34" s="27"/>
      <c r="D34" s="27"/>
      <c r="E34" s="27" t="s">
        <v>115</v>
      </c>
      <c r="F34" s="28">
        <v>800.0</v>
      </c>
      <c r="G34" s="354">
        <v>800.0</v>
      </c>
      <c r="H34" s="24"/>
      <c r="I34" s="24"/>
      <c r="J34" s="85"/>
      <c r="K34" s="24"/>
      <c r="L34" s="24"/>
      <c r="M34" s="24"/>
      <c r="N34" s="24"/>
      <c r="O34" s="24"/>
      <c r="P34" s="24"/>
      <c r="Q34" s="24"/>
      <c r="R34" s="85"/>
      <c r="S34" s="24"/>
      <c r="T34" s="24"/>
      <c r="U34" s="24"/>
      <c r="V34" s="85"/>
      <c r="W34" s="24"/>
      <c r="X34" s="24"/>
      <c r="Y34" s="24"/>
      <c r="Z34" s="85"/>
      <c r="AA34" s="24"/>
      <c r="AB34" s="24"/>
      <c r="AC34" s="24"/>
      <c r="AD34" s="24"/>
      <c r="AE34" s="24"/>
      <c r="AF34" s="24"/>
      <c r="AG34" s="18">
        <f t="shared" si="3"/>
        <v>0</v>
      </c>
      <c r="AH34" s="18">
        <f t="shared" si="4"/>
        <v>800</v>
      </c>
      <c r="AI34" s="20"/>
    </row>
    <row r="35" ht="14.25" customHeight="1">
      <c r="A35" s="25">
        <v>30.0</v>
      </c>
      <c r="B35" s="12"/>
      <c r="C35" s="27"/>
      <c r="D35" s="27" t="s">
        <v>17</v>
      </c>
      <c r="E35" s="27"/>
      <c r="F35" s="28">
        <v>500.0</v>
      </c>
      <c r="G35" s="24"/>
      <c r="H35" s="24"/>
      <c r="I35" s="24"/>
      <c r="J35" s="85"/>
      <c r="K35" s="24"/>
      <c r="L35" s="24"/>
      <c r="M35" s="24"/>
      <c r="N35" s="24"/>
      <c r="O35" s="24"/>
      <c r="P35" s="24"/>
      <c r="Q35" s="24"/>
      <c r="R35" s="85"/>
      <c r="S35" s="24"/>
      <c r="T35" s="24"/>
      <c r="U35" s="24"/>
      <c r="V35" s="85"/>
      <c r="W35" s="356">
        <v>457.8</v>
      </c>
      <c r="X35" s="24"/>
      <c r="Y35" s="24"/>
      <c r="Z35" s="85"/>
      <c r="AA35" s="353"/>
      <c r="AB35" s="24"/>
      <c r="AC35" s="24"/>
      <c r="AD35" s="24"/>
      <c r="AE35" s="24"/>
      <c r="AF35" s="24"/>
      <c r="AG35" s="18">
        <f t="shared" si="3"/>
        <v>42.2</v>
      </c>
      <c r="AH35" s="18">
        <f t="shared" si="4"/>
        <v>457.8</v>
      </c>
      <c r="AI35" s="20"/>
    </row>
    <row r="36" ht="14.25" customHeight="1">
      <c r="A36" s="25">
        <v>31.0</v>
      </c>
      <c r="B36" s="82" t="s">
        <v>135</v>
      </c>
      <c r="C36" s="27" t="s">
        <v>136</v>
      </c>
      <c r="D36" s="27"/>
      <c r="E36" s="27" t="s">
        <v>137</v>
      </c>
      <c r="F36" s="28">
        <v>1500.0</v>
      </c>
      <c r="G36" s="354">
        <v>985.07</v>
      </c>
      <c r="H36" s="24"/>
      <c r="I36" s="24"/>
      <c r="J36" s="85"/>
      <c r="K36" s="353"/>
      <c r="L36" s="24"/>
      <c r="M36" s="24"/>
      <c r="N36" s="24"/>
      <c r="O36" s="24"/>
      <c r="P36" s="24"/>
      <c r="Q36" s="24"/>
      <c r="R36" s="85"/>
      <c r="S36" s="24"/>
      <c r="T36" s="24"/>
      <c r="U36" s="24"/>
      <c r="V36" s="85"/>
      <c r="W36" s="356">
        <v>806.76</v>
      </c>
      <c r="X36" s="24"/>
      <c r="Y36" s="24"/>
      <c r="Z36" s="85"/>
      <c r="AA36" s="24"/>
      <c r="AB36" s="24"/>
      <c r="AC36" s="24"/>
      <c r="AD36" s="24"/>
      <c r="AE36" s="24"/>
      <c r="AF36" s="24"/>
      <c r="AG36" s="18">
        <f t="shared" si="3"/>
        <v>-291.83</v>
      </c>
      <c r="AH36" s="18">
        <f t="shared" si="4"/>
        <v>1791.83</v>
      </c>
      <c r="AI36" s="20"/>
    </row>
    <row r="37" ht="14.25" customHeight="1">
      <c r="A37" s="25">
        <v>32.0</v>
      </c>
      <c r="B37" s="82" t="s">
        <v>142</v>
      </c>
      <c r="C37" s="27" t="s">
        <v>143</v>
      </c>
      <c r="D37" s="27" t="s">
        <v>20</v>
      </c>
      <c r="E37" s="27" t="s">
        <v>144</v>
      </c>
      <c r="F37" s="28">
        <v>1500.0</v>
      </c>
      <c r="G37" s="24"/>
      <c r="H37" s="24"/>
      <c r="I37" s="24"/>
      <c r="J37" s="85"/>
      <c r="K37" s="24"/>
      <c r="L37" s="24"/>
      <c r="M37" s="24"/>
      <c r="N37" s="24"/>
      <c r="O37" s="24"/>
      <c r="P37" s="24"/>
      <c r="Q37" s="24"/>
      <c r="R37" s="85"/>
      <c r="S37" s="24"/>
      <c r="T37" s="24"/>
      <c r="U37" s="24"/>
      <c r="V37" s="85"/>
      <c r="W37" s="24"/>
      <c r="X37" s="24"/>
      <c r="Y37" s="24"/>
      <c r="Z37" s="85"/>
      <c r="AA37" s="24"/>
      <c r="AB37" s="24"/>
      <c r="AC37" s="24"/>
      <c r="AD37" s="24"/>
      <c r="AE37" s="24"/>
      <c r="AF37" s="24"/>
      <c r="AG37" s="18">
        <f t="shared" si="3"/>
        <v>1500</v>
      </c>
      <c r="AH37" s="18">
        <f t="shared" si="4"/>
        <v>0</v>
      </c>
      <c r="AI37" s="20"/>
    </row>
    <row r="38" ht="14.25" customHeight="1">
      <c r="A38" s="25">
        <v>33.0</v>
      </c>
      <c r="B38" s="82" t="s">
        <v>145</v>
      </c>
      <c r="C38" s="27" t="s">
        <v>146</v>
      </c>
      <c r="D38" s="27" t="s">
        <v>43</v>
      </c>
      <c r="E38" s="355" t="s">
        <v>553</v>
      </c>
      <c r="F38" s="28">
        <v>700.0</v>
      </c>
      <c r="G38" s="354">
        <v>700.0</v>
      </c>
      <c r="H38" s="24"/>
      <c r="I38" s="24"/>
      <c r="J38" s="85"/>
      <c r="K38" s="24"/>
      <c r="L38" s="24"/>
      <c r="M38" s="24"/>
      <c r="N38" s="24"/>
      <c r="O38" s="24"/>
      <c r="P38" s="24"/>
      <c r="Q38" s="24"/>
      <c r="R38" s="85"/>
      <c r="S38" s="24"/>
      <c r="T38" s="24"/>
      <c r="U38" s="24"/>
      <c r="V38" s="85"/>
      <c r="W38" s="24"/>
      <c r="X38" s="24"/>
      <c r="Y38" s="24"/>
      <c r="Z38" s="85"/>
      <c r="AA38" s="24"/>
      <c r="AB38" s="24"/>
      <c r="AC38" s="24"/>
      <c r="AD38" s="24"/>
      <c r="AE38" s="24"/>
      <c r="AF38" s="24"/>
      <c r="AG38" s="18">
        <f t="shared" si="3"/>
        <v>0</v>
      </c>
      <c r="AH38" s="18">
        <f t="shared" si="4"/>
        <v>700</v>
      </c>
      <c r="AI38" s="20"/>
    </row>
    <row r="39" ht="14.25" customHeight="1">
      <c r="A39" s="25">
        <v>34.0</v>
      </c>
      <c r="B39" s="27" t="s">
        <v>118</v>
      </c>
      <c r="C39" s="27"/>
      <c r="D39" s="27" t="s">
        <v>119</v>
      </c>
      <c r="E39" s="27" t="s">
        <v>120</v>
      </c>
      <c r="F39" s="28">
        <v>3000.0</v>
      </c>
      <c r="H39" s="353">
        <v>1000.0</v>
      </c>
      <c r="I39" s="353" t="s">
        <v>554</v>
      </c>
      <c r="J39" s="85"/>
      <c r="K39" s="24"/>
      <c r="L39" s="24"/>
      <c r="M39" s="24"/>
      <c r="N39" s="24"/>
      <c r="P39" s="353">
        <v>1000.0</v>
      </c>
      <c r="Q39" s="353" t="s">
        <v>555</v>
      </c>
      <c r="R39" s="85"/>
      <c r="S39" s="354">
        <v>1000.0</v>
      </c>
      <c r="T39" s="353"/>
      <c r="U39" s="353"/>
      <c r="V39" s="85"/>
      <c r="X39" s="353"/>
      <c r="Y39" s="353"/>
      <c r="Z39" s="85"/>
      <c r="AA39" s="24"/>
      <c r="AB39" s="24"/>
      <c r="AC39" s="24"/>
      <c r="AD39" s="24"/>
      <c r="AE39" s="24"/>
      <c r="AF39" s="24"/>
      <c r="AG39" s="18">
        <f>F39-(SUM(H39:AF39))</f>
        <v>0</v>
      </c>
      <c r="AH39" s="18">
        <f>SUM(I39:AC39)</f>
        <v>2000</v>
      </c>
      <c r="AI39" s="20"/>
    </row>
    <row r="40" ht="14.25" customHeight="1">
      <c r="A40" s="25"/>
      <c r="B40" s="82" t="s">
        <v>155</v>
      </c>
      <c r="C40" s="27"/>
      <c r="D40" s="27" t="s">
        <v>20</v>
      </c>
      <c r="E40" s="27" t="s">
        <v>156</v>
      </c>
      <c r="F40" s="28">
        <v>1500.0</v>
      </c>
      <c r="G40" s="24"/>
      <c r="H40" s="24"/>
      <c r="I40" s="24"/>
      <c r="J40" s="85"/>
      <c r="K40" s="24"/>
      <c r="L40" s="24"/>
      <c r="M40" s="24"/>
      <c r="N40" s="24"/>
      <c r="O40" s="24"/>
      <c r="P40" s="24"/>
      <c r="Q40" s="24"/>
      <c r="R40" s="85"/>
      <c r="S40" s="24"/>
      <c r="T40" s="24"/>
      <c r="U40" s="24"/>
      <c r="V40" s="85"/>
      <c r="W40" s="24"/>
      <c r="X40" s="24"/>
      <c r="Y40" s="24"/>
      <c r="Z40" s="85"/>
      <c r="AA40" s="24"/>
      <c r="AB40" s="24"/>
      <c r="AC40" s="24"/>
      <c r="AD40" s="24"/>
      <c r="AE40" s="24"/>
      <c r="AF40" s="24"/>
      <c r="AG40" s="18">
        <f t="shared" ref="AG40:AG43" si="5">F40-(SUM(G40:AF40))</f>
        <v>1500</v>
      </c>
      <c r="AH40" s="18">
        <f t="shared" ref="AH40:AH43" si="6">SUM(G40:AC40)</f>
        <v>0</v>
      </c>
      <c r="AI40" s="20"/>
    </row>
    <row r="41" ht="14.25" customHeight="1">
      <c r="A41" s="25"/>
      <c r="B41" s="82" t="s">
        <v>155</v>
      </c>
      <c r="C41" s="27"/>
      <c r="D41" s="27" t="s">
        <v>20</v>
      </c>
      <c r="E41" s="27" t="s">
        <v>159</v>
      </c>
      <c r="F41" s="28">
        <v>1500.0</v>
      </c>
      <c r="G41" s="354">
        <v>1782.14</v>
      </c>
      <c r="H41" s="24"/>
      <c r="I41" s="24"/>
      <c r="J41" s="85"/>
      <c r="K41" s="24"/>
      <c r="L41" s="24"/>
      <c r="M41" s="24"/>
      <c r="N41" s="24"/>
      <c r="O41" s="24"/>
      <c r="P41" s="24"/>
      <c r="Q41" s="24"/>
      <c r="R41" s="85"/>
      <c r="S41" s="24"/>
      <c r="T41" s="24"/>
      <c r="U41" s="24"/>
      <c r="V41" s="85"/>
      <c r="W41" s="24"/>
      <c r="X41" s="24"/>
      <c r="Y41" s="24"/>
      <c r="Z41" s="85"/>
      <c r="AA41" s="24"/>
      <c r="AB41" s="24"/>
      <c r="AC41" s="24"/>
      <c r="AD41" s="24"/>
      <c r="AE41" s="24"/>
      <c r="AF41" s="24"/>
      <c r="AG41" s="18">
        <f t="shared" si="5"/>
        <v>-282.14</v>
      </c>
      <c r="AH41" s="18">
        <f t="shared" si="6"/>
        <v>1782.14</v>
      </c>
      <c r="AI41" s="20"/>
    </row>
    <row r="42" ht="14.25" customHeight="1">
      <c r="A42" s="25"/>
      <c r="B42" s="27"/>
      <c r="C42" s="27"/>
      <c r="D42" s="27" t="s">
        <v>20</v>
      </c>
      <c r="E42" s="27" t="s">
        <v>164</v>
      </c>
      <c r="F42" s="28">
        <v>1500.0</v>
      </c>
      <c r="G42" s="24"/>
      <c r="H42" s="24"/>
      <c r="I42" s="24"/>
      <c r="J42" s="85"/>
      <c r="K42" s="24"/>
      <c r="L42" s="24"/>
      <c r="M42" s="24"/>
      <c r="N42" s="24"/>
      <c r="O42" s="24"/>
      <c r="P42" s="24"/>
      <c r="Q42" s="24"/>
      <c r="R42" s="85"/>
      <c r="S42" s="24"/>
      <c r="T42" s="24"/>
      <c r="U42" s="24"/>
      <c r="V42" s="85"/>
      <c r="W42" s="24"/>
      <c r="X42" s="24"/>
      <c r="Y42" s="24"/>
      <c r="Z42" s="85"/>
      <c r="AA42" s="24"/>
      <c r="AB42" s="24"/>
      <c r="AC42" s="24"/>
      <c r="AD42" s="24"/>
      <c r="AE42" s="24"/>
      <c r="AF42" s="24"/>
      <c r="AG42" s="18">
        <f t="shared" si="5"/>
        <v>1500</v>
      </c>
      <c r="AH42" s="18">
        <f t="shared" si="6"/>
        <v>0</v>
      </c>
      <c r="AI42" s="20"/>
    </row>
    <row r="43" ht="14.25" customHeight="1">
      <c r="A43" s="25"/>
      <c r="B43" s="27" t="s">
        <v>500</v>
      </c>
      <c r="C43" s="27"/>
      <c r="D43" s="27"/>
      <c r="E43" s="27" t="s">
        <v>33</v>
      </c>
      <c r="F43" s="28">
        <v>800.0</v>
      </c>
      <c r="G43" s="354">
        <v>800.0</v>
      </c>
      <c r="H43" s="24"/>
      <c r="I43" s="24"/>
      <c r="J43" s="85"/>
      <c r="K43" s="24"/>
      <c r="L43" s="24"/>
      <c r="M43" s="24"/>
      <c r="N43" s="24"/>
      <c r="O43" s="24"/>
      <c r="P43" s="24"/>
      <c r="Q43" s="24"/>
      <c r="R43" s="85"/>
      <c r="S43" s="24"/>
      <c r="T43" s="24"/>
      <c r="U43" s="24"/>
      <c r="V43" s="85"/>
      <c r="W43" s="24"/>
      <c r="X43" s="24"/>
      <c r="Y43" s="24"/>
      <c r="Z43" s="85"/>
      <c r="AA43" s="24"/>
      <c r="AB43" s="24"/>
      <c r="AC43" s="24"/>
      <c r="AD43" s="24"/>
      <c r="AE43" s="24"/>
      <c r="AF43" s="24"/>
      <c r="AG43" s="18">
        <f t="shared" si="5"/>
        <v>0</v>
      </c>
      <c r="AH43" s="18">
        <f t="shared" si="6"/>
        <v>800</v>
      </c>
      <c r="AI43" s="20"/>
    </row>
    <row r="44" ht="14.25" customHeight="1">
      <c r="A44" s="68" t="s">
        <v>122</v>
      </c>
      <c r="B44" s="2"/>
      <c r="C44" s="2"/>
      <c r="D44" s="2"/>
      <c r="E44" s="3"/>
      <c r="F44" s="69">
        <f t="shared" ref="F44:G44" si="7">SUM(F4:F43)</f>
        <v>57500</v>
      </c>
      <c r="G44" s="70">
        <f t="shared" si="7"/>
        <v>21530.87</v>
      </c>
      <c r="H44" s="70">
        <f>SUM(H3:H43)</f>
        <v>4300.04</v>
      </c>
      <c r="I44" s="70"/>
      <c r="J44" s="70">
        <f t="shared" ref="J44:L44" si="8">SUM(J4:J43)</f>
        <v>0</v>
      </c>
      <c r="K44" s="70">
        <f t="shared" si="8"/>
        <v>5191.42</v>
      </c>
      <c r="L44" s="70">
        <f t="shared" si="8"/>
        <v>1000</v>
      </c>
      <c r="M44" s="70"/>
      <c r="N44" s="70">
        <f t="shared" ref="N44:P44" si="9">SUM(N4:N43)</f>
        <v>0</v>
      </c>
      <c r="O44" s="70">
        <f t="shared" si="9"/>
        <v>2804.94</v>
      </c>
      <c r="P44" s="70">
        <f t="shared" si="9"/>
        <v>1300</v>
      </c>
      <c r="Q44" s="70"/>
      <c r="R44" s="70">
        <f t="shared" ref="R44:T44" si="10">SUM(R4:R43)</f>
        <v>0</v>
      </c>
      <c r="S44" s="70">
        <f t="shared" si="10"/>
        <v>4841.8</v>
      </c>
      <c r="T44" s="70">
        <f t="shared" si="10"/>
        <v>3500</v>
      </c>
      <c r="U44" s="70"/>
      <c r="V44" s="70">
        <f t="shared" ref="V44:X44" si="11">SUM(V4:V43)</f>
        <v>0</v>
      </c>
      <c r="W44" s="70">
        <f t="shared" si="11"/>
        <v>2176.56</v>
      </c>
      <c r="X44" s="70">
        <f t="shared" si="11"/>
        <v>1478</v>
      </c>
      <c r="Y44" s="70"/>
      <c r="Z44" s="70">
        <f t="shared" ref="Z44:AF44" si="12">SUM(Z4:Z43)</f>
        <v>0</v>
      </c>
      <c r="AA44" s="70">
        <f t="shared" si="12"/>
        <v>1000</v>
      </c>
      <c r="AB44" s="70">
        <f t="shared" si="12"/>
        <v>0</v>
      </c>
      <c r="AC44" s="70">
        <f t="shared" si="12"/>
        <v>0</v>
      </c>
      <c r="AD44" s="70">
        <f t="shared" si="12"/>
        <v>0</v>
      </c>
      <c r="AE44" s="70">
        <f t="shared" si="12"/>
        <v>0</v>
      </c>
      <c r="AF44" s="70">
        <f t="shared" si="12"/>
        <v>0</v>
      </c>
      <c r="AG44" s="70">
        <f>SUM(AG4:AG42)</f>
        <v>8376.37</v>
      </c>
      <c r="AH44" s="70">
        <f>SUM(AH4:AH39)</f>
        <v>45541.49</v>
      </c>
    </row>
    <row r="45" ht="14.25" customHeight="1">
      <c r="A45" s="73"/>
      <c r="B45" s="73"/>
      <c r="C45" s="73"/>
      <c r="D45" s="73"/>
      <c r="E45" s="73"/>
      <c r="F45" s="72"/>
      <c r="I45" s="34">
        <v>14.0</v>
      </c>
      <c r="K45" s="34">
        <v>3.0</v>
      </c>
      <c r="O45" s="34">
        <v>9.0</v>
      </c>
      <c r="S45" s="34">
        <v>6.0</v>
      </c>
      <c r="X45" s="34">
        <v>4.0</v>
      </c>
      <c r="AA45" s="34">
        <v>4.0</v>
      </c>
      <c r="AG45" s="20">
        <f>F44-AH44</f>
        <v>11958.51</v>
      </c>
      <c r="AH45" s="20">
        <f>G44+I44+K44+L44+O44+P44+R44+S44+T44+V44+W44+X44+Z44+AA44+AB44</f>
        <v>44823.59</v>
      </c>
    </row>
    <row r="46" ht="14.25" customHeight="1">
      <c r="A46" s="73"/>
      <c r="B46" s="73"/>
      <c r="C46" s="73"/>
      <c r="D46" s="73"/>
      <c r="E46" s="73"/>
      <c r="F46" s="72"/>
    </row>
    <row r="47" ht="14.25" customHeight="1">
      <c r="A47" s="77" t="s">
        <v>177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9"/>
    </row>
    <row r="48" ht="28.5" customHeight="1">
      <c r="A48" s="4" t="s">
        <v>2</v>
      </c>
      <c r="B48" s="5"/>
      <c r="C48" s="6" t="s">
        <v>3</v>
      </c>
      <c r="D48" s="6" t="s">
        <v>4</v>
      </c>
      <c r="E48" s="6" t="s">
        <v>5</v>
      </c>
      <c r="F48" s="7" t="s">
        <v>134</v>
      </c>
      <c r="G48" s="8">
        <f>G2</f>
        <v>46237</v>
      </c>
      <c r="H48" s="2"/>
      <c r="I48" s="2"/>
      <c r="J48" s="3"/>
      <c r="K48" s="8">
        <f>K2</f>
        <v>46238</v>
      </c>
      <c r="L48" s="2"/>
      <c r="M48" s="2"/>
      <c r="N48" s="3"/>
      <c r="O48" s="8">
        <f>O2</f>
        <v>46239</v>
      </c>
      <c r="P48" s="2"/>
      <c r="Q48" s="2"/>
      <c r="R48" s="3"/>
      <c r="S48" s="8">
        <f>S2</f>
        <v>46240</v>
      </c>
      <c r="T48" s="2"/>
      <c r="U48" s="2"/>
      <c r="V48" s="3"/>
      <c r="W48" s="8">
        <f>W2</f>
        <v>46241</v>
      </c>
      <c r="X48" s="2"/>
      <c r="Y48" s="2"/>
      <c r="Z48" s="3"/>
      <c r="AA48" s="8">
        <f>AA2</f>
        <v>46242</v>
      </c>
      <c r="AB48" s="2"/>
      <c r="AC48" s="3"/>
      <c r="AD48" s="8">
        <f>AD2</f>
        <v>46236</v>
      </c>
      <c r="AE48" s="2"/>
      <c r="AF48" s="3"/>
      <c r="AG48" s="9" t="s">
        <v>7</v>
      </c>
      <c r="AH48" s="7" t="s">
        <v>8</v>
      </c>
    </row>
    <row r="49" ht="14.25" customHeight="1">
      <c r="A49" s="10"/>
      <c r="B49" s="11"/>
      <c r="C49" s="12"/>
      <c r="D49" s="12"/>
      <c r="E49" s="12"/>
      <c r="F49" s="12"/>
      <c r="G49" s="13" t="s">
        <v>9</v>
      </c>
      <c r="H49" s="8" t="s">
        <v>10</v>
      </c>
      <c r="I49" s="3"/>
      <c r="J49" s="13" t="s">
        <v>12</v>
      </c>
      <c r="K49" s="13" t="s">
        <v>9</v>
      </c>
      <c r="L49" s="13" t="s">
        <v>10</v>
      </c>
      <c r="M49" s="13"/>
      <c r="N49" s="13" t="s">
        <v>12</v>
      </c>
      <c r="O49" s="13" t="s">
        <v>9</v>
      </c>
      <c r="P49" s="13" t="s">
        <v>10</v>
      </c>
      <c r="Q49" s="13"/>
      <c r="R49" s="13" t="s">
        <v>12</v>
      </c>
      <c r="S49" s="13" t="s">
        <v>9</v>
      </c>
      <c r="T49" s="13" t="s">
        <v>10</v>
      </c>
      <c r="U49" s="13"/>
      <c r="V49" s="13" t="s">
        <v>12</v>
      </c>
      <c r="W49" s="13" t="s">
        <v>9</v>
      </c>
      <c r="X49" s="13" t="s">
        <v>10</v>
      </c>
      <c r="Y49" s="13"/>
      <c r="Z49" s="13" t="s">
        <v>12</v>
      </c>
      <c r="AA49" s="13" t="s">
        <v>9</v>
      </c>
      <c r="AB49" s="13" t="s">
        <v>10</v>
      </c>
      <c r="AC49" s="13" t="s">
        <v>12</v>
      </c>
      <c r="AD49" s="13" t="s">
        <v>9</v>
      </c>
      <c r="AE49" s="13" t="s">
        <v>10</v>
      </c>
      <c r="AF49" s="13" t="s">
        <v>12</v>
      </c>
      <c r="AG49" s="12"/>
      <c r="AH49" s="12"/>
    </row>
    <row r="50" ht="14.25" customHeight="1">
      <c r="A50" s="25">
        <v>1.0</v>
      </c>
      <c r="B50" s="27" t="s">
        <v>138</v>
      </c>
      <c r="C50" s="27" t="s">
        <v>139</v>
      </c>
      <c r="D50" s="27" t="s">
        <v>140</v>
      </c>
      <c r="E50" s="27" t="s">
        <v>141</v>
      </c>
      <c r="F50" s="28">
        <v>2500.0</v>
      </c>
      <c r="G50" s="354">
        <v>1600.38</v>
      </c>
      <c r="H50" s="24"/>
      <c r="I50" s="24"/>
      <c r="J50" s="24"/>
      <c r="K50" s="24"/>
      <c r="L50" s="24"/>
      <c r="M50" s="24"/>
      <c r="N50" s="24"/>
      <c r="O50" s="354">
        <v>1050.2</v>
      </c>
      <c r="P50" s="24"/>
      <c r="Q50" s="24"/>
      <c r="R50" s="24"/>
      <c r="S50" s="353"/>
      <c r="T50" s="24"/>
      <c r="U50" s="24"/>
      <c r="V50" s="24"/>
      <c r="W50" s="354">
        <v>950.0</v>
      </c>
      <c r="X50" s="24"/>
      <c r="Y50" s="24"/>
      <c r="Z50" s="24"/>
      <c r="AA50" s="24"/>
      <c r="AB50" s="24"/>
      <c r="AC50" s="24"/>
      <c r="AD50" s="24"/>
      <c r="AE50" s="24"/>
      <c r="AF50" s="24"/>
      <c r="AG50" s="24">
        <f t="shared" ref="AG50:AG57" si="13">F50-(SUM(G50:AF50))</f>
        <v>-1100.58</v>
      </c>
      <c r="AH50" s="24">
        <f t="shared" ref="AH50:AH57" si="14">SUM(G50:AF50)</f>
        <v>3600.58</v>
      </c>
    </row>
    <row r="51" ht="14.25" customHeight="1">
      <c r="A51" s="25">
        <v>2.0</v>
      </c>
      <c r="B51" s="27" t="s">
        <v>147</v>
      </c>
      <c r="C51" s="27" t="s">
        <v>139</v>
      </c>
      <c r="D51" s="27" t="s">
        <v>119</v>
      </c>
      <c r="E51" s="27" t="s">
        <v>148</v>
      </c>
      <c r="F51" s="28">
        <v>1500.0</v>
      </c>
      <c r="G51" s="24"/>
      <c r="H51" s="24"/>
      <c r="I51" s="24"/>
      <c r="J51" s="24"/>
      <c r="K51" s="354">
        <v>1500.0</v>
      </c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>
        <f t="shared" si="13"/>
        <v>0</v>
      </c>
      <c r="AH51" s="24">
        <f t="shared" si="14"/>
        <v>1500</v>
      </c>
      <c r="AI51" s="34">
        <v>8.0</v>
      </c>
      <c r="AK51" s="31" t="s">
        <v>22</v>
      </c>
      <c r="AL51" s="2"/>
      <c r="AM51" s="2"/>
      <c r="AN51" s="3"/>
    </row>
    <row r="52" ht="14.25" customHeight="1">
      <c r="A52" s="84">
        <v>3.0</v>
      </c>
      <c r="B52" s="132" t="s">
        <v>157</v>
      </c>
      <c r="C52" s="132" t="s">
        <v>139</v>
      </c>
      <c r="D52" s="27" t="s">
        <v>158</v>
      </c>
      <c r="E52" s="27" t="s">
        <v>16</v>
      </c>
      <c r="F52" s="28">
        <v>2000.0</v>
      </c>
      <c r="G52" s="24"/>
      <c r="H52" s="24"/>
      <c r="I52" s="24"/>
      <c r="J52" s="24"/>
      <c r="K52" s="24"/>
      <c r="L52" s="24"/>
      <c r="M52" s="24"/>
      <c r="N52" s="24"/>
      <c r="O52" s="354">
        <v>457.8</v>
      </c>
      <c r="P52" s="24"/>
      <c r="Q52" s="24"/>
      <c r="R52" s="24"/>
      <c r="S52" s="353"/>
      <c r="T52" s="29">
        <v>1000.0</v>
      </c>
      <c r="U52" s="24"/>
      <c r="V52" s="24"/>
      <c r="W52" s="353"/>
      <c r="X52" s="24"/>
      <c r="Y52" s="24"/>
      <c r="Z52" s="24"/>
      <c r="AA52" s="24"/>
      <c r="AB52" s="24"/>
      <c r="AC52" s="24"/>
      <c r="AD52" s="24"/>
      <c r="AE52" s="24"/>
      <c r="AF52" s="24"/>
      <c r="AG52" s="24">
        <f t="shared" si="13"/>
        <v>542.2</v>
      </c>
      <c r="AH52" s="24">
        <f t="shared" si="14"/>
        <v>1457.8</v>
      </c>
      <c r="AK52" s="35" t="s">
        <v>25</v>
      </c>
      <c r="AL52" s="35" t="s">
        <v>26</v>
      </c>
      <c r="AM52" s="35" t="s">
        <v>27</v>
      </c>
      <c r="AN52" s="35" t="s">
        <v>28</v>
      </c>
    </row>
    <row r="53" ht="14.25" customHeight="1">
      <c r="A53" s="12"/>
      <c r="B53" s="132" t="s">
        <v>157</v>
      </c>
      <c r="C53" s="132" t="s">
        <v>139</v>
      </c>
      <c r="D53" s="27" t="s">
        <v>17</v>
      </c>
      <c r="E53" s="27"/>
      <c r="F53" s="28">
        <v>300.0</v>
      </c>
      <c r="G53" s="353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353"/>
      <c r="T53" s="29">
        <v>228.9</v>
      </c>
      <c r="U53" s="24"/>
      <c r="V53" s="24"/>
      <c r="W53" s="353"/>
      <c r="X53" s="24"/>
      <c r="Y53" s="24"/>
      <c r="Z53" s="24"/>
      <c r="AA53" s="24"/>
      <c r="AB53" s="24"/>
      <c r="AC53" s="24"/>
      <c r="AD53" s="24"/>
      <c r="AE53" s="24"/>
      <c r="AF53" s="24"/>
      <c r="AG53" s="24">
        <f t="shared" si="13"/>
        <v>71.1</v>
      </c>
      <c r="AH53" s="24">
        <f t="shared" si="14"/>
        <v>228.9</v>
      </c>
      <c r="AK53" s="37" t="s">
        <v>9</v>
      </c>
      <c r="AL53" s="85"/>
      <c r="AM53" s="85"/>
      <c r="AN53" s="24">
        <f>(G58+K58+O58+S58+W58+AA58)</f>
        <v>10510.2</v>
      </c>
    </row>
    <row r="54" ht="14.25" customHeight="1">
      <c r="A54" s="25">
        <v>4.0</v>
      </c>
      <c r="B54" s="27" t="s">
        <v>165</v>
      </c>
      <c r="C54" s="27" t="s">
        <v>166</v>
      </c>
      <c r="D54" s="27" t="s">
        <v>119</v>
      </c>
      <c r="E54" s="27" t="s">
        <v>167</v>
      </c>
      <c r="F54" s="28">
        <v>1500.0</v>
      </c>
      <c r="G54" s="354">
        <v>1451.82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>
        <f t="shared" si="13"/>
        <v>48.18</v>
      </c>
      <c r="AH54" s="24">
        <f t="shared" si="14"/>
        <v>1451.82</v>
      </c>
      <c r="AK54" s="37" t="s">
        <v>10</v>
      </c>
      <c r="AL54" s="85"/>
      <c r="AM54" s="85"/>
      <c r="AN54" s="24">
        <f>I58+L58+P58+T58+X58+AB58</f>
        <v>1228.9</v>
      </c>
    </row>
    <row r="55" ht="14.25" customHeight="1">
      <c r="A55" s="25">
        <v>5.0</v>
      </c>
      <c r="B55" s="27" t="s">
        <v>168</v>
      </c>
      <c r="C55" s="27" t="s">
        <v>166</v>
      </c>
      <c r="D55" s="27" t="s">
        <v>119</v>
      </c>
      <c r="E55" s="27" t="s">
        <v>169</v>
      </c>
      <c r="F55" s="28">
        <v>1500.0</v>
      </c>
      <c r="G55" s="354">
        <v>1500.0</v>
      </c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>
        <f t="shared" si="13"/>
        <v>0</v>
      </c>
      <c r="AH55" s="24">
        <f t="shared" si="14"/>
        <v>1500</v>
      </c>
      <c r="AK55" s="37" t="s">
        <v>12</v>
      </c>
      <c r="AL55" s="85"/>
      <c r="AM55" s="85"/>
      <c r="AN55" s="85"/>
    </row>
    <row r="56" ht="14.25" customHeight="1">
      <c r="A56" s="25">
        <v>6.0</v>
      </c>
      <c r="B56" s="27" t="s">
        <v>170</v>
      </c>
      <c r="C56" s="27" t="s">
        <v>171</v>
      </c>
      <c r="D56" s="27" t="s">
        <v>158</v>
      </c>
      <c r="E56" s="27" t="s">
        <v>172</v>
      </c>
      <c r="F56" s="28">
        <v>2000.0</v>
      </c>
      <c r="G56" s="356">
        <v>2000.0</v>
      </c>
      <c r="H56" s="24"/>
      <c r="I56" s="24"/>
      <c r="J56" s="24"/>
      <c r="K56" s="24"/>
      <c r="L56" s="24"/>
      <c r="M56" s="24"/>
      <c r="N56" s="24"/>
      <c r="O56" s="353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>
        <f t="shared" si="13"/>
        <v>0</v>
      </c>
      <c r="AH56" s="24">
        <f t="shared" si="14"/>
        <v>2000</v>
      </c>
    </row>
    <row r="57" ht="14.25" customHeight="1">
      <c r="A57" s="361">
        <v>7.0</v>
      </c>
      <c r="B57" s="355" t="s">
        <v>548</v>
      </c>
      <c r="C57" s="355" t="s">
        <v>166</v>
      </c>
      <c r="D57" s="27" t="s">
        <v>17</v>
      </c>
      <c r="E57" s="27"/>
      <c r="F57" s="362">
        <v>500.0</v>
      </c>
      <c r="G57" s="353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>
        <f t="shared" si="13"/>
        <v>500</v>
      </c>
      <c r="AH57" s="24">
        <f t="shared" si="14"/>
        <v>0</v>
      </c>
    </row>
    <row r="58" ht="14.25" customHeight="1">
      <c r="A58" s="68" t="s">
        <v>122</v>
      </c>
      <c r="B58" s="2"/>
      <c r="C58" s="2"/>
      <c r="D58" s="2"/>
      <c r="E58" s="3"/>
      <c r="F58" s="69">
        <f t="shared" ref="F58:G58" si="15">SUM(F50:F57)</f>
        <v>11800</v>
      </c>
      <c r="G58" s="86">
        <f t="shared" si="15"/>
        <v>6552.2</v>
      </c>
      <c r="H58" s="86"/>
      <c r="I58" s="86">
        <f>SUM(I50:I56)</f>
        <v>0</v>
      </c>
      <c r="J58" s="86"/>
      <c r="K58" s="86">
        <f t="shared" ref="K58:L58" si="16">SUM(K50:K56)</f>
        <v>1500</v>
      </c>
      <c r="L58" s="86">
        <f t="shared" si="16"/>
        <v>0</v>
      </c>
      <c r="M58" s="86"/>
      <c r="N58" s="86"/>
      <c r="O58" s="86">
        <f t="shared" ref="O58:P58" si="17">SUM(O50:O56)</f>
        <v>1508</v>
      </c>
      <c r="P58" s="86">
        <f t="shared" si="17"/>
        <v>0</v>
      </c>
      <c r="Q58" s="86"/>
      <c r="R58" s="86"/>
      <c r="S58" s="86">
        <f t="shared" ref="S58:T58" si="18">SUM(S50:S56)</f>
        <v>0</v>
      </c>
      <c r="T58" s="86">
        <f t="shared" si="18"/>
        <v>1228.9</v>
      </c>
      <c r="U58" s="86"/>
      <c r="V58" s="86">
        <f t="shared" ref="V58:X58" si="19">SUM(V50:V56)</f>
        <v>0</v>
      </c>
      <c r="W58" s="86">
        <f t="shared" si="19"/>
        <v>950</v>
      </c>
      <c r="X58" s="86">
        <f t="shared" si="19"/>
        <v>0</v>
      </c>
      <c r="Y58" s="86"/>
      <c r="Z58" s="86"/>
      <c r="AA58" s="86">
        <f t="shared" ref="AA58:AB58" si="20">SUM(AA50:AA56)</f>
        <v>0</v>
      </c>
      <c r="AB58" s="86">
        <f t="shared" si="20"/>
        <v>0</v>
      </c>
      <c r="AC58" s="86"/>
      <c r="AD58" s="86"/>
      <c r="AE58" s="86"/>
      <c r="AF58" s="86"/>
      <c r="AG58" s="70">
        <f t="shared" ref="AG58:AH58" si="21">SUM(AG50:AG56)</f>
        <v>-439.1</v>
      </c>
      <c r="AH58" s="70">
        <f t="shared" si="21"/>
        <v>11739.1</v>
      </c>
    </row>
    <row r="59" ht="14.25" customHeight="1">
      <c r="A59" s="73"/>
      <c r="B59" s="73"/>
      <c r="C59" s="73"/>
      <c r="D59" s="73"/>
      <c r="E59" s="73"/>
      <c r="F59" s="72"/>
      <c r="G59" s="105">
        <f>G58+G44</f>
        <v>28083.07</v>
      </c>
      <c r="K59" s="105">
        <f>K58+K44</f>
        <v>6691.42</v>
      </c>
      <c r="O59" s="105">
        <f>O58+O44</f>
        <v>4312.94</v>
      </c>
      <c r="S59" s="105">
        <f>S58+S44</f>
        <v>4841.8</v>
      </c>
      <c r="W59" s="105">
        <f>W44+W58</f>
        <v>3126.56</v>
      </c>
      <c r="AA59" s="105">
        <f>AA44+AA58</f>
        <v>1000</v>
      </c>
    </row>
    <row r="60" ht="14.25" customHeight="1">
      <c r="A60" s="73"/>
      <c r="B60" s="73"/>
      <c r="C60" s="73"/>
      <c r="D60" s="73"/>
      <c r="E60" s="73"/>
      <c r="F60" s="72"/>
    </row>
    <row r="61" ht="14.25" customHeight="1">
      <c r="A61" s="73"/>
      <c r="B61" s="73"/>
      <c r="C61" s="73"/>
      <c r="D61" s="73"/>
      <c r="E61" s="73"/>
      <c r="F61" s="72"/>
    </row>
    <row r="62" ht="14.25" customHeight="1">
      <c r="A62" s="1" t="s">
        <v>211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</row>
    <row r="63" ht="28.5" customHeight="1">
      <c r="A63" s="4" t="s">
        <v>2</v>
      </c>
      <c r="B63" s="5"/>
      <c r="C63" s="6" t="s">
        <v>3</v>
      </c>
      <c r="D63" s="6" t="s">
        <v>4</v>
      </c>
      <c r="E63" s="6" t="s">
        <v>5</v>
      </c>
      <c r="F63" s="7" t="s">
        <v>134</v>
      </c>
      <c r="G63" s="352">
        <v>46237.0</v>
      </c>
      <c r="H63" s="3"/>
      <c r="I63" s="352">
        <v>46238.0</v>
      </c>
      <c r="J63" s="3"/>
      <c r="K63" s="352">
        <v>46239.0</v>
      </c>
      <c r="L63" s="3"/>
      <c r="M63" s="352">
        <v>46240.0</v>
      </c>
      <c r="N63" s="3"/>
      <c r="O63" s="352">
        <v>46241.0</v>
      </c>
      <c r="P63" s="3"/>
      <c r="Q63" s="13"/>
      <c r="R63" s="7" t="s">
        <v>8</v>
      </c>
      <c r="V63" s="111"/>
      <c r="X63" s="111"/>
      <c r="Y63" s="111"/>
      <c r="Z63" s="111"/>
      <c r="AB63" s="111"/>
      <c r="AC63" s="111"/>
      <c r="AD63" s="111"/>
      <c r="AE63" s="111"/>
      <c r="AF63" s="111"/>
    </row>
    <row r="64" ht="14.25" customHeight="1">
      <c r="A64" s="10"/>
      <c r="B64" s="11"/>
      <c r="C64" s="12"/>
      <c r="D64" s="12"/>
      <c r="E64" s="12"/>
      <c r="F64" s="12"/>
      <c r="G64" s="13" t="s">
        <v>9</v>
      </c>
      <c r="H64" s="364" t="s">
        <v>10</v>
      </c>
      <c r="I64" s="13" t="s">
        <v>9</v>
      </c>
      <c r="J64" s="364" t="s">
        <v>10</v>
      </c>
      <c r="K64" s="13" t="s">
        <v>9</v>
      </c>
      <c r="L64" s="364" t="s">
        <v>10</v>
      </c>
      <c r="M64" s="364" t="s">
        <v>9</v>
      </c>
      <c r="N64" s="364" t="s">
        <v>556</v>
      </c>
      <c r="O64" s="13" t="s">
        <v>9</v>
      </c>
      <c r="P64" s="159" t="s">
        <v>10</v>
      </c>
      <c r="Q64" s="13"/>
      <c r="R64" s="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</row>
    <row r="65" ht="14.25" customHeight="1">
      <c r="A65" s="25">
        <v>1.0</v>
      </c>
      <c r="B65" s="89" t="s">
        <v>178</v>
      </c>
      <c r="C65" s="84" t="s">
        <v>179</v>
      </c>
      <c r="D65" s="27"/>
      <c r="E65" s="90" t="s">
        <v>180</v>
      </c>
      <c r="F65" s="28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24">
        <f t="shared" ref="R65:R72" si="22">SUM(G65:P65)</f>
        <v>0</v>
      </c>
      <c r="AA65" s="113"/>
    </row>
    <row r="66" ht="14.25" customHeight="1">
      <c r="A66" s="25">
        <v>2.0</v>
      </c>
      <c r="B66" s="89" t="s">
        <v>183</v>
      </c>
      <c r="C66" s="44"/>
      <c r="D66" s="27"/>
      <c r="E66" s="90" t="s">
        <v>184</v>
      </c>
      <c r="F66" s="28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24">
        <f t="shared" si="22"/>
        <v>0</v>
      </c>
      <c r="AA66" s="113"/>
      <c r="AB66" s="113"/>
      <c r="AC66" s="113"/>
      <c r="AD66" s="113"/>
      <c r="AE66" s="113"/>
      <c r="AF66" s="113"/>
      <c r="AG66" s="113"/>
    </row>
    <row r="67" ht="14.25" customHeight="1">
      <c r="A67" s="25">
        <v>3.0</v>
      </c>
      <c r="B67" s="89" t="s">
        <v>185</v>
      </c>
      <c r="C67" s="44"/>
      <c r="D67" s="27"/>
      <c r="E67" s="90" t="s">
        <v>186</v>
      </c>
      <c r="F67" s="28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24">
        <f t="shared" si="22"/>
        <v>0</v>
      </c>
      <c r="AA67" s="73"/>
      <c r="AB67" s="73"/>
      <c r="AC67" s="73"/>
      <c r="AD67" s="73"/>
      <c r="AE67" s="73"/>
      <c r="AF67" s="73"/>
      <c r="AG67" s="72"/>
    </row>
    <row r="68" ht="14.25" customHeight="1">
      <c r="A68" s="25">
        <v>4.0</v>
      </c>
      <c r="B68" s="89" t="s">
        <v>185</v>
      </c>
      <c r="C68" s="44"/>
      <c r="D68" s="27"/>
      <c r="E68" s="90" t="s">
        <v>186</v>
      </c>
      <c r="F68" s="28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24">
        <f t="shared" si="22"/>
        <v>0</v>
      </c>
      <c r="AA68" s="73"/>
      <c r="AB68" s="73"/>
      <c r="AC68" s="73"/>
      <c r="AD68" s="73"/>
      <c r="AE68" s="73"/>
      <c r="AF68" s="73"/>
      <c r="AG68" s="73"/>
    </row>
    <row r="69" ht="14.25" customHeight="1">
      <c r="A69" s="25">
        <v>5.0</v>
      </c>
      <c r="B69" s="89" t="s">
        <v>187</v>
      </c>
      <c r="C69" s="44"/>
      <c r="D69" s="27"/>
      <c r="E69" s="90" t="s">
        <v>188</v>
      </c>
      <c r="F69" s="28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24">
        <f t="shared" si="22"/>
        <v>0</v>
      </c>
      <c r="AA69" s="73"/>
      <c r="AB69" s="73"/>
      <c r="AC69" s="73"/>
      <c r="AD69" s="73"/>
      <c r="AE69" s="73"/>
      <c r="AF69" s="73"/>
      <c r="AG69" s="73"/>
    </row>
    <row r="70" ht="14.25" customHeight="1">
      <c r="A70" s="25">
        <v>6.0</v>
      </c>
      <c r="B70" s="89" t="s">
        <v>189</v>
      </c>
      <c r="C70" s="44"/>
      <c r="D70" s="27"/>
      <c r="E70" s="90" t="s">
        <v>190</v>
      </c>
      <c r="F70" s="28"/>
      <c r="G70" s="85"/>
      <c r="H70" s="24"/>
      <c r="I70" s="24"/>
      <c r="J70" s="85"/>
      <c r="K70" s="85"/>
      <c r="L70" s="85"/>
      <c r="M70" s="85"/>
      <c r="N70" s="85"/>
      <c r="O70" s="85"/>
      <c r="P70" s="85"/>
      <c r="Q70" s="85"/>
      <c r="R70" s="24">
        <f t="shared" si="22"/>
        <v>0</v>
      </c>
    </row>
    <row r="71" ht="14.25" customHeight="1">
      <c r="A71" s="25">
        <v>7.0</v>
      </c>
      <c r="B71" s="89" t="s">
        <v>191</v>
      </c>
      <c r="C71" s="12"/>
      <c r="D71" s="27"/>
      <c r="E71" s="90" t="s">
        <v>192</v>
      </c>
      <c r="F71" s="28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24">
        <f t="shared" si="22"/>
        <v>0</v>
      </c>
    </row>
    <row r="72" ht="14.25" customHeight="1">
      <c r="A72" s="361">
        <v>8.0</v>
      </c>
      <c r="B72" s="365" t="s">
        <v>557</v>
      </c>
      <c r="C72" s="361" t="s">
        <v>558</v>
      </c>
      <c r="D72" s="27"/>
      <c r="E72" s="366" t="s">
        <v>559</v>
      </c>
      <c r="F72" s="28"/>
      <c r="G72" s="226" t="s">
        <v>589</v>
      </c>
      <c r="H72" s="226">
        <v>26999.11</v>
      </c>
      <c r="I72" s="372" t="s">
        <v>590</v>
      </c>
      <c r="J72" s="372">
        <v>26957.72</v>
      </c>
      <c r="K72" s="226"/>
      <c r="L72" s="226"/>
      <c r="M72" s="85"/>
      <c r="N72" s="85"/>
      <c r="O72" s="226"/>
      <c r="P72" s="226"/>
      <c r="Q72" s="85"/>
      <c r="R72" s="24">
        <f t="shared" si="22"/>
        <v>53956.83</v>
      </c>
    </row>
    <row r="73" ht="14.25" customHeight="1">
      <c r="A73" s="68" t="s">
        <v>122</v>
      </c>
      <c r="B73" s="2"/>
      <c r="C73" s="2"/>
      <c r="D73" s="2"/>
      <c r="E73" s="3"/>
      <c r="F73" s="93"/>
      <c r="G73" s="85">
        <f t="shared" ref="G73:L73" si="23">SUM(G65:G72)</f>
        <v>0</v>
      </c>
      <c r="H73" s="85">
        <f t="shared" si="23"/>
        <v>26999.11</v>
      </c>
      <c r="I73" s="24">
        <f t="shared" si="23"/>
        <v>0</v>
      </c>
      <c r="J73" s="85">
        <f t="shared" si="23"/>
        <v>26957.72</v>
      </c>
      <c r="K73" s="85">
        <f t="shared" si="23"/>
        <v>0</v>
      </c>
      <c r="L73" s="85">
        <f t="shared" si="23"/>
        <v>0</v>
      </c>
      <c r="M73" s="85"/>
      <c r="N73" s="85">
        <f>SUM(N65:N71)</f>
        <v>0</v>
      </c>
      <c r="O73" s="85">
        <f t="shared" ref="O73:P73" si="24">SUM(O65:O72)</f>
        <v>0</v>
      </c>
      <c r="P73" s="85">
        <f t="shared" si="24"/>
        <v>0</v>
      </c>
      <c r="Q73" s="85"/>
      <c r="R73" s="24">
        <f>SUM(R65:R72)</f>
        <v>53956.83</v>
      </c>
    </row>
    <row r="74" ht="14.25" customHeight="1">
      <c r="A74" s="73"/>
      <c r="B74" s="73"/>
      <c r="C74" s="73"/>
      <c r="D74" s="73"/>
      <c r="E74" s="73"/>
      <c r="F74" s="72"/>
    </row>
    <row r="75" ht="14.25" customHeight="1">
      <c r="A75" s="73"/>
      <c r="B75" s="73"/>
      <c r="C75" s="73"/>
      <c r="D75" s="73"/>
      <c r="E75" s="73"/>
      <c r="F75" s="72"/>
    </row>
    <row r="76" ht="14.25" customHeight="1">
      <c r="A76" s="367" t="s">
        <v>594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3"/>
      <c r="W76" s="20"/>
      <c r="Z76" s="20"/>
    </row>
    <row r="77" ht="14.25" customHeight="1">
      <c r="A77" s="4" t="s">
        <v>220</v>
      </c>
      <c r="B77" s="5"/>
      <c r="C77" s="352">
        <v>46237.0</v>
      </c>
      <c r="D77" s="3"/>
      <c r="E77" s="352">
        <v>46238.0</v>
      </c>
      <c r="F77" s="3"/>
      <c r="G77" s="352">
        <v>46239.0</v>
      </c>
      <c r="H77" s="3"/>
      <c r="I77" s="352">
        <v>46240.0</v>
      </c>
      <c r="J77" s="3"/>
      <c r="K77" s="352">
        <v>46241.0</v>
      </c>
      <c r="L77" s="3"/>
      <c r="M77" s="352">
        <v>46242.0</v>
      </c>
      <c r="N77" s="3"/>
      <c r="O77" s="352">
        <v>46243.0</v>
      </c>
      <c r="P77" s="3"/>
      <c r="Q77" s="8">
        <v>46229.0</v>
      </c>
      <c r="R77" s="3"/>
      <c r="S77" s="368"/>
      <c r="T77" s="11"/>
      <c r="U77" s="369"/>
      <c r="V77" s="3"/>
      <c r="W77" s="20"/>
    </row>
    <row r="78" ht="14.25" customHeight="1">
      <c r="A78" s="10"/>
      <c r="B78" s="11"/>
      <c r="C78" s="13" t="s">
        <v>26</v>
      </c>
      <c r="D78" s="13" t="s">
        <v>197</v>
      </c>
      <c r="E78" s="13" t="s">
        <v>26</v>
      </c>
      <c r="F78" s="13" t="s">
        <v>197</v>
      </c>
      <c r="G78" s="13" t="s">
        <v>26</v>
      </c>
      <c r="H78" s="364" t="s">
        <v>564</v>
      </c>
      <c r="I78" s="13" t="s">
        <v>197</v>
      </c>
      <c r="J78" s="13" t="s">
        <v>26</v>
      </c>
      <c r="K78" s="13" t="s">
        <v>197</v>
      </c>
      <c r="L78" s="13" t="s">
        <v>26</v>
      </c>
      <c r="M78" s="364" t="s">
        <v>26</v>
      </c>
      <c r="N78" s="13" t="s">
        <v>197</v>
      </c>
      <c r="O78" s="13" t="s">
        <v>26</v>
      </c>
      <c r="P78" s="13" t="s">
        <v>197</v>
      </c>
      <c r="Q78" s="13"/>
      <c r="R78" s="13" t="s">
        <v>26</v>
      </c>
      <c r="S78" s="13" t="s">
        <v>197</v>
      </c>
      <c r="T78" s="120" t="s">
        <v>224</v>
      </c>
      <c r="U78" s="120"/>
      <c r="V78" s="104">
        <v>27.0</v>
      </c>
      <c r="W78" s="20"/>
      <c r="Z78" s="20"/>
    </row>
    <row r="79" ht="14.25" customHeight="1">
      <c r="A79" s="25">
        <v>1.0</v>
      </c>
      <c r="B79" s="37" t="s">
        <v>225</v>
      </c>
      <c r="C79" s="376">
        <v>95.0</v>
      </c>
      <c r="D79" s="377" t="s">
        <v>598</v>
      </c>
      <c r="E79" s="355">
        <v>1035.0</v>
      </c>
      <c r="F79" s="355" t="s">
        <v>599</v>
      </c>
      <c r="G79" s="27"/>
      <c r="H79" s="27"/>
      <c r="I79" s="355" t="s">
        <v>600</v>
      </c>
      <c r="J79" s="355">
        <v>1000.0</v>
      </c>
      <c r="K79" s="27"/>
      <c r="L79" s="27"/>
      <c r="M79" s="355">
        <v>730.0</v>
      </c>
      <c r="N79" s="355" t="s">
        <v>601</v>
      </c>
      <c r="O79" s="27"/>
      <c r="P79" s="27"/>
      <c r="Q79" s="27"/>
      <c r="R79" s="27"/>
      <c r="S79" s="27"/>
      <c r="T79" s="27">
        <f t="shared" ref="T79:T88" si="25">M79+J79+L79+O79+G79+E79+C79</f>
        <v>2860</v>
      </c>
      <c r="U79" s="27"/>
      <c r="V79" s="131"/>
      <c r="W79" s="20"/>
      <c r="Z79" s="20"/>
    </row>
    <row r="80" ht="14.25" customHeight="1">
      <c r="A80" s="25">
        <v>2.0</v>
      </c>
      <c r="B80" s="37" t="s">
        <v>235</v>
      </c>
      <c r="C80" s="355">
        <v>410.0</v>
      </c>
      <c r="D80" s="355" t="s">
        <v>606</v>
      </c>
      <c r="E80" s="27"/>
      <c r="F80" s="27"/>
      <c r="G80" s="355">
        <v>530.0</v>
      </c>
      <c r="H80" s="355" t="s">
        <v>608</v>
      </c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>
        <f t="shared" si="25"/>
        <v>940</v>
      </c>
      <c r="U80" s="27"/>
      <c r="V80" s="44"/>
      <c r="W80" s="20"/>
      <c r="Z80" s="20"/>
    </row>
    <row r="81" ht="14.25" customHeight="1">
      <c r="A81" s="25">
        <v>3.0</v>
      </c>
      <c r="B81" s="37" t="s">
        <v>241</v>
      </c>
      <c r="C81" s="27"/>
      <c r="D81" s="27"/>
      <c r="E81" s="355">
        <v>1000.0</v>
      </c>
      <c r="F81" s="355" t="s">
        <v>610</v>
      </c>
      <c r="G81" s="355">
        <v>600.0</v>
      </c>
      <c r="H81" s="355" t="s">
        <v>611</v>
      </c>
      <c r="I81" s="27"/>
      <c r="J81" s="27"/>
      <c r="K81" s="355"/>
      <c r="L81" s="355"/>
      <c r="M81" s="355"/>
      <c r="N81" s="355"/>
      <c r="O81" s="27"/>
      <c r="P81" s="27"/>
      <c r="Q81" s="27"/>
      <c r="R81" s="27"/>
      <c r="S81" s="27"/>
      <c r="T81" s="27">
        <f t="shared" si="25"/>
        <v>1600</v>
      </c>
      <c r="U81" s="27"/>
      <c r="V81" s="44"/>
      <c r="W81" s="20"/>
      <c r="Z81" s="20"/>
    </row>
    <row r="82" ht="14.25" customHeight="1">
      <c r="A82" s="25">
        <v>4.0</v>
      </c>
      <c r="B82" s="37" t="s">
        <v>253</v>
      </c>
      <c r="C82" s="355"/>
      <c r="D82" s="355"/>
      <c r="E82" s="355">
        <v>515.0</v>
      </c>
      <c r="F82" s="355" t="s">
        <v>612</v>
      </c>
      <c r="G82" s="355">
        <v>350.0</v>
      </c>
      <c r="H82" s="355" t="s">
        <v>613</v>
      </c>
      <c r="I82" s="355" t="s">
        <v>614</v>
      </c>
      <c r="J82" s="355">
        <v>210.0</v>
      </c>
      <c r="K82" s="355" t="s">
        <v>615</v>
      </c>
      <c r="L82" s="355">
        <v>120.0</v>
      </c>
      <c r="M82" s="27"/>
      <c r="N82" s="27"/>
      <c r="O82" s="27"/>
      <c r="P82" s="27"/>
      <c r="Q82" s="27"/>
      <c r="R82" s="27"/>
      <c r="S82" s="27"/>
      <c r="T82" s="27">
        <f t="shared" si="25"/>
        <v>1195</v>
      </c>
      <c r="U82" s="27"/>
      <c r="V82" s="44"/>
      <c r="W82" s="20"/>
      <c r="Z82" s="20"/>
    </row>
    <row r="83" ht="14.25" customHeight="1">
      <c r="A83" s="25">
        <v>5.0</v>
      </c>
      <c r="B83" s="37" t="s">
        <v>257</v>
      </c>
      <c r="C83" s="355">
        <v>50.0</v>
      </c>
      <c r="D83" s="355" t="s">
        <v>616</v>
      </c>
      <c r="E83" s="27"/>
      <c r="F83" s="27"/>
      <c r="G83" s="355"/>
      <c r="H83" s="355"/>
      <c r="I83" s="355" t="s">
        <v>617</v>
      </c>
      <c r="J83" s="355">
        <v>160.0</v>
      </c>
      <c r="K83" s="355" t="s">
        <v>618</v>
      </c>
      <c r="L83" s="355">
        <v>120.0</v>
      </c>
      <c r="M83" s="27"/>
      <c r="N83" s="27"/>
      <c r="O83" s="27"/>
      <c r="P83" s="27"/>
      <c r="Q83" s="27"/>
      <c r="R83" s="27"/>
      <c r="S83" s="27"/>
      <c r="T83" s="27">
        <f t="shared" si="25"/>
        <v>330</v>
      </c>
      <c r="U83" s="27"/>
      <c r="V83" s="44"/>
      <c r="W83" s="20"/>
      <c r="Z83" s="20"/>
    </row>
    <row r="84" ht="14.25" customHeight="1">
      <c r="A84" s="25">
        <v>6.0</v>
      </c>
      <c r="B84" s="37" t="s">
        <v>264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>
        <f t="shared" si="25"/>
        <v>0</v>
      </c>
      <c r="U84" s="27"/>
      <c r="V84" s="44"/>
      <c r="W84" s="20"/>
      <c r="Z84" s="20"/>
    </row>
    <row r="85" ht="14.25" customHeight="1">
      <c r="A85" s="25">
        <v>7.0</v>
      </c>
      <c r="B85" s="139" t="s">
        <v>273</v>
      </c>
      <c r="C85" s="355">
        <v>800.0</v>
      </c>
      <c r="D85" s="355" t="s">
        <v>621</v>
      </c>
      <c r="E85" s="355"/>
      <c r="F85" s="355"/>
      <c r="G85" s="355">
        <v>800.0</v>
      </c>
      <c r="H85" s="355" t="s">
        <v>622</v>
      </c>
      <c r="I85" s="355"/>
      <c r="J85" s="355"/>
      <c r="K85" s="355" t="s">
        <v>617</v>
      </c>
      <c r="L85" s="355">
        <v>800.0</v>
      </c>
      <c r="M85" s="355">
        <v>50.0</v>
      </c>
      <c r="N85" s="355" t="s">
        <v>623</v>
      </c>
      <c r="O85" s="27"/>
      <c r="P85" s="27"/>
      <c r="Q85" s="27"/>
      <c r="R85" s="27"/>
      <c r="S85" s="27"/>
      <c r="T85" s="27">
        <f t="shared" si="25"/>
        <v>2450</v>
      </c>
      <c r="U85" s="27"/>
      <c r="V85" s="44"/>
      <c r="W85" s="20"/>
      <c r="Z85" s="20"/>
    </row>
    <row r="86" ht="14.25" customHeight="1">
      <c r="A86" s="25">
        <v>8.0</v>
      </c>
      <c r="B86" s="139" t="s">
        <v>281</v>
      </c>
      <c r="C86" s="355">
        <v>850.0</v>
      </c>
      <c r="D86" s="355" t="s">
        <v>624</v>
      </c>
      <c r="E86" s="355"/>
      <c r="F86" s="355"/>
      <c r="G86" s="355">
        <v>300.0</v>
      </c>
      <c r="H86" s="355" t="s">
        <v>625</v>
      </c>
      <c r="I86" s="355" t="s">
        <v>626</v>
      </c>
      <c r="J86" s="355">
        <v>280.0</v>
      </c>
      <c r="K86" s="355" t="s">
        <v>627</v>
      </c>
      <c r="L86" s="355">
        <v>400.0</v>
      </c>
      <c r="M86" s="27"/>
      <c r="N86" s="27"/>
      <c r="O86" s="27"/>
      <c r="P86" s="27"/>
      <c r="Q86" s="27"/>
      <c r="R86" s="27"/>
      <c r="S86" s="27"/>
      <c r="T86" s="27">
        <f t="shared" si="25"/>
        <v>1830</v>
      </c>
      <c r="U86" s="27"/>
      <c r="V86" s="44"/>
      <c r="W86" s="20"/>
      <c r="Z86" s="20"/>
    </row>
    <row r="87" ht="14.25" customHeight="1">
      <c r="A87" s="25">
        <v>9.0</v>
      </c>
      <c r="B87" s="139" t="s">
        <v>295</v>
      </c>
      <c r="C87" s="73"/>
      <c r="D87" s="27"/>
      <c r="E87" s="27"/>
      <c r="F87" s="27"/>
      <c r="G87" s="27"/>
      <c r="H87" s="27"/>
      <c r="I87" s="27"/>
      <c r="J87" s="27"/>
      <c r="K87" s="159" t="s">
        <v>629</v>
      </c>
      <c r="L87" s="159">
        <v>150.0</v>
      </c>
      <c r="M87" s="27"/>
      <c r="N87" s="27"/>
      <c r="O87" s="27"/>
      <c r="P87" s="27"/>
      <c r="Q87" s="27"/>
      <c r="R87" s="27"/>
      <c r="S87" s="27"/>
      <c r="T87" s="27">
        <f t="shared" si="25"/>
        <v>150</v>
      </c>
      <c r="U87" s="27"/>
      <c r="V87" s="44"/>
      <c r="W87" s="20"/>
      <c r="Z87" s="20"/>
    </row>
    <row r="88" ht="14.25" customHeight="1">
      <c r="A88" s="25">
        <v>10.0</v>
      </c>
      <c r="B88" s="139" t="s">
        <v>300</v>
      </c>
      <c r="C88" s="27"/>
      <c r="D88" s="27"/>
      <c r="E88" s="355"/>
      <c r="F88" s="355"/>
      <c r="G88" s="355">
        <v>470.0</v>
      </c>
      <c r="H88" s="355" t="s">
        <v>630</v>
      </c>
      <c r="I88" s="355" t="s">
        <v>631</v>
      </c>
      <c r="J88" s="355">
        <v>30.0</v>
      </c>
      <c r="K88" s="355" t="s">
        <v>632</v>
      </c>
      <c r="L88" s="355">
        <v>350.0</v>
      </c>
      <c r="M88" s="27"/>
      <c r="N88" s="27"/>
      <c r="O88" s="27"/>
      <c r="P88" s="27"/>
      <c r="Q88" s="27"/>
      <c r="R88" s="27"/>
      <c r="S88" s="27"/>
      <c r="T88" s="27">
        <f t="shared" si="25"/>
        <v>850</v>
      </c>
      <c r="U88" s="27"/>
      <c r="V88" s="12"/>
      <c r="W88" s="20"/>
      <c r="Z88" s="20"/>
    </row>
    <row r="89" ht="14.25" customHeight="1">
      <c r="A89" s="150" t="s">
        <v>122</v>
      </c>
      <c r="B89" s="5"/>
      <c r="C89" s="151">
        <f>SUM(C79:C88)</f>
        <v>2205</v>
      </c>
      <c r="D89" s="151"/>
      <c r="E89" s="151">
        <f>SUM(E79:E88)</f>
        <v>2550</v>
      </c>
      <c r="F89" s="151"/>
      <c r="G89" s="151">
        <f>SUM(G79:G88)</f>
        <v>3050</v>
      </c>
      <c r="H89" s="151"/>
      <c r="I89" s="151"/>
      <c r="J89" s="151">
        <f>SUM(J79:J88)</f>
        <v>1680</v>
      </c>
      <c r="K89" s="151"/>
      <c r="L89" s="151">
        <f t="shared" ref="L89:M89" si="26">SUM(L79:L88)</f>
        <v>1940</v>
      </c>
      <c r="M89" s="151">
        <f t="shared" si="26"/>
        <v>780</v>
      </c>
      <c r="N89" s="151"/>
      <c r="O89" s="151">
        <f>SUM(O79:O88)</f>
        <v>0</v>
      </c>
      <c r="P89" s="151"/>
      <c r="Q89" s="151"/>
      <c r="R89" s="151">
        <f>SUM(R79:R88)</f>
        <v>0</v>
      </c>
      <c r="S89" s="151"/>
      <c r="T89" s="135">
        <f>SUM(T79:T88)</f>
        <v>12205</v>
      </c>
      <c r="U89" s="135"/>
      <c r="V89" s="158">
        <f>T89*V78</f>
        <v>329535</v>
      </c>
      <c r="W89" s="20"/>
      <c r="Z89" s="20"/>
    </row>
    <row r="90" ht="14.25" customHeight="1">
      <c r="A90" s="10"/>
      <c r="B90" s="11"/>
      <c r="C90" s="86">
        <f>C89*27</f>
        <v>59535</v>
      </c>
      <c r="D90" s="371">
        <v>59535.34</v>
      </c>
      <c r="E90" s="86">
        <f>E89*27</f>
        <v>68850</v>
      </c>
      <c r="F90" s="371">
        <v>68850.22</v>
      </c>
      <c r="G90" s="86">
        <f>G89*27</f>
        <v>82350</v>
      </c>
      <c r="H90" s="371">
        <v>82350.27</v>
      </c>
      <c r="I90" s="371">
        <v>45360.3</v>
      </c>
      <c r="J90" s="86">
        <f>J89*27</f>
        <v>45360</v>
      </c>
      <c r="K90" s="371">
        <v>52380.01</v>
      </c>
      <c r="L90" s="86">
        <f>L89*27</f>
        <v>52380</v>
      </c>
      <c r="M90" s="86">
        <f>M89*27</f>
        <v>21060</v>
      </c>
      <c r="N90" s="371">
        <v>21060.09</v>
      </c>
      <c r="O90" s="86">
        <f>O89*27</f>
        <v>0</v>
      </c>
      <c r="P90" s="41"/>
      <c r="Q90" s="41"/>
      <c r="R90" s="86">
        <f>R89*27</f>
        <v>0</v>
      </c>
      <c r="S90" s="136"/>
      <c r="T90" s="24">
        <f>M90+J90+L90+O90+G90+E90+C90</f>
        <v>329535</v>
      </c>
      <c r="U90" s="24"/>
      <c r="V90" s="85"/>
      <c r="W90" s="20"/>
      <c r="Z90" s="20"/>
    </row>
    <row r="91" ht="14.25" customHeight="1"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158"/>
      <c r="S91" s="164" t="s">
        <v>314</v>
      </c>
      <c r="T91" s="47">
        <f>N90+K90+I90+H90+F90+D90</f>
        <v>329536.23</v>
      </c>
      <c r="U91" s="47"/>
      <c r="V91" s="85"/>
      <c r="W91" s="20"/>
      <c r="Z91" s="20"/>
    </row>
    <row r="92" ht="14.25" customHeight="1">
      <c r="A92" s="73"/>
      <c r="B92" s="73"/>
      <c r="C92" s="73"/>
      <c r="D92" s="73"/>
      <c r="E92" s="73"/>
      <c r="F92" s="72"/>
      <c r="W92" s="20"/>
      <c r="Z92" s="20"/>
    </row>
    <row r="93" ht="14.25" customHeight="1">
      <c r="A93" s="73"/>
      <c r="B93" s="73"/>
      <c r="C93" s="73"/>
      <c r="D93" s="73"/>
      <c r="E93" s="73"/>
      <c r="F93" s="72"/>
      <c r="W93" s="20"/>
      <c r="Z93" s="20"/>
    </row>
    <row r="94" ht="14.25" customHeight="1">
      <c r="A94" s="73"/>
      <c r="B94" s="73"/>
      <c r="C94" s="73"/>
      <c r="D94" s="73"/>
      <c r="E94" s="73"/>
      <c r="F94" s="72"/>
      <c r="W94" s="20"/>
      <c r="Z94" s="20"/>
    </row>
    <row r="95" ht="14.25" customHeight="1">
      <c r="A95" s="73"/>
      <c r="B95" s="373" t="s">
        <v>637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3"/>
      <c r="W95" s="20"/>
      <c r="Z95" s="20"/>
    </row>
    <row r="96" ht="14.25" customHeight="1">
      <c r="A96" s="73"/>
      <c r="B96" s="374">
        <v>46237.0</v>
      </c>
      <c r="C96" s="5"/>
      <c r="D96" s="374">
        <v>46238.0</v>
      </c>
      <c r="E96" s="5"/>
      <c r="F96" s="374">
        <v>46239.0</v>
      </c>
      <c r="G96" s="5"/>
      <c r="H96" s="374">
        <v>46240.0</v>
      </c>
      <c r="I96" s="5"/>
      <c r="J96" s="374">
        <v>46241.0</v>
      </c>
      <c r="K96" s="5"/>
      <c r="L96" s="374">
        <v>46242.0</v>
      </c>
      <c r="M96" s="5"/>
      <c r="N96" s="375" t="s">
        <v>597</v>
      </c>
      <c r="O96" s="5"/>
      <c r="P96" s="170"/>
      <c r="Q96" s="5"/>
      <c r="S96" s="84"/>
      <c r="W96" s="20"/>
      <c r="Z96" s="20"/>
    </row>
    <row r="97" ht="14.25" customHeight="1">
      <c r="A97" s="73"/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S97" s="44"/>
      <c r="W97" s="20"/>
      <c r="Z97" s="20"/>
    </row>
    <row r="98" ht="14.25" customHeight="1">
      <c r="A98" s="73"/>
      <c r="B98" s="178" t="s">
        <v>322</v>
      </c>
      <c r="C98" s="178" t="s">
        <v>332</v>
      </c>
      <c r="D98" s="178" t="s">
        <v>322</v>
      </c>
      <c r="E98" s="178" t="s">
        <v>332</v>
      </c>
      <c r="F98" s="178" t="s">
        <v>322</v>
      </c>
      <c r="G98" s="178" t="s">
        <v>332</v>
      </c>
      <c r="H98" s="378" t="s">
        <v>322</v>
      </c>
      <c r="I98" s="378" t="s">
        <v>332</v>
      </c>
      <c r="J98" s="178" t="s">
        <v>332</v>
      </c>
      <c r="K98" s="178" t="s">
        <v>322</v>
      </c>
      <c r="L98" s="178" t="s">
        <v>332</v>
      </c>
      <c r="M98" s="178"/>
      <c r="P98" s="178"/>
      <c r="Q98" s="178"/>
      <c r="R98" s="178"/>
      <c r="S98" s="44"/>
    </row>
    <row r="99" ht="14.25" customHeight="1">
      <c r="A99" s="73"/>
      <c r="B99" s="353">
        <v>3300.04</v>
      </c>
      <c r="C99" s="380" t="s">
        <v>545</v>
      </c>
      <c r="D99" s="353">
        <v>1000.0</v>
      </c>
      <c r="E99" s="398" t="s">
        <v>642</v>
      </c>
      <c r="F99" s="353">
        <v>300.0</v>
      </c>
      <c r="G99" s="353" t="s">
        <v>544</v>
      </c>
      <c r="H99" s="381">
        <v>2000.0</v>
      </c>
      <c r="I99" s="353" t="s">
        <v>552</v>
      </c>
      <c r="J99" s="382" t="s">
        <v>550</v>
      </c>
      <c r="K99" s="353">
        <v>1000.0</v>
      </c>
      <c r="L99" s="353" t="s">
        <v>551</v>
      </c>
      <c r="M99" s="353">
        <v>478.0</v>
      </c>
      <c r="P99" s="85"/>
      <c r="Q99" s="85"/>
      <c r="R99" s="85"/>
      <c r="S99" s="44"/>
    </row>
    <row r="100" ht="14.25" customHeight="1">
      <c r="A100" s="73"/>
      <c r="B100" s="353">
        <v>1000.0</v>
      </c>
      <c r="C100" s="380" t="s">
        <v>554</v>
      </c>
      <c r="D100" s="24"/>
      <c r="E100" s="132"/>
      <c r="F100" s="353">
        <v>1000.0</v>
      </c>
      <c r="G100" s="353" t="s">
        <v>555</v>
      </c>
      <c r="H100" s="381">
        <v>1500.0</v>
      </c>
      <c r="I100" s="226" t="s">
        <v>546</v>
      </c>
      <c r="J100" s="226"/>
      <c r="K100" s="24"/>
      <c r="L100" s="24"/>
      <c r="M100" s="24"/>
      <c r="P100" s="85"/>
      <c r="Q100" s="85"/>
      <c r="R100" s="85"/>
      <c r="S100" s="44"/>
    </row>
    <row r="101" ht="14.25" customHeight="1">
      <c r="A101" s="73"/>
      <c r="B101" s="353"/>
      <c r="C101" s="353"/>
      <c r="D101" s="24"/>
      <c r="E101" s="132"/>
      <c r="F101" s="24"/>
      <c r="G101" s="24"/>
      <c r="H101" s="381"/>
      <c r="I101" s="226"/>
      <c r="J101" s="85"/>
      <c r="K101" s="85"/>
      <c r="L101" s="85"/>
      <c r="M101" s="85"/>
      <c r="P101" s="85"/>
      <c r="Q101" s="85"/>
      <c r="R101" s="85"/>
      <c r="S101" s="44"/>
    </row>
    <row r="102" ht="14.25" customHeight="1">
      <c r="A102" s="73"/>
      <c r="B102" s="85"/>
      <c r="C102" s="85"/>
      <c r="D102" s="85"/>
      <c r="E102" s="85"/>
      <c r="F102" s="24"/>
      <c r="G102" s="24"/>
      <c r="H102" s="381"/>
      <c r="I102" s="226"/>
      <c r="J102" s="85"/>
      <c r="K102" s="85"/>
      <c r="L102" s="85"/>
      <c r="M102" s="85"/>
      <c r="P102" s="85"/>
      <c r="Q102" s="85"/>
      <c r="R102" s="85"/>
      <c r="S102" s="12"/>
    </row>
    <row r="103" ht="14.25" customHeight="1">
      <c r="A103" s="73"/>
      <c r="B103" s="191">
        <f>SUM(B99:B102)</f>
        <v>4300.04</v>
      </c>
      <c r="C103" s="193"/>
      <c r="D103" s="191">
        <f>SUM(D99:D102)</f>
        <v>1000</v>
      </c>
      <c r="E103" s="193"/>
      <c r="F103" s="191">
        <f>SUM(F99:F102)</f>
        <v>1300</v>
      </c>
      <c r="G103" s="193"/>
      <c r="H103" s="191">
        <f>SUM(H99:H102)</f>
        <v>3500</v>
      </c>
      <c r="I103" s="191"/>
      <c r="J103" s="193"/>
      <c r="K103" s="191">
        <f>SUM(K99:K102)</f>
        <v>1000</v>
      </c>
      <c r="L103" s="193"/>
      <c r="M103" s="191">
        <f>SUM(M99:M102)</f>
        <v>478</v>
      </c>
      <c r="N103" s="384">
        <f>SUM(B103:M103)</f>
        <v>11578.04</v>
      </c>
      <c r="O103" s="3"/>
      <c r="P103" s="201"/>
      <c r="Q103" s="201"/>
      <c r="R103" s="201"/>
      <c r="S103" s="158"/>
    </row>
    <row r="104" ht="14.25" customHeight="1">
      <c r="A104" s="73"/>
      <c r="B104" s="73"/>
      <c r="C104" s="73"/>
      <c r="D104" s="73"/>
      <c r="E104" s="73"/>
      <c r="F104" s="72"/>
    </row>
    <row r="105" ht="14.25" customHeight="1">
      <c r="A105" s="73"/>
      <c r="B105" s="73"/>
      <c r="C105" s="73"/>
      <c r="D105" s="73"/>
      <c r="E105" s="73"/>
      <c r="F105" s="72"/>
    </row>
    <row r="106" ht="14.25" customHeight="1">
      <c r="A106" s="73"/>
      <c r="B106" s="73"/>
      <c r="C106" s="73"/>
      <c r="D106" s="73"/>
      <c r="E106" s="73"/>
      <c r="F106" s="72"/>
      <c r="W106" s="20"/>
    </row>
    <row r="107" ht="14.25" customHeight="1">
      <c r="A107" s="73"/>
      <c r="B107" s="73"/>
      <c r="C107" s="73"/>
      <c r="D107" s="73"/>
      <c r="E107" s="73"/>
      <c r="F107" s="72"/>
      <c r="W107" s="20"/>
    </row>
    <row r="108" ht="14.25" customHeight="1">
      <c r="A108" s="73"/>
      <c r="B108" s="385" t="s">
        <v>643</v>
      </c>
      <c r="C108" s="2"/>
      <c r="D108" s="2"/>
      <c r="E108" s="2"/>
      <c r="F108" s="3"/>
    </row>
    <row r="109" ht="14.25" customHeight="1">
      <c r="A109" s="73"/>
      <c r="B109" s="167" t="s">
        <v>317</v>
      </c>
      <c r="C109" s="165"/>
      <c r="D109" s="2"/>
      <c r="E109" s="2"/>
      <c r="F109" s="3"/>
    </row>
    <row r="110" ht="42.75" customHeight="1">
      <c r="A110" s="73"/>
      <c r="B110" s="400" t="s">
        <v>645</v>
      </c>
      <c r="C110" s="161">
        <f>G59+K59+O59+S59+W59+AA59</f>
        <v>48055.79</v>
      </c>
      <c r="D110" s="132"/>
      <c r="E110" s="132"/>
      <c r="F110" s="28"/>
      <c r="G110" s="72"/>
      <c r="L110" s="73"/>
      <c r="M110" s="73"/>
      <c r="N110" s="73"/>
    </row>
    <row r="111" ht="42.75" customHeight="1">
      <c r="A111" s="73"/>
      <c r="B111" s="12"/>
      <c r="C111" s="12"/>
      <c r="D111" s="132"/>
      <c r="E111" s="132"/>
      <c r="F111" s="28"/>
      <c r="G111" s="72"/>
      <c r="H111" s="386"/>
      <c r="I111" s="387" t="s">
        <v>634</v>
      </c>
      <c r="J111" s="3"/>
      <c r="L111" s="185" t="s">
        <v>337</v>
      </c>
      <c r="M111" s="2"/>
      <c r="N111" s="2"/>
      <c r="O111" s="3"/>
    </row>
    <row r="112" ht="14.25" customHeight="1">
      <c r="A112" s="73"/>
      <c r="B112" s="174" t="s">
        <v>339</v>
      </c>
      <c r="C112" s="175"/>
      <c r="D112" s="140"/>
      <c r="E112" s="57"/>
      <c r="F112" s="28"/>
      <c r="H112" s="388"/>
      <c r="I112" s="194" t="s">
        <v>344</v>
      </c>
      <c r="J112" s="197">
        <f>C118+C119</f>
        <v>341114.27</v>
      </c>
      <c r="L112" s="132" t="s">
        <v>350</v>
      </c>
      <c r="M112" s="132"/>
      <c r="N112" s="202">
        <f>C119+C120</f>
        <v>383493.06</v>
      </c>
      <c r="O112" s="132"/>
      <c r="AB112" s="73"/>
    </row>
    <row r="113" ht="15.0" customHeight="1">
      <c r="A113" s="73"/>
      <c r="B113" s="192" t="s">
        <v>326</v>
      </c>
      <c r="C113" s="148"/>
      <c r="D113" s="148"/>
      <c r="E113" s="5"/>
      <c r="F113" s="196">
        <f>C112+C110</f>
        <v>48055.79</v>
      </c>
      <c r="H113" s="389"/>
      <c r="I113" s="390" t="s">
        <v>92</v>
      </c>
      <c r="J113" s="391">
        <v>54000.22</v>
      </c>
      <c r="L113" s="53" t="s">
        <v>354</v>
      </c>
      <c r="M113" s="53"/>
      <c r="N113" s="24" t="str">
        <f>#REF!+N112</f>
        <v>#REF!</v>
      </c>
      <c r="O113" s="85"/>
      <c r="AB113" s="73"/>
    </row>
    <row r="114" ht="15.0" customHeight="1">
      <c r="A114" s="73"/>
      <c r="B114" s="10"/>
      <c r="C114" s="156"/>
      <c r="D114" s="156"/>
      <c r="E114" s="11"/>
      <c r="F114" s="12"/>
      <c r="H114" s="389"/>
      <c r="I114" s="208" t="s">
        <v>210</v>
      </c>
      <c r="J114" s="200">
        <f>SUM(J112:J113)</f>
        <v>395114.49</v>
      </c>
      <c r="L114" s="73"/>
      <c r="M114" s="73"/>
      <c r="N114" s="73"/>
      <c r="AB114" s="73"/>
    </row>
    <row r="115" ht="14.25" customHeight="1">
      <c r="A115" s="73"/>
      <c r="B115" s="73"/>
      <c r="C115" s="73"/>
      <c r="D115" s="73"/>
      <c r="E115" s="73"/>
      <c r="F115" s="72"/>
      <c r="I115" s="12"/>
      <c r="J115" s="12"/>
      <c r="L115" s="73"/>
      <c r="M115" s="73"/>
      <c r="N115" s="73"/>
      <c r="AB115" s="73"/>
    </row>
    <row r="116" ht="14.25" customHeight="1">
      <c r="A116" s="73"/>
      <c r="B116" s="392" t="s">
        <v>646</v>
      </c>
      <c r="C116" s="2"/>
      <c r="D116" s="2"/>
      <c r="E116" s="2"/>
      <c r="F116" s="3"/>
      <c r="J116" s="20"/>
      <c r="L116" s="73"/>
      <c r="M116" s="73"/>
      <c r="N116" s="73"/>
      <c r="AB116" s="73"/>
    </row>
    <row r="117" ht="14.25" customHeight="1">
      <c r="A117" s="73"/>
      <c r="B117" s="199" t="s">
        <v>347</v>
      </c>
      <c r="C117" s="199" t="s">
        <v>322</v>
      </c>
      <c r="D117" s="195" t="s">
        <v>362</v>
      </c>
      <c r="E117" s="2"/>
      <c r="F117" s="3"/>
      <c r="J117" s="20"/>
      <c r="AB117" s="73"/>
    </row>
    <row r="118" ht="14.25" customHeight="1">
      <c r="A118" s="73"/>
      <c r="B118" s="393" t="s">
        <v>647</v>
      </c>
      <c r="C118" s="175">
        <f>N103</f>
        <v>11578.04</v>
      </c>
      <c r="D118" s="394" t="str">
        <f>TEXTJOIN(",",true,C99:C102,E99:E102,G99:G102,I99:I102,J99:J102,L99:L102)</f>
        <v>A10681,A10690,A10695,A10772,A10775,A10782,A10786,A10810,A10816</v>
      </c>
      <c r="E118" s="394" t="str">
        <f t="shared" ref="E118:E120" si="27">IF(D118="", "0 FACTURAS", (LEN(D118) - LEN(SUBSTITUTE(D118, ",", "")) + 1) &amp; " FACTURAS")</f>
        <v>9 FACTURAS</v>
      </c>
      <c r="F118" s="28"/>
    </row>
    <row r="119" ht="117.0" customHeight="1">
      <c r="A119" s="73"/>
      <c r="B119" s="395" t="s">
        <v>639</v>
      </c>
      <c r="C119" s="358">
        <f>T91</f>
        <v>329536.23</v>
      </c>
      <c r="D119" s="396" t="str">
        <f>TEXTJOIN(",",true,D79:D88,F79:F88,H79:H88,I79:I88,K79:K88,N79:N88)</f>
        <v>A10682,A10684,A10683,A10679,A10685,A10692,A10694,A10699,A10693,A10770,A10773,A10778,A10771,A10779,A10774,A10783,A10791,A10785,A10792,A10784,A10793,A10803,A10804,A10792,A10801,A10802,A10811,A10814,A10815</v>
      </c>
      <c r="E119" s="394" t="str">
        <f t="shared" si="27"/>
        <v>29 FACTURAS</v>
      </c>
      <c r="F119" s="28"/>
    </row>
    <row r="120" ht="14.25" customHeight="1">
      <c r="A120" s="73"/>
      <c r="B120" s="397" t="s">
        <v>327</v>
      </c>
      <c r="C120" s="175">
        <f>R73</f>
        <v>53956.83</v>
      </c>
      <c r="D120" s="376" t="str">
        <f>TEXTJOIN(",",TRUE,G65:G72,I65:I72,K65:K72,M65:M72,O65:O72)</f>
        <v>A10680,A23783104</v>
      </c>
      <c r="E120" s="394" t="str">
        <f t="shared" si="27"/>
        <v>2 FACTURAS</v>
      </c>
      <c r="F120" s="28"/>
      <c r="L120" s="217"/>
      <c r="M120" s="217"/>
      <c r="AB120" s="215"/>
    </row>
    <row r="121" ht="14.25" customHeight="1">
      <c r="A121" s="73"/>
      <c r="B121" s="232" t="s">
        <v>326</v>
      </c>
      <c r="C121" s="190">
        <f>C118+C119+C120</f>
        <v>395071.1</v>
      </c>
      <c r="D121" s="209"/>
      <c r="E121" s="3"/>
      <c r="F121" s="28"/>
      <c r="L121" s="217"/>
      <c r="M121" s="217"/>
      <c r="AB121" s="215"/>
    </row>
    <row r="122" ht="14.25" customHeight="1">
      <c r="A122" s="73"/>
      <c r="B122" s="73"/>
      <c r="C122" s="73"/>
      <c r="D122" s="73"/>
      <c r="E122" s="73"/>
      <c r="F122" s="72"/>
    </row>
    <row r="123" ht="14.25" customHeight="1">
      <c r="A123" s="73"/>
      <c r="B123" s="73"/>
      <c r="C123" s="73"/>
      <c r="D123" s="73"/>
      <c r="E123" s="73"/>
      <c r="F123" s="72"/>
    </row>
    <row r="124" ht="14.25" customHeight="1">
      <c r="A124" s="73"/>
      <c r="B124" s="73"/>
      <c r="C124" s="73"/>
      <c r="D124" s="73"/>
      <c r="E124" s="73"/>
      <c r="F124" s="72"/>
    </row>
    <row r="125" ht="14.25" customHeight="1">
      <c r="A125" s="73"/>
      <c r="B125" s="401" t="s">
        <v>648</v>
      </c>
      <c r="C125" s="78"/>
      <c r="D125" s="78"/>
      <c r="E125" s="78"/>
      <c r="F125" s="78"/>
      <c r="G125" s="78"/>
      <c r="H125" s="78"/>
      <c r="I125" s="79"/>
    </row>
    <row r="126" ht="14.25" customHeight="1">
      <c r="A126" s="73"/>
      <c r="B126" s="251" t="s">
        <v>402</v>
      </c>
      <c r="C126" s="251" t="s">
        <v>3</v>
      </c>
      <c r="D126" s="251" t="s">
        <v>403</v>
      </c>
      <c r="E126" s="252" t="s">
        <v>404</v>
      </c>
      <c r="F126" s="251" t="s">
        <v>405</v>
      </c>
      <c r="G126" s="251" t="s">
        <v>8</v>
      </c>
      <c r="H126" s="251"/>
      <c r="I126" s="251" t="s">
        <v>406</v>
      </c>
    </row>
    <row r="127" ht="14.25" customHeight="1">
      <c r="A127" s="73"/>
      <c r="B127" s="359" t="str">
        <f>IFERROR(__xludf.DUMMYFUNCTION("IFERROR(FILTER({B3:F43, AH3:AH43, AG3:AG43; B50:F101, AH50:AH101, AG50:AG101}, {AG3:AG43; AG50:AG101} &lt; 0), ""Sin excedidos"")"),"ING. ANTONIO IBAÑEZ")</f>
        <v>ING. ANTONIO IBAÑEZ</v>
      </c>
      <c r="C127" s="140" t="str">
        <f>IFERROR(__xludf.DUMMYFUNCTION("""COMPUTED_VALUE"""),"MAQUINARIA ")</f>
        <v>MAQUINARIA </v>
      </c>
      <c r="D127" s="140" t="str">
        <f>IFERROR(__xludf.DUMMYFUNCTION("""COMPUTED_VALUE"""),"EQUIPO MENOR ")</f>
        <v>EQUIPO MENOR </v>
      </c>
      <c r="E127" s="140"/>
      <c r="F127" s="54">
        <f>IFERROR(__xludf.DUMMYFUNCTION("""COMPUTED_VALUE"""),500.0)</f>
        <v>500</v>
      </c>
      <c r="G127" s="256">
        <f>IFERROR(__xludf.DUMMYFUNCTION("""COMPUTED_VALUE"""),686.7)</f>
        <v>686.7</v>
      </c>
      <c r="H127" s="257">
        <f>IFERROR(__xludf.DUMMYFUNCTION("""COMPUTED_VALUE"""),-186.70000000000005)</f>
        <v>-186.7</v>
      </c>
    </row>
    <row r="128" ht="14.25" customHeight="1">
      <c r="A128" s="73"/>
      <c r="B128" s="359" t="str">
        <f>IFERROR(__xludf.DUMMYFUNCTION("""COMPUTED_VALUE"""),"JUAN CARLOS NAZAR CHAVEZ")</f>
        <v>JUAN CARLOS NAZAR CHAVEZ</v>
      </c>
      <c r="C128" s="140" t="str">
        <f>IFERROR(__xludf.DUMMYFUNCTION("""COMPUTED_VALUE"""),"MAQUINARIA ")</f>
        <v>MAQUINARIA </v>
      </c>
      <c r="D128" s="140" t="str">
        <f>IFERROR(__xludf.DUMMYFUNCTION("""COMPUTED_VALUE"""),"DODGE RAM 700")</f>
        <v>DODGE RAM 700</v>
      </c>
      <c r="E128" s="140" t="str">
        <f>IFERROR(__xludf.DUMMYFUNCTION("""COMPUTED_VALUE"""),"PCW9238")</f>
        <v>PCW9238</v>
      </c>
      <c r="F128" s="54">
        <f>IFERROR(__xludf.DUMMYFUNCTION("""COMPUTED_VALUE"""),1500.0)</f>
        <v>1500</v>
      </c>
      <c r="G128" s="256">
        <f>IFERROR(__xludf.DUMMYFUNCTION("""COMPUTED_VALUE"""),2499.94)</f>
        <v>2499.94</v>
      </c>
      <c r="H128" s="257">
        <f>IFERROR(__xludf.DUMMYFUNCTION("""COMPUTED_VALUE"""),-999.94)</f>
        <v>-999.94</v>
      </c>
      <c r="I128" s="399"/>
    </row>
    <row r="129" ht="14.25" customHeight="1">
      <c r="A129" s="73"/>
      <c r="B129" s="359" t="str">
        <f>IFERROR(__xludf.DUMMYFUNCTION("""COMPUTED_VALUE"""),"DIEGO CARREOLA")</f>
        <v>DIEGO CARREOLA</v>
      </c>
      <c r="C129" s="140" t="str">
        <f>IFERROR(__xludf.DUMMYFUNCTION("""COMPUTED_VALUE"""),"BACHEO TOLUCA Y C. VICENTE LOMBARDO")</f>
        <v>BACHEO TOLUCA Y C. VICENTE LOMBARDO</v>
      </c>
      <c r="D129" s="140" t="str">
        <f>IFERROR(__xludf.DUMMYFUNCTION("""COMPUTED_VALUE""")," MITSUBISHI L1200")</f>
        <v> MITSUBISHI L1200</v>
      </c>
      <c r="E129" s="140" t="str">
        <f>IFERROR(__xludf.DUMMYFUNCTION("""COMPUTED_VALUE"""),"NYZ829C")</f>
        <v>NYZ829C</v>
      </c>
      <c r="F129" s="54">
        <f>IFERROR(__xludf.DUMMYFUNCTION("""COMPUTED_VALUE"""),1500.0)</f>
        <v>1500</v>
      </c>
      <c r="G129" s="256">
        <f>IFERROR(__xludf.DUMMYFUNCTION("""COMPUTED_VALUE"""),2157.33)</f>
        <v>2157.33</v>
      </c>
      <c r="H129" s="257">
        <f>IFERROR(__xludf.DUMMYFUNCTION("""COMPUTED_VALUE"""),-657.3299999999999)</f>
        <v>-657.33</v>
      </c>
      <c r="I129" s="257"/>
    </row>
    <row r="130" ht="15.0" customHeight="1">
      <c r="A130" s="73"/>
      <c r="B130" s="360" t="str">
        <f>IFERROR(__xludf.DUMMYFUNCTION("""COMPUTED_VALUE"""),"TOMAS ARANDA PROSPERO")</f>
        <v>TOMAS ARANDA PROSPERO</v>
      </c>
      <c r="C130" s="27" t="str">
        <f>IFERROR(__xludf.DUMMYFUNCTION("""COMPUTED_VALUE"""),"BACHEO TOLUCA Y C. VICENTE LOMBARDO")</f>
        <v>BACHEO TOLUCA Y C. VICENTE LOMBARDO</v>
      </c>
      <c r="D130" s="27" t="str">
        <f>IFERROR(__xludf.DUMMYFUNCTION("""COMPUTED_VALUE"""),"DODGE RAM 4000 (3/2)")</f>
        <v>DODGE RAM 4000 (3/2)</v>
      </c>
      <c r="E130" s="27" t="str">
        <f>IFERROR(__xludf.DUMMYFUNCTION("""COMPUTED_VALUE"""),"LF05470")</f>
        <v>LF05470</v>
      </c>
      <c r="F130" s="28">
        <f>IFERROR(__xludf.DUMMYFUNCTION("""COMPUTED_VALUE"""),1500.0)</f>
        <v>1500</v>
      </c>
      <c r="G130" s="256">
        <f>IFERROR(__xludf.DUMMYFUNCTION("""COMPUTED_VALUE"""),3000.0)</f>
        <v>3000</v>
      </c>
      <c r="H130" s="264">
        <f>IFERROR(__xludf.DUMMYFUNCTION("""COMPUTED_VALUE"""),-1500.0)</f>
        <v>-1500</v>
      </c>
      <c r="I130" s="264"/>
    </row>
    <row r="131" ht="14.25" customHeight="1">
      <c r="A131" s="73"/>
      <c r="B131" s="359" t="str">
        <f>IFERROR(__xludf.DUMMYFUNCTION("""COMPUTED_VALUE"""),"JAVIER PEREZ DÍAZ")</f>
        <v>JAVIER PEREZ DÍAZ</v>
      </c>
      <c r="C131" s="140" t="str">
        <f>IFERROR(__xludf.DUMMYFUNCTION("""COMPUTED_VALUE"""),"OBRA MÉXICO TOLUCA")</f>
        <v>OBRA MÉXICO TOLUCA</v>
      </c>
      <c r="D131" s="140" t="str">
        <f>IFERROR(__xludf.DUMMYFUNCTION("""COMPUTED_VALUE"""),"MITSUBISHI 1200")</f>
        <v>MITSUBISHI 1200</v>
      </c>
      <c r="E131" s="140" t="str">
        <f>IFERROR(__xludf.DUMMYFUNCTION("""COMPUTED_VALUE"""),"MHL758A")</f>
        <v>MHL758A</v>
      </c>
      <c r="F131" s="54">
        <f>IFERROR(__xludf.DUMMYFUNCTION("""COMPUTED_VALUE"""),1500.0)</f>
        <v>1500</v>
      </c>
      <c r="G131" s="256">
        <f>IFERROR(__xludf.DUMMYFUNCTION("""COMPUTED_VALUE"""),2499.55)</f>
        <v>2499.55</v>
      </c>
      <c r="H131" s="257">
        <f>IFERROR(__xludf.DUMMYFUNCTION("""COMPUTED_VALUE"""),-999.5500000000002)</f>
        <v>-999.55</v>
      </c>
      <c r="I131" s="257"/>
    </row>
    <row r="132" ht="14.25" customHeight="1">
      <c r="A132" s="73"/>
      <c r="B132" s="359" t="str">
        <f>IFERROR(__xludf.DUMMYFUNCTION("""COMPUTED_VALUE"""),"JAVIER PEREZ DÍAZ")</f>
        <v>JAVIER PEREZ DÍAZ</v>
      </c>
      <c r="C132" s="140" t="str">
        <f>IFERROR(__xludf.DUMMYFUNCTION("""COMPUTED_VALUE"""),"OBRA MÉXICO TOLUCA")</f>
        <v>OBRA MÉXICO TOLUCA</v>
      </c>
      <c r="D132" s="140"/>
      <c r="E132" s="140" t="str">
        <f>IFERROR(__xludf.DUMMYFUNCTION("""COMPUTED_VALUE"""),"MHL755A")</f>
        <v>MHL755A</v>
      </c>
      <c r="F132" s="54">
        <f>IFERROR(__xludf.DUMMYFUNCTION("""COMPUTED_VALUE"""),2500.0)</f>
        <v>2500</v>
      </c>
      <c r="G132" s="256">
        <f>IFERROR(__xludf.DUMMYFUNCTION("""COMPUTED_VALUE"""),2560.4700000000003)</f>
        <v>2560.47</v>
      </c>
      <c r="H132" s="257">
        <f>IFERROR(__xludf.DUMMYFUNCTION("""COMPUTED_VALUE"""),-60.470000000000255)</f>
        <v>-60.47</v>
      </c>
      <c r="I132" s="257"/>
    </row>
    <row r="133" ht="14.25" customHeight="1">
      <c r="A133" s="73"/>
      <c r="B133" s="359" t="str">
        <f>IFERROR(__xludf.DUMMYFUNCTION("""COMPUTED_VALUE"""),"CRISTIAN REYES GAMORA")</f>
        <v>CRISTIAN REYES GAMORA</v>
      </c>
      <c r="C133" s="140" t="str">
        <f>IFERROR(__xludf.DUMMYFUNCTION("""COMPUTED_VALUE"""),"OBRA MÉXICO TOLUCA")</f>
        <v>OBRA MÉXICO TOLUCA</v>
      </c>
      <c r="D133" s="140" t="str">
        <f>IFERROR(__xludf.DUMMYFUNCTION("""COMPUTED_VALUE"""),"DODGE RAM 4000 (3/2)")</f>
        <v>DODGE RAM 4000 (3/2)</v>
      </c>
      <c r="E133" s="140" t="str">
        <f>IFERROR(__xludf.DUMMYFUNCTION("""COMPUTED_VALUE"""),"LH49730")</f>
        <v>LH49730</v>
      </c>
      <c r="F133" s="54">
        <f>IFERROR(__xludf.DUMMYFUNCTION("""COMPUTED_VALUE"""),4000.0)</f>
        <v>4000</v>
      </c>
      <c r="G133" s="256">
        <f>IFERROR(__xludf.DUMMYFUNCTION("""COMPUTED_VALUE"""),4800.04)</f>
        <v>4800.04</v>
      </c>
      <c r="H133" s="257">
        <f>IFERROR(__xludf.DUMMYFUNCTION("""COMPUTED_VALUE"""),-800.04)</f>
        <v>-800.04</v>
      </c>
      <c r="I133" s="257"/>
    </row>
    <row r="134" ht="14.25" customHeight="1">
      <c r="A134" s="73"/>
      <c r="B134" s="359" t="str">
        <f>IFERROR(__xludf.DUMMYFUNCTION("""COMPUTED_VALUE"""),"CARMELO ALVAREZ ANICETO")</f>
        <v>CARMELO ALVAREZ ANICETO</v>
      </c>
      <c r="C134" s="140" t="str">
        <f>IFERROR(__xludf.DUMMYFUNCTION("""COMPUTED_VALUE"""),"LERMA TENANGO ")</f>
        <v>LERMA TENANGO </v>
      </c>
      <c r="D134" s="140" t="str">
        <f>IFERROR(__xludf.DUMMYFUNCTION("""COMPUTED_VALUE"""),"DODGE RAM 4000 (3/2)")</f>
        <v>DODGE RAM 4000 (3/2)</v>
      </c>
      <c r="E134" s="140" t="str">
        <f>IFERROR(__xludf.DUMMYFUNCTION("""COMPUTED_VALUE"""),"LH49746")</f>
        <v>LH49746</v>
      </c>
      <c r="F134" s="54">
        <f>IFERROR(__xludf.DUMMYFUNCTION("""COMPUTED_VALUE"""),3000.0)</f>
        <v>3000</v>
      </c>
      <c r="G134" s="256">
        <f>IFERROR(__xludf.DUMMYFUNCTION("""COMPUTED_VALUE"""),4000.0)</f>
        <v>4000</v>
      </c>
      <c r="H134" s="257">
        <f>IFERROR(__xludf.DUMMYFUNCTION("""COMPUTED_VALUE"""),-1000.0)</f>
        <v>-1000</v>
      </c>
      <c r="I134" s="257"/>
    </row>
    <row r="135" ht="14.25" customHeight="1">
      <c r="A135" s="73"/>
      <c r="B135" s="359" t="str">
        <f>IFERROR(__xludf.DUMMYFUNCTION("""COMPUTED_VALUE"""),"CLEMENTE SANABRIA")</f>
        <v>CLEMENTE SANABRIA</v>
      </c>
      <c r="C135" s="140" t="str">
        <f>IFERROR(__xludf.DUMMYFUNCTION("""COMPUTED_VALUE"""),"TRANSPORTES FLOTILLA ")</f>
        <v>TRANSPORTES FLOTILLA </v>
      </c>
      <c r="D135" s="140" t="str">
        <f>IFERROR(__xludf.DUMMYFUNCTION("""COMPUTED_VALUE"""),"RAM 1200")</f>
        <v>RAM 1200</v>
      </c>
      <c r="E135" s="140" t="str">
        <f>IFERROR(__xludf.DUMMYFUNCTION("""COMPUTED_VALUE"""),"LHB184D")</f>
        <v>LHB184D</v>
      </c>
      <c r="F135" s="54">
        <f>IFERROR(__xludf.DUMMYFUNCTION("""COMPUTED_VALUE"""),2500.0)</f>
        <v>2500</v>
      </c>
      <c r="G135" s="256">
        <f>IFERROR(__xludf.DUMMYFUNCTION("""COMPUTED_VALUE"""),4231.3099999999995)</f>
        <v>4231.31</v>
      </c>
      <c r="H135" s="257">
        <f>IFERROR(__xludf.DUMMYFUNCTION("""COMPUTED_VALUE"""),-1731.3099999999995)</f>
        <v>-1731.31</v>
      </c>
      <c r="I135" s="257"/>
    </row>
    <row r="136" ht="14.25" customHeight="1">
      <c r="A136" s="73"/>
      <c r="B136" s="359" t="str">
        <f>IFERROR(__xludf.DUMMYFUNCTION("""COMPUTED_VALUE"""),"JOSÉ CABELLO /JACK")</f>
        <v>JOSÉ CABELLO /JACK</v>
      </c>
      <c r="C136" s="140" t="str">
        <f>IFERROR(__xludf.DUMMYFUNCTION("""COMPUTED_VALUE"""),"ESTIMACIONES /PLANTA PEGASO")</f>
        <v>ESTIMACIONES /PLANTA PEGASO</v>
      </c>
      <c r="D136" s="140"/>
      <c r="E136" s="140" t="str">
        <f>IFERROR(__xludf.DUMMYFUNCTION("""COMPUTED_VALUE"""),"LHB176D")</f>
        <v>LHB176D</v>
      </c>
      <c r="F136" s="54">
        <f>IFERROR(__xludf.DUMMYFUNCTION("""COMPUTED_VALUE"""),1500.0)</f>
        <v>1500</v>
      </c>
      <c r="G136" s="256">
        <f>IFERROR(__xludf.DUMMYFUNCTION("""COMPUTED_VALUE"""),1791.83)</f>
        <v>1791.83</v>
      </c>
      <c r="H136" s="257">
        <f>IFERROR(__xludf.DUMMYFUNCTION("""COMPUTED_VALUE"""),-291.8299999999999)</f>
        <v>-291.83</v>
      </c>
      <c r="I136" s="257"/>
    </row>
    <row r="137" ht="14.25" customHeight="1">
      <c r="A137" s="73"/>
      <c r="B137" s="359" t="str">
        <f>IFERROR(__xludf.DUMMYFUNCTION("""COMPUTED_VALUE"""),"CRISTOBAL SILVA")</f>
        <v>CRISTOBAL SILVA</v>
      </c>
      <c r="C137" s="140"/>
      <c r="D137" s="140" t="str">
        <f>IFERROR(__xludf.DUMMYFUNCTION("""COMPUTED_VALUE"""),"RAM 1200")</f>
        <v>RAM 1200</v>
      </c>
      <c r="E137" s="140" t="str">
        <f>IFERROR(__xludf.DUMMYFUNCTION("""COMPUTED_VALUE"""),"LKC794D")</f>
        <v>LKC794D</v>
      </c>
      <c r="F137" s="54">
        <f>IFERROR(__xludf.DUMMYFUNCTION("""COMPUTED_VALUE"""),1500.0)</f>
        <v>1500</v>
      </c>
      <c r="G137" s="256">
        <f>IFERROR(__xludf.DUMMYFUNCTION("""COMPUTED_VALUE"""),1782.14)</f>
        <v>1782.14</v>
      </c>
      <c r="H137" s="257">
        <f>IFERROR(__xludf.DUMMYFUNCTION("""COMPUTED_VALUE"""),-282.1400000000001)</f>
        <v>-282.14</v>
      </c>
      <c r="I137" s="257"/>
    </row>
    <row r="138" ht="14.25" customHeight="1">
      <c r="A138" s="73"/>
      <c r="B138" s="359" t="str">
        <f>IFERROR(__xludf.DUMMYFUNCTION("""COMPUTED_VALUE"""),"CARLOS REYES TRUJANO")</f>
        <v>CARLOS REYES TRUJANO</v>
      </c>
      <c r="C138" s="268" t="str">
        <f>IFERROR(__xludf.DUMMYFUNCTION("""COMPUTED_VALUE"""),"MINA TABERNILLAS")</f>
        <v>MINA TABERNILLAS</v>
      </c>
      <c r="D138" s="140" t="str">
        <f>IFERROR(__xludf.DUMMYFUNCTION("""COMPUTED_VALUE"""),"TOYOTA TACOMA")</f>
        <v>TOYOTA TACOMA</v>
      </c>
      <c r="E138" s="140" t="str">
        <f>IFERROR(__xludf.DUMMYFUNCTION("""COMPUTED_VALUE"""),"33K849")</f>
        <v>33K849</v>
      </c>
      <c r="F138" s="54">
        <f>IFERROR(__xludf.DUMMYFUNCTION("""COMPUTED_VALUE"""),2500.0)</f>
        <v>2500</v>
      </c>
      <c r="G138" s="256">
        <f>IFERROR(__xludf.DUMMYFUNCTION("""COMPUTED_VALUE"""),3600.58)</f>
        <v>3600.58</v>
      </c>
      <c r="H138" s="257">
        <f>IFERROR(__xludf.DUMMYFUNCTION("""COMPUTED_VALUE"""),-1100.58)</f>
        <v>-1100.58</v>
      </c>
      <c r="I138" s="257"/>
    </row>
    <row r="139" ht="14.25" hidden="1" customHeight="1">
      <c r="A139" s="73"/>
      <c r="B139" s="359"/>
      <c r="C139" s="268"/>
      <c r="D139" s="140"/>
      <c r="E139" s="140"/>
      <c r="F139" s="54">
        <f>IFERROR(__xludf.DUMMYFUNCTION("""COMPUTED_VALUE"""),11800.0)</f>
        <v>11800</v>
      </c>
      <c r="G139" s="256">
        <f>IFERROR(__xludf.DUMMYFUNCTION("""COMPUTED_VALUE"""),11739.1)</f>
        <v>11739.1</v>
      </c>
      <c r="H139" s="257">
        <f>IFERROR(__xludf.DUMMYFUNCTION("""COMPUTED_VALUE"""),-439.0999999999998)</f>
        <v>-439.1</v>
      </c>
      <c r="I139" s="257"/>
    </row>
    <row r="140" ht="14.25" hidden="1" customHeight="1">
      <c r="A140" s="73"/>
      <c r="B140" s="359"/>
      <c r="C140" s="140"/>
      <c r="D140" s="140"/>
      <c r="E140" s="140"/>
      <c r="F140" s="54"/>
      <c r="G140" s="256"/>
      <c r="H140" s="257"/>
      <c r="I140" s="257"/>
    </row>
    <row r="141" ht="14.25" hidden="1" customHeight="1">
      <c r="A141" s="73"/>
      <c r="B141" s="359"/>
      <c r="C141" s="140"/>
      <c r="D141" s="140"/>
      <c r="E141" s="140"/>
      <c r="F141" s="54"/>
      <c r="G141" s="256"/>
      <c r="H141" s="257"/>
      <c r="I141" s="257"/>
    </row>
    <row r="142" ht="14.25" hidden="1" customHeight="1">
      <c r="A142" s="73"/>
      <c r="B142" s="359"/>
      <c r="C142" s="140"/>
      <c r="D142" s="140"/>
      <c r="E142" s="140"/>
      <c r="F142" s="54"/>
      <c r="G142" s="256"/>
      <c r="H142" s="257"/>
      <c r="I142" s="257"/>
    </row>
    <row r="143" ht="14.25" hidden="1" customHeight="1">
      <c r="A143" s="73"/>
      <c r="B143" s="359"/>
      <c r="C143" s="140"/>
      <c r="D143" s="140"/>
      <c r="E143" s="140"/>
      <c r="F143" s="54"/>
      <c r="G143" s="256"/>
      <c r="H143" s="257"/>
      <c r="I143" s="257"/>
    </row>
    <row r="144" ht="14.25" customHeight="1">
      <c r="A144" s="73"/>
      <c r="B144" s="272" t="s">
        <v>210</v>
      </c>
      <c r="C144" s="2"/>
      <c r="D144" s="2"/>
      <c r="E144" s="2"/>
      <c r="F144" s="2"/>
      <c r="G144" s="3"/>
      <c r="H144" s="274">
        <f>SUM(H127:H140)</f>
        <v>-10048.99</v>
      </c>
      <c r="I144" s="274">
        <f>SUM(I128:I143)</f>
        <v>0</v>
      </c>
    </row>
    <row r="145" ht="14.25" customHeight="1">
      <c r="A145" s="73"/>
      <c r="B145" s="275"/>
      <c r="C145" s="73"/>
      <c r="D145" s="73"/>
      <c r="E145" s="73"/>
      <c r="F145" s="72"/>
    </row>
    <row r="146" ht="14.25" customHeight="1">
      <c r="A146" s="73"/>
      <c r="B146" s="275"/>
      <c r="C146" s="73"/>
    </row>
    <row r="147" ht="14.25" customHeight="1">
      <c r="A147" s="73"/>
      <c r="B147" s="387" t="s">
        <v>649</v>
      </c>
      <c r="C147" s="3"/>
      <c r="E147" s="387" t="s">
        <v>650</v>
      </c>
      <c r="F147" s="3"/>
    </row>
    <row r="148" ht="14.25" customHeight="1">
      <c r="A148" s="73"/>
      <c r="B148" s="194" t="s">
        <v>9</v>
      </c>
      <c r="C148" s="197">
        <f>C110</f>
        <v>48055.79</v>
      </c>
      <c r="E148" s="402" t="s">
        <v>651</v>
      </c>
      <c r="F148" s="403">
        <f>C120</f>
        <v>53956.83</v>
      </c>
    </row>
    <row r="149" ht="14.25" customHeight="1">
      <c r="A149" s="73"/>
      <c r="B149" s="194" t="s">
        <v>344</v>
      </c>
      <c r="C149" s="197">
        <f>C119+C118</f>
        <v>341114.27</v>
      </c>
      <c r="E149" s="12"/>
      <c r="F149" s="12"/>
    </row>
    <row r="150" ht="14.25" customHeight="1">
      <c r="A150" s="73"/>
      <c r="B150" s="208" t="s">
        <v>210</v>
      </c>
      <c r="C150" s="200">
        <f>SUM(C148:C149)</f>
        <v>389170.06</v>
      </c>
      <c r="E150" s="208" t="s">
        <v>210</v>
      </c>
      <c r="F150" s="200">
        <f>SUM(F148:F149)</f>
        <v>53956.83</v>
      </c>
    </row>
    <row r="151" ht="14.25" customHeight="1">
      <c r="A151" s="73"/>
      <c r="B151" s="12"/>
      <c r="C151" s="12"/>
      <c r="E151" s="12"/>
      <c r="F151" s="12"/>
    </row>
    <row r="152" ht="14.25" customHeight="1">
      <c r="A152" s="73"/>
      <c r="B152" s="73"/>
      <c r="C152" s="73"/>
      <c r="F152" s="20"/>
      <c r="L152" s="34">
        <f>SUM(L147:L151)</f>
        <v>0</v>
      </c>
    </row>
    <row r="153" ht="14.25" customHeight="1">
      <c r="A153" s="73"/>
      <c r="B153" s="404" t="s">
        <v>653</v>
      </c>
      <c r="C153" s="148"/>
      <c r="D153" s="5"/>
      <c r="F153" s="20"/>
    </row>
    <row r="154" ht="14.25" customHeight="1">
      <c r="A154" s="73"/>
      <c r="B154" s="133"/>
      <c r="D154" s="269"/>
    </row>
    <row r="155" ht="14.25" customHeight="1">
      <c r="A155" s="73"/>
      <c r="B155" s="10"/>
      <c r="C155" s="156"/>
      <c r="D155" s="11"/>
      <c r="E155" s="73"/>
      <c r="F155" s="72"/>
    </row>
    <row r="156" ht="14.25" customHeight="1">
      <c r="A156" s="73"/>
      <c r="B156" s="73"/>
      <c r="C156" s="73"/>
      <c r="D156" s="73"/>
      <c r="E156" s="73"/>
      <c r="F156" s="72"/>
    </row>
    <row r="157" ht="14.25" customHeight="1">
      <c r="A157" s="73"/>
      <c r="B157" s="73"/>
      <c r="C157" s="73"/>
      <c r="D157" s="73"/>
      <c r="E157" s="73"/>
      <c r="F157" s="72"/>
    </row>
    <row r="158" ht="14.25" customHeight="1">
      <c r="A158" s="73"/>
      <c r="B158" s="73"/>
      <c r="C158" s="73"/>
      <c r="D158" s="73"/>
      <c r="E158" s="73"/>
      <c r="F158" s="72"/>
    </row>
    <row r="159" ht="14.25" customHeight="1">
      <c r="A159" s="73"/>
      <c r="B159" s="73"/>
      <c r="C159" s="73"/>
      <c r="D159" s="73"/>
      <c r="E159" s="73"/>
      <c r="F159" s="72"/>
    </row>
    <row r="160" ht="14.25" customHeight="1">
      <c r="A160" s="73"/>
      <c r="B160" s="73"/>
      <c r="C160" s="73"/>
      <c r="D160" s="73"/>
      <c r="E160" s="73"/>
      <c r="F160" s="72"/>
    </row>
    <row r="161" ht="14.25" customHeight="1">
      <c r="A161" s="73"/>
      <c r="B161" s="73"/>
      <c r="C161" s="73"/>
      <c r="D161" s="73"/>
      <c r="E161" s="73"/>
      <c r="F161" s="72"/>
    </row>
    <row r="162" ht="14.25" customHeight="1">
      <c r="A162" s="73"/>
      <c r="B162" s="73"/>
      <c r="C162" s="73"/>
      <c r="D162" s="73"/>
      <c r="E162" s="73"/>
      <c r="F162" s="72"/>
    </row>
    <row r="163" ht="14.25" customHeight="1">
      <c r="A163" s="73"/>
      <c r="B163" s="73"/>
      <c r="C163" s="73"/>
      <c r="D163" s="73"/>
      <c r="E163" s="73"/>
      <c r="F163" s="72"/>
    </row>
    <row r="164" ht="14.25" customHeight="1">
      <c r="A164" s="73"/>
      <c r="B164" s="73"/>
      <c r="C164" s="73"/>
      <c r="D164" s="73"/>
      <c r="E164" s="73"/>
      <c r="F164" s="72"/>
    </row>
    <row r="165" ht="14.25" customHeight="1">
      <c r="A165" s="73"/>
      <c r="B165" s="73"/>
      <c r="C165" s="73"/>
      <c r="D165" s="73"/>
      <c r="E165" s="73"/>
      <c r="F165" s="72"/>
    </row>
    <row r="166" ht="14.25" customHeight="1">
      <c r="A166" s="73"/>
      <c r="B166" s="73"/>
      <c r="C166" s="73"/>
      <c r="D166" s="73"/>
      <c r="E166" s="73"/>
      <c r="F166" s="72"/>
    </row>
    <row r="167" ht="14.25" customHeight="1">
      <c r="A167" s="73"/>
      <c r="B167" s="73"/>
      <c r="C167" s="73"/>
      <c r="D167" s="73"/>
      <c r="E167" s="73"/>
      <c r="F167" s="72"/>
    </row>
    <row r="168" ht="14.25" customHeight="1">
      <c r="A168" s="73"/>
      <c r="B168" s="73"/>
      <c r="C168" s="73"/>
      <c r="D168" s="73"/>
      <c r="E168" s="73"/>
      <c r="F168" s="72"/>
    </row>
    <row r="169" ht="14.25" customHeight="1">
      <c r="A169" s="73"/>
      <c r="B169" s="321" t="s">
        <v>547</v>
      </c>
      <c r="C169" s="322"/>
      <c r="D169" s="322"/>
      <c r="E169" s="322"/>
      <c r="F169" s="322"/>
      <c r="G169" s="323"/>
    </row>
    <row r="170" ht="14.25" customHeight="1">
      <c r="A170" s="73"/>
      <c r="B170" s="324"/>
      <c r="C170" s="325"/>
      <c r="D170" s="325"/>
      <c r="E170" s="325"/>
      <c r="F170" s="325"/>
      <c r="G170" s="326"/>
    </row>
    <row r="171" ht="14.25" customHeight="1">
      <c r="A171" s="73"/>
      <c r="B171" s="327" t="s">
        <v>479</v>
      </c>
      <c r="C171" s="78"/>
      <c r="D171" s="78"/>
      <c r="E171" s="78"/>
      <c r="F171" s="78"/>
      <c r="G171" s="79"/>
    </row>
    <row r="172" ht="14.25" customHeight="1">
      <c r="A172" s="73"/>
      <c r="B172" s="4" t="s">
        <v>2</v>
      </c>
      <c r="C172" s="5"/>
      <c r="D172" s="6" t="s">
        <v>3</v>
      </c>
      <c r="E172" s="6" t="s">
        <v>4</v>
      </c>
      <c r="F172" s="6" t="s">
        <v>5</v>
      </c>
      <c r="G172" s="328" t="s">
        <v>6</v>
      </c>
    </row>
    <row r="173" ht="14.25" customHeight="1">
      <c r="A173" s="73"/>
      <c r="B173" s="10"/>
      <c r="C173" s="11"/>
      <c r="D173" s="12"/>
      <c r="E173" s="12"/>
      <c r="F173" s="12"/>
      <c r="G173" s="88"/>
    </row>
    <row r="174" ht="14.25" customHeight="1">
      <c r="A174" s="73"/>
      <c r="B174" s="329">
        <v>1.0</v>
      </c>
      <c r="C174" s="15" t="s">
        <v>13</v>
      </c>
      <c r="D174" s="15" t="s">
        <v>14</v>
      </c>
      <c r="E174" s="16" t="s">
        <v>15</v>
      </c>
      <c r="F174" s="16" t="s">
        <v>16</v>
      </c>
      <c r="G174" s="330">
        <v>1200.0</v>
      </c>
    </row>
    <row r="175" ht="14.25" customHeight="1">
      <c r="A175" s="73"/>
      <c r="B175" s="329">
        <v>2.0</v>
      </c>
      <c r="C175" s="12"/>
      <c r="D175" s="12"/>
      <c r="E175" s="16" t="s">
        <v>17</v>
      </c>
      <c r="F175" s="16"/>
      <c r="G175" s="330">
        <v>500.0</v>
      </c>
    </row>
    <row r="176" ht="14.25" customHeight="1">
      <c r="A176" s="73"/>
      <c r="B176" s="52">
        <v>3.0</v>
      </c>
      <c r="C176" s="307" t="s">
        <v>18</v>
      </c>
      <c r="D176" s="307" t="s">
        <v>19</v>
      </c>
      <c r="E176" s="140" t="s">
        <v>20</v>
      </c>
      <c r="F176" s="140" t="s">
        <v>21</v>
      </c>
      <c r="G176" s="331">
        <v>2500.0</v>
      </c>
    </row>
    <row r="177" ht="14.25" customHeight="1">
      <c r="A177" s="73"/>
      <c r="B177" s="52">
        <v>4.0</v>
      </c>
      <c r="C177" s="12"/>
      <c r="D177" s="12"/>
      <c r="E177" s="140" t="s">
        <v>17</v>
      </c>
      <c r="F177" s="140"/>
      <c r="G177" s="331">
        <v>500.0</v>
      </c>
    </row>
    <row r="178" ht="14.25" customHeight="1">
      <c r="A178" s="73"/>
      <c r="B178" s="52">
        <v>5.0</v>
      </c>
      <c r="C178" s="140" t="s">
        <v>30</v>
      </c>
      <c r="D178" s="140" t="s">
        <v>19</v>
      </c>
      <c r="E178" s="140" t="s">
        <v>31</v>
      </c>
      <c r="F178" s="140" t="s">
        <v>32</v>
      </c>
      <c r="G178" s="331">
        <v>1500.0</v>
      </c>
      <c r="X178" s="20"/>
      <c r="Y178" s="20"/>
    </row>
    <row r="179" ht="14.25" customHeight="1">
      <c r="A179" s="73"/>
      <c r="B179" s="52">
        <v>6.0</v>
      </c>
      <c r="C179" s="140" t="s">
        <v>35</v>
      </c>
      <c r="D179" s="140" t="s">
        <v>19</v>
      </c>
      <c r="E179" s="140" t="s">
        <v>31</v>
      </c>
      <c r="F179" s="140" t="s">
        <v>36</v>
      </c>
      <c r="G179" s="331">
        <v>1500.0</v>
      </c>
    </row>
    <row r="180" ht="14.25" customHeight="1">
      <c r="A180" s="73"/>
      <c r="B180" s="52">
        <v>7.0</v>
      </c>
      <c r="C180" s="140" t="s">
        <v>39</v>
      </c>
      <c r="D180" s="140" t="s">
        <v>19</v>
      </c>
      <c r="E180" s="140"/>
      <c r="F180" s="140"/>
      <c r="G180" s="331">
        <v>1500.0</v>
      </c>
    </row>
    <row r="181" ht="14.25" customHeight="1">
      <c r="A181" s="73"/>
      <c r="B181" s="329">
        <v>8.0</v>
      </c>
      <c r="C181" s="16" t="s">
        <v>41</v>
      </c>
      <c r="D181" s="16" t="s">
        <v>42</v>
      </c>
      <c r="E181" s="16" t="s">
        <v>43</v>
      </c>
      <c r="F181" s="16" t="s">
        <v>44</v>
      </c>
      <c r="G181" s="330">
        <v>700.0</v>
      </c>
    </row>
    <row r="182" ht="14.25" customHeight="1">
      <c r="A182" s="73"/>
      <c r="B182" s="329">
        <v>9.0</v>
      </c>
      <c r="C182" s="16" t="s">
        <v>45</v>
      </c>
      <c r="D182" s="16" t="s">
        <v>46</v>
      </c>
      <c r="E182" s="16" t="s">
        <v>47</v>
      </c>
      <c r="F182" s="16" t="s">
        <v>48</v>
      </c>
      <c r="G182" s="330">
        <v>1500.0</v>
      </c>
    </row>
    <row r="183" ht="14.25" customHeight="1">
      <c r="A183" s="73"/>
      <c r="B183" s="52">
        <v>10.0</v>
      </c>
      <c r="C183" s="307" t="s">
        <v>50</v>
      </c>
      <c r="D183" s="140" t="s">
        <v>51</v>
      </c>
      <c r="E183" s="140" t="s">
        <v>52</v>
      </c>
      <c r="F183" s="140" t="s">
        <v>53</v>
      </c>
      <c r="G183" s="331">
        <v>1500.0</v>
      </c>
    </row>
    <row r="184" ht="14.25" customHeight="1">
      <c r="A184" s="73"/>
      <c r="B184" s="52">
        <v>11.0</v>
      </c>
      <c r="C184" s="12"/>
      <c r="D184" s="140" t="s">
        <v>54</v>
      </c>
      <c r="E184" s="140" t="s">
        <v>17</v>
      </c>
      <c r="F184" s="140"/>
      <c r="G184" s="54">
        <v>500.0</v>
      </c>
    </row>
    <row r="185" ht="14.25" customHeight="1">
      <c r="A185" s="73"/>
      <c r="B185" s="52">
        <v>12.0</v>
      </c>
      <c r="C185" s="140" t="s">
        <v>57</v>
      </c>
      <c r="D185" s="140" t="s">
        <v>51</v>
      </c>
      <c r="E185" s="140" t="s">
        <v>58</v>
      </c>
      <c r="F185" s="140" t="s">
        <v>59</v>
      </c>
      <c r="G185" s="54">
        <v>1500.0</v>
      </c>
    </row>
    <row r="186" ht="14.25" customHeight="1">
      <c r="A186" s="73"/>
      <c r="B186" s="329">
        <v>13.0</v>
      </c>
      <c r="C186" s="15" t="s">
        <v>61</v>
      </c>
      <c r="D186" s="16" t="s">
        <v>63</v>
      </c>
      <c r="E186" s="16" t="s">
        <v>65</v>
      </c>
      <c r="F186" s="16" t="s">
        <v>66</v>
      </c>
      <c r="G186" s="17">
        <v>2500.0</v>
      </c>
    </row>
    <row r="187" ht="14.25" customHeight="1">
      <c r="A187" s="73"/>
      <c r="B187" s="329">
        <v>14.0</v>
      </c>
      <c r="C187" s="12"/>
      <c r="D187" s="16" t="s">
        <v>63</v>
      </c>
      <c r="E187" s="16" t="s">
        <v>17</v>
      </c>
      <c r="F187" s="16"/>
      <c r="G187" s="17">
        <v>300.0</v>
      </c>
    </row>
    <row r="188" ht="14.25" customHeight="1">
      <c r="A188" s="73"/>
      <c r="B188" s="329">
        <v>15.0</v>
      </c>
      <c r="C188" s="16" t="s">
        <v>68</v>
      </c>
      <c r="D188" s="16" t="s">
        <v>63</v>
      </c>
      <c r="E188" s="16" t="s">
        <v>69</v>
      </c>
      <c r="F188" s="16" t="s">
        <v>70</v>
      </c>
      <c r="G188" s="17">
        <v>2500.0</v>
      </c>
    </row>
    <row r="189" ht="14.25" customHeight="1">
      <c r="A189" s="73"/>
      <c r="B189" s="329">
        <v>16.0</v>
      </c>
      <c r="C189" s="16" t="s">
        <v>71</v>
      </c>
      <c r="D189" s="16" t="s">
        <v>63</v>
      </c>
      <c r="E189" s="16" t="s">
        <v>58</v>
      </c>
      <c r="F189" s="16" t="s">
        <v>72</v>
      </c>
      <c r="G189" s="17">
        <v>4000.0</v>
      </c>
    </row>
    <row r="190" ht="14.25" customHeight="1">
      <c r="A190" s="73"/>
      <c r="B190" s="52">
        <v>17.0</v>
      </c>
      <c r="C190" s="307" t="s">
        <v>74</v>
      </c>
      <c r="D190" s="307" t="s">
        <v>75</v>
      </c>
      <c r="E190" s="140" t="s">
        <v>65</v>
      </c>
      <c r="F190" s="140" t="s">
        <v>76</v>
      </c>
      <c r="G190" s="54">
        <v>2500.0</v>
      </c>
    </row>
    <row r="191" ht="14.25" customHeight="1">
      <c r="A191" s="73"/>
      <c r="B191" s="52">
        <v>18.0</v>
      </c>
      <c r="C191" s="44"/>
      <c r="D191" s="44"/>
      <c r="E191" s="140" t="s">
        <v>77</v>
      </c>
      <c r="F191" s="140"/>
      <c r="G191" s="184">
        <v>1000.0</v>
      </c>
    </row>
    <row r="192" ht="14.25" customHeight="1">
      <c r="A192" s="73"/>
      <c r="B192" s="52">
        <v>19.0</v>
      </c>
      <c r="C192" s="44"/>
      <c r="D192" s="44"/>
      <c r="E192" s="140" t="s">
        <v>78</v>
      </c>
      <c r="F192" s="140"/>
      <c r="G192" s="184"/>
    </row>
    <row r="193" ht="14.25" customHeight="1">
      <c r="A193" s="73"/>
      <c r="B193" s="52">
        <v>20.0</v>
      </c>
      <c r="C193" s="12"/>
      <c r="D193" s="12"/>
      <c r="E193" s="140" t="s">
        <v>81</v>
      </c>
      <c r="F193" s="140"/>
      <c r="G193" s="184"/>
    </row>
    <row r="194" ht="14.25" customHeight="1">
      <c r="A194" s="73"/>
      <c r="B194" s="52">
        <v>21.0</v>
      </c>
      <c r="C194" s="140" t="s">
        <v>82</v>
      </c>
      <c r="D194" s="140" t="s">
        <v>75</v>
      </c>
      <c r="E194" s="140" t="s">
        <v>65</v>
      </c>
      <c r="F194" s="140" t="s">
        <v>83</v>
      </c>
      <c r="G194" s="54">
        <v>1500.0</v>
      </c>
    </row>
    <row r="195" ht="14.25" customHeight="1">
      <c r="A195" s="73"/>
      <c r="B195" s="52">
        <v>22.0</v>
      </c>
      <c r="C195" s="140" t="s">
        <v>89</v>
      </c>
      <c r="D195" s="140" t="s">
        <v>75</v>
      </c>
      <c r="E195" s="140" t="s">
        <v>58</v>
      </c>
      <c r="F195" s="140" t="s">
        <v>90</v>
      </c>
      <c r="G195" s="54">
        <v>3000.0</v>
      </c>
    </row>
    <row r="196" ht="14.25" customHeight="1">
      <c r="A196" s="73"/>
      <c r="B196" s="52">
        <v>23.0</v>
      </c>
      <c r="C196" s="140" t="s">
        <v>93</v>
      </c>
      <c r="D196" s="140" t="s">
        <v>75</v>
      </c>
      <c r="E196" s="140" t="s">
        <v>69</v>
      </c>
      <c r="F196" s="140" t="s">
        <v>94</v>
      </c>
      <c r="G196" s="54">
        <v>2500.0</v>
      </c>
    </row>
    <row r="197" ht="14.25" customHeight="1">
      <c r="A197" s="73"/>
      <c r="B197" s="329">
        <v>24.0</v>
      </c>
      <c r="C197" s="16" t="s">
        <v>96</v>
      </c>
      <c r="D197" s="15" t="s">
        <v>98</v>
      </c>
      <c r="E197" s="16" t="s">
        <v>99</v>
      </c>
      <c r="F197" s="16" t="s">
        <v>100</v>
      </c>
      <c r="G197" s="17">
        <v>2500.0</v>
      </c>
    </row>
    <row r="198" ht="14.25" customHeight="1">
      <c r="A198" s="73"/>
      <c r="B198" s="329">
        <v>25.0</v>
      </c>
      <c r="C198" s="16" t="s">
        <v>102</v>
      </c>
      <c r="D198" s="12"/>
      <c r="E198" s="16" t="s">
        <v>17</v>
      </c>
      <c r="F198" s="16"/>
      <c r="G198" s="17">
        <v>1000.0</v>
      </c>
    </row>
    <row r="199" ht="14.25" customHeight="1">
      <c r="A199" s="73"/>
      <c r="B199" s="52">
        <v>26.0</v>
      </c>
      <c r="C199" s="140" t="s">
        <v>104</v>
      </c>
      <c r="D199" s="140" t="s">
        <v>105</v>
      </c>
      <c r="E199" s="140" t="s">
        <v>20</v>
      </c>
      <c r="F199" s="140" t="s">
        <v>106</v>
      </c>
      <c r="G199" s="54">
        <v>2500.0</v>
      </c>
    </row>
    <row r="200" ht="14.25" customHeight="1">
      <c r="A200" s="73"/>
      <c r="B200" s="52">
        <v>27.0</v>
      </c>
      <c r="C200" s="307" t="s">
        <v>107</v>
      </c>
      <c r="D200" s="307" t="s">
        <v>105</v>
      </c>
      <c r="E200" s="140" t="s">
        <v>109</v>
      </c>
      <c r="F200" s="140" t="s">
        <v>110</v>
      </c>
      <c r="G200" s="54">
        <v>1000.0</v>
      </c>
    </row>
    <row r="201" ht="14.25" customHeight="1">
      <c r="A201" s="73"/>
      <c r="B201" s="52">
        <v>28.0</v>
      </c>
      <c r="C201" s="44"/>
      <c r="D201" s="44"/>
      <c r="E201" s="140" t="s">
        <v>111</v>
      </c>
      <c r="F201" s="140"/>
      <c r="G201" s="54">
        <v>500.0</v>
      </c>
    </row>
    <row r="202" ht="14.25" customHeight="1">
      <c r="A202" s="73"/>
      <c r="B202" s="52">
        <v>29.0</v>
      </c>
      <c r="C202" s="12"/>
      <c r="D202" s="12"/>
      <c r="E202" s="140" t="s">
        <v>111</v>
      </c>
      <c r="F202" s="140"/>
      <c r="G202" s="54">
        <v>500.0</v>
      </c>
    </row>
    <row r="203" ht="14.25" customHeight="1">
      <c r="A203" s="73"/>
      <c r="B203" s="52">
        <v>30.0</v>
      </c>
      <c r="C203" s="307" t="s">
        <v>114</v>
      </c>
      <c r="D203" s="140"/>
      <c r="E203" s="140"/>
      <c r="F203" s="140" t="s">
        <v>115</v>
      </c>
      <c r="G203" s="54">
        <v>800.0</v>
      </c>
    </row>
    <row r="204" ht="14.25" customHeight="1">
      <c r="A204" s="73"/>
      <c r="B204" s="52">
        <v>31.0</v>
      </c>
      <c r="C204" s="12"/>
      <c r="D204" s="140"/>
      <c r="E204" s="140" t="s">
        <v>17</v>
      </c>
      <c r="F204" s="140"/>
      <c r="G204" s="54">
        <v>500.0</v>
      </c>
    </row>
    <row r="205" ht="14.25" customHeight="1">
      <c r="A205" s="73"/>
      <c r="B205" s="52">
        <v>32.0</v>
      </c>
      <c r="C205" s="363" t="s">
        <v>135</v>
      </c>
      <c r="D205" s="140" t="s">
        <v>136</v>
      </c>
      <c r="E205" s="140"/>
      <c r="F205" s="140" t="s">
        <v>137</v>
      </c>
      <c r="G205" s="54">
        <v>1500.0</v>
      </c>
    </row>
    <row r="206" ht="14.25" customHeight="1">
      <c r="A206" s="73"/>
      <c r="B206" s="52">
        <v>33.0</v>
      </c>
      <c r="C206" s="363" t="s">
        <v>142</v>
      </c>
      <c r="D206" s="140" t="s">
        <v>143</v>
      </c>
      <c r="E206" s="140" t="s">
        <v>20</v>
      </c>
      <c r="F206" s="140" t="s">
        <v>144</v>
      </c>
      <c r="G206" s="54">
        <v>1500.0</v>
      </c>
    </row>
    <row r="207" ht="14.25" customHeight="1">
      <c r="A207" s="73"/>
      <c r="B207" s="52">
        <v>34.0</v>
      </c>
      <c r="C207" s="363" t="s">
        <v>145</v>
      </c>
      <c r="D207" s="140" t="s">
        <v>146</v>
      </c>
      <c r="E207" s="140" t="s">
        <v>43</v>
      </c>
      <c r="F207" s="140"/>
      <c r="G207" s="54">
        <v>700.0</v>
      </c>
    </row>
    <row r="208" ht="14.25" customHeight="1">
      <c r="A208" s="73"/>
      <c r="B208" s="52">
        <v>35.0</v>
      </c>
      <c r="C208" s="140" t="s">
        <v>118</v>
      </c>
      <c r="D208" s="140"/>
      <c r="E208" s="140" t="s">
        <v>119</v>
      </c>
      <c r="F208" s="140" t="s">
        <v>120</v>
      </c>
      <c r="G208" s="54">
        <v>3000.0</v>
      </c>
    </row>
    <row r="209" ht="14.25" customHeight="1">
      <c r="A209" s="73"/>
      <c r="B209" s="52">
        <v>36.0</v>
      </c>
      <c r="C209" s="363" t="s">
        <v>155</v>
      </c>
      <c r="D209" s="140"/>
      <c r="E209" s="140" t="s">
        <v>20</v>
      </c>
      <c r="F209" s="140" t="s">
        <v>156</v>
      </c>
      <c r="G209" s="54">
        <v>1500.0</v>
      </c>
    </row>
    <row r="210" ht="14.25" customHeight="1">
      <c r="A210" s="73"/>
      <c r="B210" s="339" t="s">
        <v>122</v>
      </c>
      <c r="C210" s="2"/>
      <c r="D210" s="2"/>
      <c r="E210" s="2"/>
      <c r="F210" s="3"/>
      <c r="G210" s="340">
        <f>SUM(G174:G209)</f>
        <v>52200</v>
      </c>
    </row>
    <row r="211" ht="14.25" customHeight="1">
      <c r="A211" s="73"/>
      <c r="B211" s="341" t="s">
        <v>490</v>
      </c>
      <c r="C211" s="2"/>
      <c r="D211" s="2"/>
      <c r="E211" s="2"/>
      <c r="F211" s="2"/>
      <c r="G211" s="3"/>
    </row>
    <row r="212" ht="14.25" customHeight="1">
      <c r="A212" s="73"/>
      <c r="B212" s="4" t="s">
        <v>2</v>
      </c>
      <c r="C212" s="5"/>
      <c r="D212" s="6" t="s">
        <v>3</v>
      </c>
      <c r="E212" s="6" t="s">
        <v>4</v>
      </c>
      <c r="F212" s="6" t="s">
        <v>5</v>
      </c>
      <c r="G212" s="7" t="s">
        <v>134</v>
      </c>
    </row>
    <row r="213" ht="14.25" customHeight="1">
      <c r="A213" s="73"/>
      <c r="B213" s="10"/>
      <c r="C213" s="11"/>
      <c r="D213" s="12"/>
      <c r="E213" s="12"/>
      <c r="F213" s="12"/>
      <c r="G213" s="12"/>
    </row>
    <row r="214" ht="14.25" customHeight="1">
      <c r="A214" s="73"/>
      <c r="B214" s="52">
        <v>1.0</v>
      </c>
      <c r="C214" s="140" t="s">
        <v>138</v>
      </c>
      <c r="D214" s="140" t="s">
        <v>139</v>
      </c>
      <c r="E214" s="140" t="s">
        <v>140</v>
      </c>
      <c r="F214" s="140" t="s">
        <v>141</v>
      </c>
      <c r="G214" s="54">
        <v>2500.0</v>
      </c>
    </row>
    <row r="215" ht="14.25" customHeight="1">
      <c r="A215" s="73"/>
      <c r="B215" s="52">
        <v>2.0</v>
      </c>
      <c r="C215" s="140" t="s">
        <v>147</v>
      </c>
      <c r="D215" s="140" t="s">
        <v>139</v>
      </c>
      <c r="E215" s="140" t="s">
        <v>119</v>
      </c>
      <c r="F215" s="140" t="s">
        <v>148</v>
      </c>
      <c r="G215" s="54">
        <v>1500.0</v>
      </c>
    </row>
    <row r="216" ht="14.25" customHeight="1">
      <c r="A216" s="73"/>
      <c r="B216" s="343">
        <v>3.0</v>
      </c>
      <c r="C216" s="307" t="s">
        <v>157</v>
      </c>
      <c r="D216" s="307" t="s">
        <v>139</v>
      </c>
      <c r="E216" s="140" t="s">
        <v>158</v>
      </c>
      <c r="F216" s="140" t="s">
        <v>16</v>
      </c>
      <c r="G216" s="54">
        <v>2000.0</v>
      </c>
    </row>
    <row r="217" ht="14.25" customHeight="1">
      <c r="A217" s="73"/>
      <c r="B217" s="12"/>
      <c r="C217" s="12"/>
      <c r="D217" s="12"/>
      <c r="E217" s="140" t="s">
        <v>17</v>
      </c>
      <c r="F217" s="140"/>
      <c r="G217" s="54"/>
    </row>
    <row r="218" ht="14.25" customHeight="1">
      <c r="A218" s="73"/>
      <c r="B218" s="52">
        <v>4.0</v>
      </c>
      <c r="C218" s="140" t="s">
        <v>165</v>
      </c>
      <c r="D218" s="140" t="s">
        <v>166</v>
      </c>
      <c r="E218" s="140" t="s">
        <v>119</v>
      </c>
      <c r="F218" s="140" t="s">
        <v>167</v>
      </c>
      <c r="G218" s="54">
        <v>1500.0</v>
      </c>
    </row>
    <row r="219" ht="14.25" customHeight="1">
      <c r="A219" s="73"/>
      <c r="B219" s="52">
        <v>5.0</v>
      </c>
      <c r="C219" s="140" t="s">
        <v>168</v>
      </c>
      <c r="D219" s="140" t="s">
        <v>166</v>
      </c>
      <c r="E219" s="140" t="s">
        <v>119</v>
      </c>
      <c r="F219" s="140" t="s">
        <v>169</v>
      </c>
      <c r="G219" s="54">
        <v>1500.0</v>
      </c>
    </row>
    <row r="220" ht="14.25" customHeight="1">
      <c r="A220" s="73"/>
      <c r="B220" s="52">
        <v>6.0</v>
      </c>
      <c r="C220" s="140" t="s">
        <v>170</v>
      </c>
      <c r="D220" s="140" t="s">
        <v>171</v>
      </c>
      <c r="E220" s="140" t="s">
        <v>158</v>
      </c>
      <c r="F220" s="140" t="s">
        <v>172</v>
      </c>
      <c r="G220" s="54">
        <v>2000.0</v>
      </c>
    </row>
    <row r="221" ht="14.25" customHeight="1">
      <c r="A221" s="73"/>
      <c r="B221" s="339" t="s">
        <v>122</v>
      </c>
      <c r="C221" s="2"/>
      <c r="D221" s="2"/>
      <c r="E221" s="2"/>
      <c r="F221" s="3"/>
      <c r="G221" s="236">
        <f>SUM(G214:G220)</f>
        <v>11000</v>
      </c>
    </row>
    <row r="222" ht="14.25" customHeight="1">
      <c r="A222" s="73"/>
      <c r="B222" s="73"/>
      <c r="C222" s="73"/>
      <c r="D222" s="73"/>
      <c r="E222" s="73"/>
      <c r="F222" s="72"/>
    </row>
    <row r="223" ht="14.25" customHeight="1">
      <c r="A223" s="73"/>
      <c r="B223" s="73"/>
      <c r="C223" s="73"/>
      <c r="D223" s="73"/>
      <c r="E223" s="73"/>
      <c r="F223" s="72"/>
    </row>
    <row r="224" ht="14.25" customHeight="1">
      <c r="A224" s="73"/>
      <c r="B224" s="73"/>
      <c r="C224" s="73"/>
      <c r="D224" s="73"/>
      <c r="E224" s="73"/>
      <c r="F224" s="72"/>
    </row>
    <row r="225" ht="14.25" customHeight="1">
      <c r="A225" s="73"/>
      <c r="B225" s="73"/>
      <c r="C225" s="73"/>
      <c r="D225" s="73"/>
      <c r="E225" s="73"/>
      <c r="F225" s="72"/>
    </row>
    <row r="226" ht="14.25" customHeight="1">
      <c r="A226" s="73"/>
      <c r="B226" s="73"/>
      <c r="C226" s="73"/>
      <c r="D226" s="73"/>
      <c r="E226" s="73"/>
      <c r="F226" s="72"/>
    </row>
    <row r="227" ht="14.25" customHeight="1">
      <c r="A227" s="73"/>
      <c r="B227" s="73"/>
      <c r="C227" s="73"/>
      <c r="D227" s="73"/>
      <c r="E227" s="73"/>
      <c r="F227" s="72"/>
    </row>
    <row r="228" ht="14.25" customHeight="1">
      <c r="A228" s="73"/>
      <c r="B228" s="73"/>
      <c r="C228" s="73"/>
      <c r="D228" s="73"/>
      <c r="E228" s="73"/>
      <c r="F228" s="72"/>
    </row>
    <row r="229" ht="14.25" customHeight="1">
      <c r="A229" s="73"/>
      <c r="B229" s="73"/>
      <c r="C229" s="73"/>
      <c r="D229" s="73"/>
      <c r="E229" s="73"/>
      <c r="F229" s="72"/>
    </row>
    <row r="230" ht="14.25" customHeight="1">
      <c r="A230" s="73"/>
      <c r="B230" s="73"/>
      <c r="C230" s="73"/>
      <c r="D230" s="73"/>
      <c r="E230" s="73"/>
      <c r="F230" s="72"/>
    </row>
    <row r="231" ht="14.25" customHeight="1">
      <c r="A231" s="73"/>
      <c r="B231" s="73"/>
      <c r="C231" s="73"/>
      <c r="D231" s="73"/>
      <c r="E231" s="73"/>
      <c r="F231" s="72"/>
    </row>
    <row r="232" ht="14.25" customHeight="1">
      <c r="A232" s="73"/>
      <c r="B232" s="73"/>
      <c r="C232" s="73"/>
      <c r="D232" s="73"/>
      <c r="E232" s="73"/>
      <c r="F232" s="72"/>
    </row>
    <row r="233" ht="14.25" customHeight="1">
      <c r="A233" s="73"/>
      <c r="B233" s="73"/>
      <c r="C233" s="73"/>
      <c r="D233" s="73"/>
      <c r="E233" s="73"/>
      <c r="F233" s="72"/>
    </row>
    <row r="234" ht="14.25" customHeight="1">
      <c r="A234" s="73"/>
      <c r="B234" s="73"/>
      <c r="C234" s="73"/>
      <c r="D234" s="73"/>
      <c r="E234" s="73"/>
      <c r="F234" s="72"/>
    </row>
    <row r="235" ht="14.25" customHeight="1">
      <c r="A235" s="73"/>
      <c r="B235" s="73"/>
      <c r="C235" s="73"/>
      <c r="D235" s="73"/>
      <c r="E235" s="73"/>
      <c r="F235" s="72"/>
    </row>
    <row r="236" ht="14.25" customHeight="1">
      <c r="A236" s="73"/>
      <c r="B236" s="73"/>
      <c r="C236" s="73"/>
      <c r="D236" s="73"/>
      <c r="E236" s="73"/>
      <c r="F236" s="72"/>
    </row>
    <row r="237" ht="14.25" customHeight="1">
      <c r="A237" s="73"/>
      <c r="B237" s="73"/>
      <c r="C237" s="73"/>
      <c r="D237" s="73"/>
      <c r="E237" s="73"/>
      <c r="F237" s="72"/>
    </row>
    <row r="238" ht="14.25" customHeight="1">
      <c r="A238" s="73"/>
      <c r="B238" s="73"/>
      <c r="C238" s="73"/>
      <c r="D238" s="73"/>
      <c r="E238" s="73"/>
      <c r="F238" s="72"/>
    </row>
    <row r="239" ht="14.25" customHeight="1">
      <c r="A239" s="73"/>
      <c r="B239" s="73"/>
      <c r="C239" s="73"/>
      <c r="D239" s="73"/>
      <c r="E239" s="73"/>
      <c r="F239" s="72"/>
    </row>
    <row r="240" ht="14.25" customHeight="1">
      <c r="A240" s="73"/>
      <c r="B240" s="73"/>
      <c r="C240" s="73"/>
      <c r="D240" s="73"/>
      <c r="E240" s="73"/>
      <c r="F240" s="72"/>
    </row>
    <row r="241" ht="14.25" customHeight="1">
      <c r="A241" s="73"/>
      <c r="B241" s="73"/>
      <c r="C241" s="73"/>
      <c r="D241" s="73"/>
      <c r="E241" s="73"/>
      <c r="F241" s="72"/>
    </row>
    <row r="242" ht="14.25" customHeight="1">
      <c r="A242" s="73"/>
      <c r="B242" s="73"/>
      <c r="C242" s="73"/>
      <c r="D242" s="73"/>
      <c r="E242" s="73"/>
      <c r="F242" s="72"/>
    </row>
    <row r="243" ht="14.25" customHeight="1">
      <c r="A243" s="73"/>
      <c r="B243" s="73"/>
      <c r="C243" s="73"/>
      <c r="D243" s="73"/>
      <c r="E243" s="73"/>
      <c r="F243" s="72"/>
    </row>
    <row r="244" ht="14.25" customHeight="1">
      <c r="A244" s="73"/>
      <c r="B244" s="73"/>
      <c r="C244" s="73"/>
      <c r="D244" s="73"/>
      <c r="E244" s="73"/>
      <c r="F244" s="72"/>
    </row>
    <row r="245" ht="14.25" customHeight="1">
      <c r="A245" s="73"/>
      <c r="B245" s="73"/>
      <c r="C245" s="73"/>
      <c r="D245" s="73"/>
      <c r="E245" s="73"/>
      <c r="F245" s="72"/>
    </row>
    <row r="246" ht="14.25" customHeight="1">
      <c r="A246" s="73"/>
      <c r="B246" s="73"/>
      <c r="C246" s="73"/>
      <c r="D246" s="73"/>
      <c r="E246" s="73"/>
      <c r="F246" s="72"/>
    </row>
    <row r="247" ht="14.25" customHeight="1">
      <c r="A247" s="73"/>
      <c r="B247" s="73"/>
      <c r="C247" s="73"/>
      <c r="D247" s="73"/>
      <c r="E247" s="73"/>
      <c r="F247" s="72"/>
    </row>
    <row r="248" ht="14.25" customHeight="1">
      <c r="A248" s="73"/>
      <c r="B248" s="73"/>
      <c r="C248" s="73"/>
      <c r="D248" s="73"/>
      <c r="E248" s="73"/>
      <c r="F248" s="72"/>
    </row>
    <row r="249" ht="14.25" customHeight="1">
      <c r="A249" s="73"/>
      <c r="B249" s="73"/>
      <c r="C249" s="73"/>
      <c r="D249" s="73"/>
      <c r="E249" s="73"/>
      <c r="F249" s="72"/>
    </row>
    <row r="250" ht="14.25" customHeight="1">
      <c r="A250" s="73"/>
      <c r="B250" s="73"/>
      <c r="C250" s="73"/>
      <c r="D250" s="73"/>
      <c r="E250" s="73"/>
      <c r="F250" s="72"/>
    </row>
    <row r="251" ht="14.25" customHeight="1">
      <c r="A251" s="73"/>
      <c r="B251" s="73"/>
      <c r="C251" s="73"/>
      <c r="D251" s="73"/>
      <c r="E251" s="73"/>
      <c r="F251" s="72"/>
    </row>
    <row r="252" ht="14.25" customHeight="1">
      <c r="A252" s="73"/>
      <c r="B252" s="73"/>
      <c r="C252" s="73"/>
      <c r="D252" s="73"/>
      <c r="E252" s="73"/>
      <c r="F252" s="72"/>
    </row>
    <row r="253" ht="14.25" customHeight="1">
      <c r="A253" s="73"/>
      <c r="B253" s="73"/>
      <c r="C253" s="73"/>
      <c r="D253" s="73"/>
      <c r="E253" s="73"/>
      <c r="F253" s="72"/>
    </row>
    <row r="254" ht="14.25" customHeight="1">
      <c r="A254" s="73"/>
      <c r="B254" s="73"/>
      <c r="C254" s="73"/>
      <c r="D254" s="73"/>
      <c r="E254" s="73"/>
      <c r="F254" s="72"/>
    </row>
    <row r="255" ht="14.25" customHeight="1">
      <c r="A255" s="73"/>
      <c r="B255" s="73"/>
      <c r="C255" s="73"/>
      <c r="D255" s="73"/>
      <c r="E255" s="73"/>
      <c r="F255" s="72"/>
    </row>
    <row r="256" ht="14.25" customHeight="1">
      <c r="A256" s="73"/>
      <c r="B256" s="73"/>
      <c r="C256" s="73"/>
      <c r="D256" s="73"/>
      <c r="E256" s="73"/>
      <c r="F256" s="72"/>
    </row>
    <row r="257" ht="14.25" customHeight="1">
      <c r="A257" s="73"/>
      <c r="B257" s="73"/>
      <c r="C257" s="73"/>
      <c r="D257" s="73"/>
      <c r="E257" s="73"/>
      <c r="F257" s="72"/>
    </row>
    <row r="258" ht="14.25" customHeight="1">
      <c r="A258" s="73"/>
      <c r="B258" s="73"/>
      <c r="C258" s="73"/>
      <c r="D258" s="73"/>
      <c r="E258" s="73"/>
      <c r="F258" s="72"/>
    </row>
    <row r="259" ht="14.25" customHeight="1">
      <c r="A259" s="73"/>
      <c r="B259" s="73"/>
      <c r="C259" s="73"/>
      <c r="D259" s="73"/>
      <c r="E259" s="73"/>
      <c r="F259" s="72"/>
    </row>
    <row r="260" ht="14.25" customHeight="1">
      <c r="A260" s="73"/>
      <c r="B260" s="73"/>
      <c r="C260" s="73"/>
      <c r="D260" s="73"/>
      <c r="E260" s="73"/>
      <c r="F260" s="72"/>
    </row>
    <row r="261" ht="14.25" customHeight="1">
      <c r="A261" s="73"/>
      <c r="B261" s="73"/>
      <c r="C261" s="73"/>
      <c r="D261" s="73"/>
      <c r="E261" s="73"/>
      <c r="F261" s="72"/>
    </row>
    <row r="262" ht="14.25" customHeight="1">
      <c r="A262" s="73"/>
      <c r="B262" s="73"/>
      <c r="C262" s="73"/>
      <c r="D262" s="73"/>
      <c r="E262" s="73"/>
      <c r="F262" s="72"/>
    </row>
    <row r="263" ht="14.25" customHeight="1">
      <c r="A263" s="73"/>
      <c r="B263" s="73"/>
      <c r="C263" s="73"/>
      <c r="D263" s="73"/>
      <c r="E263" s="73"/>
      <c r="F263" s="72"/>
    </row>
    <row r="264" ht="14.25" customHeight="1">
      <c r="A264" s="73"/>
      <c r="B264" s="73"/>
      <c r="C264" s="73"/>
      <c r="D264" s="73"/>
      <c r="E264" s="73"/>
      <c r="F264" s="72"/>
    </row>
    <row r="265" ht="14.25" customHeight="1">
      <c r="A265" s="73"/>
      <c r="B265" s="73"/>
      <c r="C265" s="73"/>
      <c r="D265" s="73"/>
      <c r="E265" s="73"/>
      <c r="F265" s="72"/>
    </row>
    <row r="266" ht="14.25" customHeight="1">
      <c r="A266" s="73"/>
      <c r="B266" s="73"/>
      <c r="C266" s="73"/>
      <c r="D266" s="73"/>
      <c r="E266" s="73"/>
      <c r="F266" s="72"/>
    </row>
    <row r="267" ht="14.25" customHeight="1">
      <c r="A267" s="73"/>
      <c r="B267" s="73"/>
      <c r="C267" s="73"/>
      <c r="D267" s="73"/>
      <c r="E267" s="73"/>
      <c r="F267" s="72"/>
    </row>
    <row r="268" ht="14.25" customHeight="1">
      <c r="A268" s="73"/>
      <c r="B268" s="73"/>
      <c r="C268" s="73"/>
      <c r="D268" s="73"/>
      <c r="E268" s="73"/>
      <c r="F268" s="72"/>
    </row>
    <row r="269" ht="14.25" customHeight="1">
      <c r="A269" s="73"/>
      <c r="B269" s="73"/>
      <c r="C269" s="73"/>
      <c r="D269" s="73"/>
      <c r="E269" s="73"/>
      <c r="F269" s="72"/>
    </row>
    <row r="270" ht="14.25" customHeight="1">
      <c r="A270" s="73"/>
      <c r="B270" s="73"/>
      <c r="C270" s="73"/>
      <c r="D270" s="73"/>
      <c r="E270" s="73"/>
      <c r="F270" s="72"/>
    </row>
    <row r="271" ht="14.25" customHeight="1">
      <c r="A271" s="73"/>
      <c r="B271" s="73"/>
      <c r="C271" s="73"/>
      <c r="D271" s="73"/>
      <c r="E271" s="73"/>
      <c r="F271" s="72"/>
    </row>
    <row r="272" ht="14.25" customHeight="1">
      <c r="A272" s="73"/>
      <c r="B272" s="73"/>
      <c r="C272" s="73"/>
      <c r="D272" s="73"/>
      <c r="E272" s="73"/>
      <c r="F272" s="72"/>
    </row>
    <row r="273" ht="14.25" customHeight="1">
      <c r="A273" s="73"/>
      <c r="B273" s="73"/>
      <c r="C273" s="73"/>
      <c r="D273" s="73"/>
      <c r="E273" s="73"/>
      <c r="F273" s="72"/>
    </row>
    <row r="274" ht="14.25" customHeight="1">
      <c r="A274" s="73"/>
      <c r="B274" s="73"/>
      <c r="C274" s="73"/>
      <c r="D274" s="73"/>
      <c r="E274" s="73"/>
      <c r="F274" s="72"/>
    </row>
    <row r="275" ht="14.25" customHeight="1">
      <c r="A275" s="73"/>
      <c r="B275" s="73"/>
      <c r="C275" s="73"/>
      <c r="D275" s="73"/>
      <c r="E275" s="73"/>
      <c r="F275" s="72"/>
    </row>
    <row r="276" ht="14.25" customHeight="1">
      <c r="A276" s="73"/>
      <c r="B276" s="73"/>
      <c r="C276" s="73"/>
      <c r="D276" s="73"/>
      <c r="E276" s="73"/>
      <c r="F276" s="72"/>
    </row>
    <row r="277" ht="14.25" customHeight="1">
      <c r="A277" s="73"/>
      <c r="B277" s="73"/>
      <c r="C277" s="73"/>
      <c r="D277" s="73"/>
      <c r="E277" s="73"/>
      <c r="F277" s="72"/>
    </row>
    <row r="278" ht="14.25" customHeight="1">
      <c r="A278" s="73"/>
      <c r="B278" s="73"/>
      <c r="C278" s="73"/>
      <c r="D278" s="73"/>
      <c r="E278" s="73"/>
      <c r="F278" s="72"/>
    </row>
    <row r="279" ht="14.25" customHeight="1">
      <c r="A279" s="73"/>
      <c r="B279" s="73"/>
      <c r="C279" s="73"/>
      <c r="D279" s="73"/>
      <c r="E279" s="73"/>
      <c r="F279" s="72"/>
    </row>
    <row r="280" ht="14.25" customHeight="1">
      <c r="A280" s="73"/>
      <c r="B280" s="73"/>
      <c r="C280" s="73"/>
      <c r="D280" s="73"/>
      <c r="E280" s="73"/>
      <c r="F280" s="72"/>
    </row>
    <row r="281" ht="14.25" customHeight="1">
      <c r="A281" s="73"/>
      <c r="B281" s="73"/>
      <c r="C281" s="73"/>
      <c r="D281" s="73"/>
      <c r="E281" s="73"/>
      <c r="F281" s="72"/>
    </row>
    <row r="282" ht="14.25" customHeight="1">
      <c r="A282" s="73"/>
      <c r="B282" s="73"/>
      <c r="C282" s="73"/>
      <c r="D282" s="73"/>
      <c r="E282" s="73"/>
      <c r="F282" s="72"/>
    </row>
    <row r="283" ht="14.25" customHeight="1">
      <c r="A283" s="73"/>
      <c r="B283" s="73"/>
      <c r="C283" s="73"/>
      <c r="D283" s="73"/>
      <c r="E283" s="73"/>
      <c r="F283" s="72"/>
    </row>
    <row r="284" ht="14.25" customHeight="1">
      <c r="A284" s="73"/>
      <c r="B284" s="73"/>
      <c r="C284" s="73"/>
      <c r="D284" s="73"/>
      <c r="E284" s="73"/>
      <c r="F284" s="72"/>
    </row>
    <row r="285" ht="14.25" customHeight="1">
      <c r="A285" s="73"/>
      <c r="B285" s="73"/>
      <c r="C285" s="73"/>
      <c r="D285" s="73"/>
      <c r="E285" s="73"/>
      <c r="F285" s="72"/>
    </row>
    <row r="286" ht="14.25" customHeight="1">
      <c r="A286" s="73"/>
      <c r="B286" s="73"/>
      <c r="C286" s="73"/>
      <c r="D286" s="73"/>
      <c r="E286" s="73"/>
      <c r="F286" s="72"/>
    </row>
    <row r="287" ht="14.25" customHeight="1">
      <c r="A287" s="73"/>
      <c r="B287" s="73"/>
      <c r="C287" s="73"/>
      <c r="D287" s="73"/>
      <c r="E287" s="73"/>
      <c r="F287" s="72"/>
    </row>
    <row r="288" ht="14.25" customHeight="1">
      <c r="A288" s="73"/>
      <c r="B288" s="73"/>
      <c r="C288" s="73"/>
      <c r="D288" s="73"/>
      <c r="E288" s="73"/>
      <c r="F288" s="72"/>
    </row>
    <row r="289" ht="14.25" customHeight="1">
      <c r="A289" s="73"/>
      <c r="B289" s="73"/>
      <c r="C289" s="73"/>
      <c r="D289" s="73"/>
      <c r="E289" s="73"/>
      <c r="F289" s="72"/>
    </row>
    <row r="290" ht="14.25" customHeight="1">
      <c r="A290" s="73"/>
      <c r="B290" s="73"/>
      <c r="C290" s="73"/>
      <c r="D290" s="73"/>
      <c r="E290" s="73"/>
      <c r="F290" s="72"/>
    </row>
    <row r="291" ht="14.25" customHeight="1">
      <c r="A291" s="73"/>
      <c r="B291" s="73"/>
      <c r="C291" s="73"/>
      <c r="D291" s="73"/>
      <c r="E291" s="73"/>
      <c r="F291" s="72"/>
    </row>
    <row r="292" ht="14.25" customHeight="1">
      <c r="A292" s="73"/>
      <c r="B292" s="73"/>
      <c r="C292" s="73"/>
      <c r="D292" s="73"/>
      <c r="E292" s="73"/>
      <c r="F292" s="72"/>
    </row>
    <row r="293" ht="14.25" customHeight="1">
      <c r="A293" s="73"/>
      <c r="B293" s="73"/>
      <c r="C293" s="73"/>
      <c r="D293" s="73"/>
      <c r="E293" s="73"/>
      <c r="F293" s="72"/>
    </row>
    <row r="294" ht="14.25" customHeight="1">
      <c r="A294" s="73"/>
      <c r="B294" s="73"/>
      <c r="C294" s="73"/>
      <c r="D294" s="73"/>
      <c r="E294" s="73"/>
      <c r="F294" s="72"/>
    </row>
    <row r="295" ht="14.25" customHeight="1">
      <c r="A295" s="73"/>
      <c r="B295" s="73"/>
      <c r="C295" s="73"/>
      <c r="D295" s="73"/>
      <c r="E295" s="73"/>
      <c r="F295" s="72"/>
    </row>
    <row r="296" ht="14.25" customHeight="1">
      <c r="A296" s="73"/>
      <c r="B296" s="73"/>
      <c r="C296" s="73"/>
      <c r="D296" s="73"/>
      <c r="E296" s="73"/>
      <c r="F296" s="72"/>
    </row>
    <row r="297" ht="14.25" customHeight="1">
      <c r="A297" s="73"/>
      <c r="B297" s="73"/>
      <c r="C297" s="73"/>
      <c r="D297" s="73"/>
      <c r="E297" s="73"/>
      <c r="F297" s="72"/>
    </row>
    <row r="298" ht="14.25" customHeight="1">
      <c r="A298" s="73"/>
      <c r="B298" s="73"/>
      <c r="C298" s="73"/>
      <c r="D298" s="73"/>
      <c r="E298" s="73"/>
      <c r="F298" s="72"/>
    </row>
    <row r="299" ht="14.25" customHeight="1">
      <c r="A299" s="73"/>
      <c r="B299" s="73"/>
      <c r="C299" s="73"/>
      <c r="D299" s="73"/>
      <c r="E299" s="73"/>
      <c r="F299" s="72"/>
    </row>
    <row r="300" ht="14.25" customHeight="1">
      <c r="A300" s="73"/>
      <c r="B300" s="73"/>
      <c r="C300" s="73"/>
      <c r="D300" s="73"/>
      <c r="E300" s="73"/>
      <c r="F300" s="72"/>
    </row>
    <row r="301" ht="14.25" customHeight="1">
      <c r="A301" s="73"/>
      <c r="B301" s="73"/>
      <c r="C301" s="73"/>
      <c r="D301" s="73"/>
      <c r="E301" s="73"/>
      <c r="F301" s="72"/>
    </row>
    <row r="302" ht="14.25" customHeight="1">
      <c r="A302" s="73"/>
      <c r="B302" s="73"/>
      <c r="C302" s="73"/>
      <c r="D302" s="73"/>
      <c r="E302" s="73"/>
      <c r="F302" s="72"/>
    </row>
    <row r="303" ht="14.25" customHeight="1">
      <c r="A303" s="73"/>
      <c r="B303" s="73"/>
      <c r="C303" s="73"/>
      <c r="D303" s="73"/>
      <c r="E303" s="73"/>
      <c r="F303" s="72"/>
    </row>
    <row r="304" ht="14.25" customHeight="1">
      <c r="A304" s="73"/>
      <c r="B304" s="73"/>
      <c r="C304" s="73"/>
      <c r="D304" s="73"/>
      <c r="E304" s="73"/>
      <c r="F304" s="72"/>
    </row>
    <row r="305" ht="14.25" customHeight="1">
      <c r="A305" s="73"/>
      <c r="B305" s="73"/>
      <c r="C305" s="73"/>
      <c r="D305" s="73"/>
      <c r="E305" s="73"/>
      <c r="F305" s="72"/>
    </row>
    <row r="306" ht="14.25" customHeight="1">
      <c r="A306" s="73"/>
      <c r="B306" s="73"/>
      <c r="C306" s="73"/>
      <c r="D306" s="73"/>
      <c r="E306" s="73"/>
      <c r="F306" s="72"/>
    </row>
    <row r="307" ht="14.25" customHeight="1">
      <c r="A307" s="73"/>
      <c r="B307" s="73"/>
      <c r="C307" s="73"/>
      <c r="D307" s="73"/>
      <c r="E307" s="73"/>
      <c r="F307" s="72"/>
    </row>
    <row r="308" ht="14.25" customHeight="1">
      <c r="A308" s="73"/>
      <c r="B308" s="73"/>
      <c r="C308" s="73"/>
      <c r="D308" s="73"/>
      <c r="E308" s="73"/>
      <c r="F308" s="72"/>
    </row>
    <row r="309" ht="14.25" customHeight="1">
      <c r="A309" s="73"/>
      <c r="B309" s="73"/>
      <c r="C309" s="73"/>
      <c r="D309" s="73"/>
      <c r="E309" s="73"/>
      <c r="F309" s="72"/>
    </row>
    <row r="310" ht="14.25" customHeight="1">
      <c r="A310" s="73"/>
      <c r="B310" s="73"/>
      <c r="C310" s="73"/>
      <c r="D310" s="73"/>
      <c r="E310" s="73"/>
      <c r="F310" s="72"/>
    </row>
    <row r="311" ht="14.25" customHeight="1">
      <c r="A311" s="73"/>
      <c r="B311" s="73"/>
      <c r="C311" s="73"/>
      <c r="D311" s="73"/>
      <c r="E311" s="73"/>
      <c r="F311" s="72"/>
    </row>
    <row r="312" ht="14.25" customHeight="1">
      <c r="A312" s="73"/>
      <c r="B312" s="73"/>
      <c r="C312" s="73"/>
      <c r="D312" s="73"/>
      <c r="E312" s="73"/>
      <c r="F312" s="72"/>
    </row>
    <row r="313" ht="14.25" customHeight="1">
      <c r="A313" s="73"/>
      <c r="B313" s="73"/>
      <c r="C313" s="73"/>
      <c r="D313" s="73"/>
      <c r="E313" s="73"/>
      <c r="F313" s="72"/>
    </row>
    <row r="314" ht="14.25" customHeight="1">
      <c r="A314" s="73"/>
      <c r="B314" s="73"/>
      <c r="C314" s="73"/>
      <c r="D314" s="73"/>
      <c r="E314" s="73"/>
      <c r="F314" s="72"/>
    </row>
    <row r="315" ht="14.25" customHeight="1">
      <c r="A315" s="73"/>
      <c r="B315" s="73"/>
      <c r="C315" s="73"/>
      <c r="D315" s="73"/>
      <c r="E315" s="73"/>
      <c r="F315" s="72"/>
    </row>
    <row r="316" ht="14.25" customHeight="1">
      <c r="A316" s="73"/>
      <c r="B316" s="73"/>
      <c r="C316" s="73"/>
      <c r="D316" s="73"/>
      <c r="E316" s="73"/>
      <c r="F316" s="72"/>
    </row>
    <row r="317" ht="14.25" customHeight="1">
      <c r="A317" s="73"/>
      <c r="B317" s="73"/>
      <c r="C317" s="73"/>
      <c r="D317" s="73"/>
      <c r="E317" s="73"/>
      <c r="F317" s="72"/>
    </row>
    <row r="318" ht="14.25" customHeight="1">
      <c r="A318" s="73"/>
      <c r="B318" s="73"/>
      <c r="C318" s="73"/>
      <c r="D318" s="73"/>
      <c r="E318" s="73"/>
      <c r="F318" s="72"/>
    </row>
    <row r="319" ht="14.25" customHeight="1">
      <c r="A319" s="73"/>
      <c r="B319" s="73"/>
      <c r="C319" s="73"/>
      <c r="D319" s="73"/>
      <c r="E319" s="73"/>
      <c r="F319" s="72"/>
    </row>
    <row r="320" ht="14.25" customHeight="1">
      <c r="A320" s="73"/>
      <c r="B320" s="73"/>
      <c r="C320" s="73"/>
      <c r="D320" s="73"/>
      <c r="E320" s="73"/>
      <c r="F320" s="72"/>
    </row>
    <row r="321" ht="14.25" customHeight="1">
      <c r="A321" s="73"/>
      <c r="B321" s="73"/>
      <c r="C321" s="73"/>
      <c r="D321" s="73"/>
      <c r="E321" s="73"/>
      <c r="F321" s="72"/>
    </row>
    <row r="322" ht="14.25" customHeight="1">
      <c r="A322" s="73"/>
      <c r="B322" s="73"/>
      <c r="C322" s="73"/>
      <c r="D322" s="73"/>
      <c r="E322" s="73"/>
      <c r="F322" s="72"/>
    </row>
    <row r="323" ht="14.25" customHeight="1">
      <c r="A323" s="73"/>
      <c r="B323" s="73"/>
      <c r="C323" s="73"/>
      <c r="D323" s="73"/>
      <c r="E323" s="73"/>
      <c r="F323" s="72"/>
    </row>
    <row r="324" ht="14.25" customHeight="1">
      <c r="A324" s="73"/>
      <c r="B324" s="73"/>
      <c r="C324" s="73"/>
      <c r="D324" s="73"/>
      <c r="E324" s="73"/>
      <c r="F324" s="72"/>
    </row>
    <row r="325" ht="14.25" customHeight="1">
      <c r="A325" s="73"/>
      <c r="B325" s="73"/>
      <c r="C325" s="73"/>
      <c r="D325" s="73"/>
      <c r="E325" s="73"/>
      <c r="F325" s="72"/>
    </row>
    <row r="326" ht="14.25" customHeight="1">
      <c r="A326" s="73"/>
      <c r="B326" s="73"/>
      <c r="C326" s="73"/>
      <c r="D326" s="73"/>
      <c r="E326" s="73"/>
      <c r="F326" s="72"/>
    </row>
    <row r="327" ht="14.25" customHeight="1">
      <c r="A327" s="73"/>
      <c r="B327" s="73"/>
      <c r="C327" s="73"/>
      <c r="D327" s="73"/>
      <c r="E327" s="73"/>
      <c r="F327" s="72"/>
    </row>
    <row r="328" ht="14.25" customHeight="1">
      <c r="A328" s="73"/>
      <c r="B328" s="73"/>
      <c r="C328" s="73"/>
      <c r="D328" s="73"/>
      <c r="E328" s="73"/>
      <c r="F328" s="72"/>
    </row>
    <row r="329" ht="14.25" customHeight="1">
      <c r="A329" s="73"/>
      <c r="B329" s="73"/>
      <c r="C329" s="73"/>
      <c r="D329" s="73"/>
      <c r="E329" s="73"/>
      <c r="F329" s="72"/>
    </row>
    <row r="330" ht="14.25" customHeight="1">
      <c r="A330" s="73"/>
      <c r="B330" s="73"/>
      <c r="C330" s="73"/>
      <c r="D330" s="73"/>
      <c r="E330" s="73"/>
      <c r="F330" s="72"/>
    </row>
    <row r="331" ht="14.25" customHeight="1">
      <c r="A331" s="73"/>
      <c r="B331" s="73"/>
      <c r="C331" s="73"/>
      <c r="D331" s="73"/>
      <c r="E331" s="73"/>
      <c r="F331" s="72"/>
    </row>
    <row r="332" ht="14.25" customHeight="1">
      <c r="A332" s="73"/>
      <c r="B332" s="73"/>
      <c r="C332" s="73"/>
      <c r="D332" s="73"/>
      <c r="E332" s="73"/>
      <c r="F332" s="72"/>
    </row>
    <row r="333" ht="14.25" customHeight="1">
      <c r="A333" s="73"/>
      <c r="B333" s="73"/>
      <c r="C333" s="73"/>
      <c r="D333" s="73"/>
      <c r="E333" s="73"/>
      <c r="F333" s="72"/>
    </row>
    <row r="334" ht="14.25" customHeight="1">
      <c r="A334" s="73"/>
      <c r="B334" s="73"/>
      <c r="C334" s="73"/>
      <c r="D334" s="73"/>
      <c r="E334" s="73"/>
      <c r="F334" s="72"/>
    </row>
    <row r="335" ht="14.25" customHeight="1">
      <c r="A335" s="73"/>
      <c r="B335" s="73"/>
      <c r="C335" s="73"/>
      <c r="D335" s="73"/>
      <c r="E335" s="73"/>
      <c r="F335" s="72"/>
    </row>
    <row r="336" ht="14.25" customHeight="1">
      <c r="A336" s="73"/>
      <c r="B336" s="73"/>
      <c r="C336" s="73"/>
      <c r="D336" s="73"/>
      <c r="E336" s="73"/>
      <c r="F336" s="72"/>
    </row>
    <row r="337" ht="14.25" customHeight="1">
      <c r="A337" s="73"/>
      <c r="B337" s="73"/>
      <c r="C337" s="73"/>
      <c r="D337" s="73"/>
      <c r="E337" s="73"/>
      <c r="F337" s="72"/>
    </row>
    <row r="338" ht="14.25" customHeight="1">
      <c r="A338" s="73"/>
      <c r="B338" s="73"/>
      <c r="C338" s="73"/>
      <c r="D338" s="73"/>
      <c r="E338" s="73"/>
      <c r="F338" s="72"/>
    </row>
    <row r="339" ht="14.25" customHeight="1">
      <c r="A339" s="73"/>
      <c r="B339" s="73"/>
      <c r="C339" s="73"/>
      <c r="D339" s="73"/>
      <c r="E339" s="73"/>
      <c r="F339" s="72"/>
    </row>
    <row r="340" ht="14.25" customHeight="1">
      <c r="A340" s="73"/>
      <c r="B340" s="73"/>
      <c r="C340" s="73"/>
      <c r="D340" s="73"/>
      <c r="E340" s="73"/>
      <c r="F340" s="72"/>
    </row>
    <row r="341" ht="14.25" customHeight="1">
      <c r="A341" s="73"/>
      <c r="B341" s="73"/>
      <c r="C341" s="73"/>
      <c r="D341" s="73"/>
      <c r="E341" s="73"/>
      <c r="F341" s="72"/>
    </row>
    <row r="342" ht="14.25" customHeight="1">
      <c r="A342" s="73"/>
      <c r="B342" s="73"/>
      <c r="C342" s="73"/>
      <c r="D342" s="73"/>
      <c r="E342" s="73"/>
      <c r="F342" s="72"/>
    </row>
    <row r="343" ht="14.25" customHeight="1">
      <c r="A343" s="73"/>
      <c r="B343" s="73"/>
      <c r="C343" s="73"/>
      <c r="D343" s="73"/>
      <c r="E343" s="73"/>
      <c r="F343" s="72"/>
    </row>
    <row r="344" ht="14.25" customHeight="1">
      <c r="A344" s="73"/>
      <c r="B344" s="73"/>
      <c r="C344" s="73"/>
      <c r="D344" s="73"/>
      <c r="E344" s="73"/>
      <c r="F344" s="72"/>
    </row>
    <row r="345" ht="14.25" customHeight="1">
      <c r="A345" s="73"/>
      <c r="B345" s="73"/>
      <c r="C345" s="73"/>
      <c r="D345" s="73"/>
      <c r="E345" s="73"/>
      <c r="F345" s="72"/>
    </row>
    <row r="346" ht="14.25" customHeight="1">
      <c r="A346" s="73"/>
      <c r="B346" s="73"/>
      <c r="C346" s="73"/>
      <c r="D346" s="73"/>
      <c r="E346" s="73"/>
      <c r="F346" s="72"/>
    </row>
    <row r="347" ht="14.25" customHeight="1">
      <c r="A347" s="73"/>
      <c r="B347" s="73"/>
      <c r="C347" s="73"/>
      <c r="D347" s="73"/>
      <c r="E347" s="73"/>
      <c r="F347" s="72"/>
    </row>
    <row r="348" ht="14.25" customHeight="1">
      <c r="A348" s="73"/>
      <c r="B348" s="73"/>
      <c r="C348" s="73"/>
      <c r="D348" s="73"/>
      <c r="E348" s="73"/>
      <c r="F348" s="72"/>
    </row>
    <row r="349" ht="14.25" customHeight="1">
      <c r="A349" s="73"/>
      <c r="B349" s="73"/>
      <c r="C349" s="73"/>
      <c r="D349" s="73"/>
      <c r="E349" s="73"/>
      <c r="F349" s="72"/>
    </row>
    <row r="350" ht="14.25" customHeight="1">
      <c r="A350" s="73"/>
      <c r="B350" s="73"/>
      <c r="C350" s="73"/>
      <c r="D350" s="73"/>
      <c r="E350" s="73"/>
      <c r="F350" s="72"/>
    </row>
    <row r="351" ht="14.25" customHeight="1">
      <c r="A351" s="73"/>
      <c r="B351" s="73"/>
      <c r="C351" s="73"/>
      <c r="D351" s="73"/>
      <c r="E351" s="73"/>
      <c r="F351" s="72"/>
    </row>
    <row r="352" ht="14.25" customHeight="1">
      <c r="A352" s="73"/>
      <c r="B352" s="73"/>
      <c r="C352" s="73"/>
      <c r="D352" s="73"/>
      <c r="E352" s="73"/>
      <c r="F352" s="72"/>
    </row>
    <row r="353" ht="14.25" customHeight="1">
      <c r="A353" s="73"/>
      <c r="B353" s="73"/>
      <c r="C353" s="73"/>
      <c r="D353" s="73"/>
      <c r="E353" s="73"/>
      <c r="F353" s="72"/>
    </row>
    <row r="354" ht="14.25" customHeight="1">
      <c r="A354" s="73"/>
      <c r="B354" s="73"/>
      <c r="C354" s="73"/>
      <c r="D354" s="73"/>
      <c r="E354" s="73"/>
      <c r="F354" s="72"/>
    </row>
    <row r="355" ht="14.25" customHeight="1">
      <c r="A355" s="73"/>
      <c r="B355" s="73"/>
      <c r="C355" s="73"/>
      <c r="D355" s="73"/>
      <c r="E355" s="73"/>
      <c r="F355" s="72"/>
    </row>
    <row r="356" ht="14.25" customHeight="1">
      <c r="A356" s="73"/>
      <c r="B356" s="73"/>
      <c r="C356" s="73"/>
      <c r="D356" s="73"/>
      <c r="E356" s="73"/>
      <c r="F356" s="72"/>
    </row>
    <row r="357" ht="14.25" customHeight="1">
      <c r="A357" s="73"/>
      <c r="B357" s="73"/>
      <c r="C357" s="73"/>
      <c r="D357" s="73"/>
      <c r="E357" s="73"/>
      <c r="F357" s="72"/>
    </row>
    <row r="358" ht="14.25" customHeight="1">
      <c r="A358" s="73"/>
      <c r="B358" s="73"/>
      <c r="C358" s="73"/>
      <c r="D358" s="73"/>
      <c r="E358" s="73"/>
      <c r="F358" s="72"/>
    </row>
    <row r="359" ht="14.25" customHeight="1">
      <c r="A359" s="73"/>
      <c r="B359" s="73"/>
      <c r="C359" s="73"/>
      <c r="D359" s="73"/>
      <c r="E359" s="73"/>
      <c r="F359" s="72"/>
    </row>
    <row r="360" ht="14.25" customHeight="1">
      <c r="A360" s="73"/>
      <c r="B360" s="73"/>
      <c r="C360" s="73"/>
      <c r="D360" s="73"/>
      <c r="E360" s="73"/>
      <c r="F360" s="72"/>
    </row>
    <row r="361" ht="14.25" customHeight="1">
      <c r="A361" s="73"/>
      <c r="B361" s="73"/>
      <c r="C361" s="73"/>
      <c r="D361" s="73"/>
      <c r="E361" s="73"/>
      <c r="F361" s="72"/>
    </row>
    <row r="362" ht="14.25" customHeight="1">
      <c r="A362" s="73"/>
      <c r="B362" s="73"/>
      <c r="C362" s="73"/>
      <c r="D362" s="73"/>
      <c r="E362" s="73"/>
      <c r="F362" s="72"/>
    </row>
    <row r="363" ht="14.25" customHeight="1">
      <c r="A363" s="73"/>
      <c r="B363" s="73"/>
      <c r="C363" s="73"/>
      <c r="D363" s="73"/>
      <c r="E363" s="73"/>
      <c r="F363" s="72"/>
    </row>
    <row r="364" ht="14.25" customHeight="1">
      <c r="A364" s="73"/>
      <c r="B364" s="73"/>
      <c r="C364" s="73"/>
      <c r="D364" s="73"/>
      <c r="E364" s="73"/>
      <c r="F364" s="72"/>
    </row>
    <row r="365" ht="14.25" customHeight="1">
      <c r="A365" s="73"/>
      <c r="B365" s="73"/>
      <c r="C365" s="73"/>
      <c r="D365" s="73"/>
      <c r="E365" s="73"/>
      <c r="F365" s="72"/>
    </row>
    <row r="366" ht="14.25" customHeight="1">
      <c r="A366" s="73"/>
      <c r="B366" s="73"/>
      <c r="C366" s="73"/>
      <c r="D366" s="73"/>
      <c r="E366" s="73"/>
      <c r="F366" s="72"/>
    </row>
    <row r="367" ht="14.25" customHeight="1">
      <c r="A367" s="73"/>
      <c r="B367" s="73"/>
      <c r="C367" s="73"/>
      <c r="D367" s="73"/>
      <c r="E367" s="73"/>
      <c r="F367" s="72"/>
    </row>
    <row r="368" ht="14.25" customHeight="1">
      <c r="A368" s="73"/>
      <c r="B368" s="73"/>
      <c r="C368" s="73"/>
      <c r="D368" s="73"/>
      <c r="E368" s="73"/>
      <c r="F368" s="72"/>
    </row>
    <row r="369" ht="14.25" customHeight="1">
      <c r="A369" s="73"/>
      <c r="B369" s="73"/>
      <c r="C369" s="73"/>
      <c r="D369" s="73"/>
      <c r="E369" s="73"/>
      <c r="F369" s="72"/>
    </row>
    <row r="370" ht="14.25" customHeight="1">
      <c r="A370" s="73"/>
      <c r="B370" s="73"/>
      <c r="C370" s="73"/>
      <c r="D370" s="73"/>
      <c r="E370" s="73"/>
      <c r="F370" s="72"/>
    </row>
    <row r="371" ht="14.25" customHeight="1">
      <c r="A371" s="73"/>
      <c r="B371" s="73"/>
      <c r="C371" s="73"/>
      <c r="D371" s="73"/>
      <c r="E371" s="73"/>
      <c r="F371" s="72"/>
    </row>
    <row r="372" ht="14.25" customHeight="1">
      <c r="A372" s="73"/>
      <c r="B372" s="73"/>
      <c r="C372" s="73"/>
      <c r="D372" s="73"/>
      <c r="E372" s="73"/>
      <c r="F372" s="72"/>
    </row>
    <row r="373" ht="14.25" customHeight="1">
      <c r="A373" s="73"/>
      <c r="B373" s="73"/>
      <c r="C373" s="73"/>
      <c r="D373" s="73"/>
      <c r="E373" s="73"/>
      <c r="F373" s="72"/>
    </row>
    <row r="374" ht="14.25" customHeight="1">
      <c r="A374" s="73"/>
      <c r="B374" s="73"/>
      <c r="C374" s="73"/>
      <c r="D374" s="73"/>
      <c r="E374" s="73"/>
      <c r="F374" s="72"/>
    </row>
    <row r="375" ht="14.25" customHeight="1">
      <c r="A375" s="73"/>
      <c r="B375" s="73"/>
      <c r="C375" s="73"/>
      <c r="D375" s="73"/>
      <c r="E375" s="73"/>
      <c r="F375" s="72"/>
    </row>
    <row r="376" ht="14.25" customHeight="1">
      <c r="A376" s="73"/>
      <c r="B376" s="73"/>
      <c r="C376" s="73"/>
      <c r="D376" s="73"/>
      <c r="E376" s="73"/>
      <c r="F376" s="72"/>
    </row>
    <row r="377" ht="14.25" customHeight="1">
      <c r="A377" s="73"/>
      <c r="B377" s="73"/>
      <c r="C377" s="73"/>
      <c r="D377" s="73"/>
      <c r="E377" s="73"/>
      <c r="F377" s="72"/>
    </row>
    <row r="378" ht="14.25" customHeight="1">
      <c r="A378" s="73"/>
      <c r="B378" s="73"/>
      <c r="C378" s="73"/>
      <c r="D378" s="73"/>
      <c r="E378" s="73"/>
      <c r="F378" s="72"/>
    </row>
    <row r="379" ht="14.25" customHeight="1">
      <c r="A379" s="73"/>
      <c r="B379" s="73"/>
      <c r="C379" s="73"/>
      <c r="D379" s="73"/>
      <c r="E379" s="73"/>
      <c r="F379" s="72"/>
    </row>
    <row r="380" ht="14.25" customHeight="1">
      <c r="A380" s="73"/>
      <c r="B380" s="73"/>
      <c r="C380" s="73"/>
      <c r="D380" s="73"/>
      <c r="E380" s="73"/>
      <c r="F380" s="72"/>
    </row>
    <row r="381" ht="14.25" customHeight="1">
      <c r="A381" s="73"/>
      <c r="B381" s="73"/>
      <c r="C381" s="73"/>
      <c r="D381" s="73"/>
      <c r="E381" s="73"/>
      <c r="F381" s="72"/>
    </row>
    <row r="382" ht="14.25" customHeight="1">
      <c r="A382" s="73"/>
      <c r="B382" s="73"/>
      <c r="C382" s="73"/>
      <c r="D382" s="73"/>
      <c r="E382" s="73"/>
      <c r="F382" s="72"/>
    </row>
    <row r="383" ht="14.25" customHeight="1">
      <c r="A383" s="73"/>
      <c r="B383" s="73"/>
      <c r="C383" s="73"/>
      <c r="D383" s="73"/>
      <c r="E383" s="73"/>
      <c r="F383" s="72"/>
    </row>
    <row r="384" ht="14.25" customHeight="1">
      <c r="A384" s="73"/>
      <c r="B384" s="73"/>
      <c r="C384" s="73"/>
      <c r="D384" s="73"/>
      <c r="E384" s="73"/>
      <c r="F384" s="72"/>
    </row>
    <row r="385" ht="14.25" customHeight="1">
      <c r="A385" s="73"/>
      <c r="B385" s="73"/>
      <c r="C385" s="73"/>
      <c r="D385" s="73"/>
      <c r="E385" s="73"/>
      <c r="F385" s="72"/>
    </row>
    <row r="386" ht="14.25" customHeight="1">
      <c r="A386" s="73"/>
      <c r="B386" s="73"/>
      <c r="C386" s="73"/>
      <c r="D386" s="73"/>
      <c r="E386" s="73"/>
      <c r="F386" s="72"/>
    </row>
    <row r="387" ht="14.25" customHeight="1">
      <c r="A387" s="73"/>
      <c r="B387" s="73"/>
      <c r="C387" s="73"/>
      <c r="D387" s="73"/>
      <c r="E387" s="73"/>
      <c r="F387" s="72"/>
    </row>
    <row r="388" ht="14.25" customHeight="1">
      <c r="A388" s="73"/>
      <c r="B388" s="73"/>
      <c r="C388" s="73"/>
      <c r="D388" s="73"/>
      <c r="E388" s="73"/>
      <c r="F388" s="72"/>
    </row>
    <row r="389" ht="14.25" customHeight="1">
      <c r="A389" s="73"/>
      <c r="B389" s="73"/>
      <c r="C389" s="73"/>
      <c r="D389" s="73"/>
      <c r="E389" s="73"/>
      <c r="F389" s="72"/>
    </row>
    <row r="390" ht="14.25" customHeight="1">
      <c r="A390" s="73"/>
      <c r="B390" s="73"/>
      <c r="C390" s="73"/>
      <c r="D390" s="73"/>
      <c r="E390" s="73"/>
      <c r="F390" s="72"/>
    </row>
    <row r="391" ht="14.25" customHeight="1">
      <c r="A391" s="73"/>
      <c r="B391" s="73"/>
      <c r="C391" s="73"/>
      <c r="D391" s="73"/>
      <c r="E391" s="73"/>
      <c r="F391" s="72"/>
    </row>
    <row r="392" ht="14.25" customHeight="1">
      <c r="A392" s="73"/>
      <c r="B392" s="73"/>
      <c r="C392" s="73"/>
      <c r="D392" s="73"/>
      <c r="E392" s="73"/>
      <c r="F392" s="72"/>
    </row>
    <row r="393" ht="14.25" customHeight="1">
      <c r="A393" s="73"/>
      <c r="B393" s="73"/>
      <c r="C393" s="73"/>
      <c r="D393" s="73"/>
      <c r="E393" s="73"/>
      <c r="F393" s="72"/>
    </row>
    <row r="394" ht="14.25" customHeight="1">
      <c r="A394" s="73"/>
      <c r="B394" s="73"/>
      <c r="C394" s="73"/>
      <c r="D394" s="73"/>
      <c r="E394" s="73"/>
      <c r="F394" s="72"/>
    </row>
    <row r="395" ht="14.25" customHeight="1">
      <c r="A395" s="73"/>
      <c r="B395" s="73"/>
      <c r="C395" s="73"/>
      <c r="D395" s="73"/>
      <c r="E395" s="73"/>
      <c r="F395" s="72"/>
    </row>
    <row r="396" ht="14.25" customHeight="1">
      <c r="A396" s="73"/>
      <c r="B396" s="73"/>
      <c r="C396" s="73"/>
      <c r="D396" s="73"/>
      <c r="E396" s="73"/>
      <c r="F396" s="72"/>
    </row>
    <row r="397" ht="14.25" customHeight="1">
      <c r="A397" s="73"/>
      <c r="B397" s="73"/>
      <c r="C397" s="73"/>
      <c r="D397" s="73"/>
      <c r="E397" s="73"/>
      <c r="F397" s="72"/>
    </row>
    <row r="398" ht="14.25" customHeight="1">
      <c r="A398" s="73"/>
      <c r="B398" s="73"/>
      <c r="C398" s="73"/>
      <c r="D398" s="73"/>
      <c r="E398" s="73"/>
      <c r="F398" s="72"/>
    </row>
    <row r="399" ht="14.25" customHeight="1">
      <c r="A399" s="73"/>
      <c r="B399" s="73"/>
      <c r="C399" s="73"/>
      <c r="D399" s="73"/>
      <c r="E399" s="73"/>
      <c r="F399" s="72"/>
    </row>
    <row r="400" ht="14.25" customHeight="1">
      <c r="A400" s="73"/>
      <c r="B400" s="73"/>
      <c r="C400" s="73"/>
      <c r="D400" s="73"/>
      <c r="E400" s="73"/>
      <c r="F400" s="72"/>
    </row>
    <row r="401" ht="14.25" customHeight="1">
      <c r="A401" s="73"/>
      <c r="B401" s="73"/>
      <c r="C401" s="73"/>
      <c r="D401" s="73"/>
      <c r="E401" s="73"/>
      <c r="F401" s="72"/>
    </row>
    <row r="402" ht="14.25" customHeight="1">
      <c r="A402" s="73"/>
      <c r="B402" s="73"/>
      <c r="C402" s="73"/>
      <c r="D402" s="73"/>
      <c r="E402" s="73"/>
      <c r="F402" s="72"/>
    </row>
    <row r="403" ht="14.25" customHeight="1">
      <c r="A403" s="73"/>
      <c r="B403" s="73"/>
      <c r="C403" s="73"/>
      <c r="D403" s="73"/>
      <c r="E403" s="73"/>
      <c r="F403" s="72"/>
    </row>
    <row r="404" ht="14.25" customHeight="1">
      <c r="A404" s="73"/>
      <c r="B404" s="73"/>
      <c r="C404" s="73"/>
      <c r="D404" s="73"/>
      <c r="E404" s="73"/>
      <c r="F404" s="72"/>
    </row>
    <row r="405" ht="14.25" customHeight="1">
      <c r="A405" s="73"/>
      <c r="B405" s="73"/>
      <c r="C405" s="73"/>
      <c r="D405" s="73"/>
      <c r="E405" s="73"/>
      <c r="F405" s="72"/>
    </row>
    <row r="406" ht="14.25" customHeight="1">
      <c r="A406" s="73"/>
      <c r="B406" s="73"/>
      <c r="C406" s="73"/>
      <c r="D406" s="73"/>
      <c r="E406" s="73"/>
      <c r="F406" s="72"/>
    </row>
    <row r="407" ht="14.25" customHeight="1">
      <c r="A407" s="73"/>
      <c r="B407" s="73"/>
      <c r="C407" s="73"/>
      <c r="D407" s="73"/>
      <c r="E407" s="73"/>
      <c r="F407" s="72"/>
    </row>
    <row r="408" ht="14.25" customHeight="1">
      <c r="A408" s="73"/>
      <c r="B408" s="73"/>
      <c r="C408" s="73"/>
      <c r="D408" s="73"/>
      <c r="E408" s="73"/>
      <c r="F408" s="72"/>
    </row>
    <row r="409" ht="14.25" customHeight="1">
      <c r="A409" s="73"/>
      <c r="B409" s="73"/>
      <c r="C409" s="73"/>
      <c r="D409" s="73"/>
      <c r="E409" s="73"/>
      <c r="F409" s="72"/>
    </row>
    <row r="410" ht="14.25" customHeight="1">
      <c r="A410" s="73"/>
      <c r="B410" s="73"/>
      <c r="C410" s="73"/>
      <c r="D410" s="73"/>
      <c r="E410" s="73"/>
      <c r="F410" s="72"/>
    </row>
    <row r="411" ht="14.25" customHeight="1">
      <c r="A411" s="73"/>
      <c r="B411" s="73"/>
      <c r="C411" s="73"/>
      <c r="D411" s="73"/>
      <c r="E411" s="73"/>
      <c r="F411" s="72"/>
    </row>
    <row r="412" ht="14.25" customHeight="1">
      <c r="A412" s="73"/>
      <c r="B412" s="73"/>
      <c r="C412" s="73"/>
      <c r="D412" s="73"/>
      <c r="E412" s="73"/>
      <c r="F412" s="72"/>
    </row>
    <row r="413" ht="14.25" customHeight="1">
      <c r="A413" s="73"/>
      <c r="B413" s="73"/>
      <c r="C413" s="73"/>
      <c r="D413" s="73"/>
      <c r="E413" s="73"/>
      <c r="F413" s="72"/>
    </row>
    <row r="414" ht="14.25" customHeight="1">
      <c r="A414" s="73"/>
      <c r="B414" s="73"/>
      <c r="C414" s="73"/>
      <c r="D414" s="73"/>
      <c r="E414" s="73"/>
      <c r="F414" s="72"/>
    </row>
    <row r="415" ht="14.25" customHeight="1">
      <c r="A415" s="73"/>
      <c r="B415" s="73"/>
      <c r="C415" s="73"/>
      <c r="D415" s="73"/>
      <c r="E415" s="73"/>
      <c r="F415" s="72"/>
    </row>
    <row r="416" ht="14.25" customHeight="1">
      <c r="A416" s="73"/>
      <c r="B416" s="73"/>
      <c r="C416" s="73"/>
      <c r="D416" s="73"/>
      <c r="E416" s="73"/>
      <c r="F416" s="72"/>
    </row>
    <row r="417" ht="14.25" customHeight="1">
      <c r="A417" s="73"/>
      <c r="B417" s="73"/>
      <c r="C417" s="73"/>
      <c r="D417" s="73"/>
      <c r="E417" s="73"/>
      <c r="F417" s="72"/>
    </row>
    <row r="418" ht="14.25" customHeight="1">
      <c r="A418" s="73"/>
      <c r="B418" s="73"/>
      <c r="C418" s="73"/>
      <c r="D418" s="73"/>
      <c r="E418" s="73"/>
      <c r="F418" s="72"/>
    </row>
    <row r="419" ht="14.25" customHeight="1">
      <c r="A419" s="73"/>
      <c r="B419" s="73"/>
      <c r="C419" s="73"/>
      <c r="D419" s="73"/>
      <c r="E419" s="73"/>
      <c r="F419" s="72"/>
    </row>
    <row r="420" ht="14.25" customHeight="1">
      <c r="A420" s="73"/>
      <c r="B420" s="73"/>
      <c r="C420" s="73"/>
      <c r="D420" s="73"/>
      <c r="E420" s="73"/>
      <c r="F420" s="72"/>
    </row>
    <row r="421" ht="14.25" customHeight="1">
      <c r="A421" s="73"/>
      <c r="B421" s="73"/>
      <c r="C421" s="73"/>
      <c r="D421" s="73"/>
      <c r="E421" s="73"/>
      <c r="F421" s="72"/>
    </row>
    <row r="422" ht="14.25" customHeight="1">
      <c r="A422" s="73"/>
      <c r="B422" s="73"/>
      <c r="C422" s="73"/>
      <c r="D422" s="73"/>
      <c r="E422" s="73"/>
      <c r="F422" s="72"/>
    </row>
    <row r="423" ht="14.25" customHeight="1">
      <c r="A423" s="73"/>
      <c r="B423" s="73"/>
      <c r="C423" s="73"/>
      <c r="D423" s="73"/>
      <c r="E423" s="73"/>
      <c r="F423" s="72"/>
    </row>
    <row r="424" ht="14.25" customHeight="1">
      <c r="A424" s="73"/>
      <c r="B424" s="73"/>
      <c r="C424" s="73"/>
      <c r="D424" s="73"/>
      <c r="E424" s="73"/>
      <c r="F424" s="72"/>
    </row>
    <row r="425" ht="14.25" customHeight="1">
      <c r="A425" s="73"/>
      <c r="B425" s="73"/>
      <c r="C425" s="73"/>
      <c r="D425" s="73"/>
      <c r="E425" s="73"/>
      <c r="F425" s="72"/>
    </row>
    <row r="426" ht="14.25" customHeight="1">
      <c r="A426" s="73"/>
      <c r="B426" s="73"/>
      <c r="C426" s="73"/>
      <c r="D426" s="73"/>
      <c r="E426" s="73"/>
      <c r="F426" s="72"/>
    </row>
    <row r="427" ht="14.25" customHeight="1">
      <c r="A427" s="73"/>
      <c r="B427" s="73"/>
      <c r="C427" s="73"/>
      <c r="D427" s="73"/>
      <c r="E427" s="73"/>
      <c r="F427" s="72"/>
    </row>
    <row r="428" ht="14.25" customHeight="1">
      <c r="A428" s="73"/>
      <c r="B428" s="73"/>
      <c r="C428" s="73"/>
      <c r="D428" s="73"/>
      <c r="E428" s="73"/>
      <c r="F428" s="72"/>
    </row>
    <row r="429" ht="14.25" customHeight="1">
      <c r="A429" s="73"/>
      <c r="B429" s="73"/>
      <c r="C429" s="73"/>
      <c r="D429" s="73"/>
      <c r="E429" s="73"/>
      <c r="F429" s="72"/>
    </row>
    <row r="430" ht="14.25" customHeight="1">
      <c r="A430" s="73"/>
      <c r="B430" s="73"/>
      <c r="C430" s="73"/>
      <c r="D430" s="73"/>
      <c r="E430" s="73"/>
      <c r="F430" s="72"/>
    </row>
    <row r="431" ht="14.25" customHeight="1">
      <c r="A431" s="73"/>
      <c r="B431" s="73"/>
      <c r="C431" s="73"/>
      <c r="D431" s="73"/>
      <c r="E431" s="73"/>
      <c r="F431" s="72"/>
    </row>
    <row r="432" ht="14.25" customHeight="1">
      <c r="A432" s="73"/>
      <c r="B432" s="73"/>
      <c r="C432" s="73"/>
      <c r="D432" s="73"/>
      <c r="E432" s="73"/>
      <c r="F432" s="72"/>
    </row>
    <row r="433" ht="14.25" customHeight="1">
      <c r="A433" s="73"/>
      <c r="B433" s="73"/>
      <c r="C433" s="73"/>
      <c r="D433" s="73"/>
      <c r="E433" s="73"/>
      <c r="F433" s="72"/>
    </row>
    <row r="434" ht="14.25" customHeight="1">
      <c r="A434" s="73"/>
      <c r="B434" s="73"/>
      <c r="C434" s="73"/>
      <c r="D434" s="73"/>
      <c r="E434" s="73"/>
      <c r="F434" s="72"/>
    </row>
    <row r="435" ht="14.25" customHeight="1">
      <c r="A435" s="73"/>
      <c r="B435" s="73"/>
      <c r="C435" s="73"/>
      <c r="D435" s="73"/>
      <c r="E435" s="73"/>
      <c r="F435" s="72"/>
    </row>
    <row r="436" ht="14.25" customHeight="1">
      <c r="A436" s="73"/>
      <c r="B436" s="73"/>
      <c r="C436" s="73"/>
      <c r="D436" s="73"/>
      <c r="E436" s="73"/>
      <c r="F436" s="72"/>
    </row>
    <row r="437" ht="14.25" customHeight="1">
      <c r="A437" s="73"/>
      <c r="B437" s="73"/>
      <c r="C437" s="73"/>
      <c r="D437" s="73"/>
      <c r="E437" s="73"/>
      <c r="F437" s="72"/>
    </row>
    <row r="438" ht="14.25" customHeight="1">
      <c r="A438" s="73"/>
      <c r="B438" s="73"/>
      <c r="C438" s="73"/>
      <c r="D438" s="73"/>
      <c r="E438" s="73"/>
      <c r="F438" s="72"/>
    </row>
    <row r="439" ht="14.25" customHeight="1">
      <c r="A439" s="73"/>
      <c r="B439" s="73"/>
      <c r="C439" s="73"/>
      <c r="D439" s="73"/>
      <c r="E439" s="73"/>
      <c r="F439" s="72"/>
    </row>
    <row r="440" ht="14.25" customHeight="1">
      <c r="A440" s="73"/>
      <c r="B440" s="73"/>
      <c r="C440" s="73"/>
      <c r="D440" s="73"/>
      <c r="E440" s="73"/>
      <c r="F440" s="72"/>
    </row>
    <row r="441" ht="14.25" customHeight="1">
      <c r="A441" s="73"/>
      <c r="B441" s="73"/>
      <c r="C441" s="73"/>
      <c r="D441" s="73"/>
      <c r="E441" s="73"/>
      <c r="F441" s="72"/>
    </row>
    <row r="442" ht="14.25" customHeight="1">
      <c r="A442" s="73"/>
      <c r="B442" s="73"/>
      <c r="C442" s="73"/>
      <c r="D442" s="73"/>
      <c r="E442" s="73"/>
      <c r="F442" s="72"/>
    </row>
    <row r="443" ht="14.25" customHeight="1">
      <c r="A443" s="73"/>
      <c r="B443" s="73"/>
      <c r="C443" s="73"/>
      <c r="D443" s="73"/>
      <c r="E443" s="73"/>
      <c r="F443" s="72"/>
    </row>
    <row r="444" ht="14.25" customHeight="1">
      <c r="A444" s="73"/>
      <c r="B444" s="73"/>
      <c r="C444" s="73"/>
      <c r="D444" s="73"/>
      <c r="E444" s="73"/>
      <c r="F444" s="72"/>
    </row>
    <row r="445" ht="14.25" customHeight="1">
      <c r="A445" s="73"/>
      <c r="B445" s="73"/>
      <c r="C445" s="73"/>
      <c r="D445" s="73"/>
      <c r="E445" s="73"/>
      <c r="F445" s="72"/>
    </row>
    <row r="446" ht="14.25" customHeight="1">
      <c r="A446" s="73"/>
      <c r="B446" s="73"/>
      <c r="C446" s="73"/>
      <c r="D446" s="73"/>
      <c r="E446" s="73"/>
      <c r="F446" s="72"/>
    </row>
    <row r="447" ht="14.25" customHeight="1">
      <c r="A447" s="73"/>
      <c r="B447" s="73"/>
      <c r="C447" s="73"/>
      <c r="D447" s="73"/>
      <c r="E447" s="73"/>
      <c r="F447" s="72"/>
    </row>
    <row r="448" ht="14.25" customHeight="1">
      <c r="A448" s="73"/>
      <c r="B448" s="73"/>
      <c r="C448" s="73"/>
      <c r="D448" s="73"/>
      <c r="E448" s="73"/>
      <c r="F448" s="72"/>
    </row>
    <row r="449" ht="14.25" customHeight="1">
      <c r="A449" s="73"/>
      <c r="B449" s="73"/>
      <c r="C449" s="73"/>
      <c r="D449" s="73"/>
      <c r="E449" s="73"/>
      <c r="F449" s="72"/>
    </row>
    <row r="450" ht="14.25" customHeight="1">
      <c r="A450" s="73"/>
      <c r="B450" s="73"/>
      <c r="C450" s="73"/>
      <c r="D450" s="73"/>
      <c r="E450" s="73"/>
      <c r="F450" s="72"/>
    </row>
    <row r="451" ht="14.25" customHeight="1">
      <c r="A451" s="73"/>
      <c r="B451" s="73"/>
      <c r="C451" s="73"/>
      <c r="D451" s="73"/>
      <c r="E451" s="73"/>
      <c r="F451" s="72"/>
    </row>
    <row r="452" ht="14.25" customHeight="1">
      <c r="A452" s="73"/>
      <c r="B452" s="73"/>
      <c r="C452" s="73"/>
      <c r="D452" s="73"/>
      <c r="E452" s="73"/>
      <c r="F452" s="72"/>
    </row>
    <row r="453" ht="14.25" customHeight="1">
      <c r="A453" s="73"/>
      <c r="B453" s="73"/>
      <c r="C453" s="73"/>
      <c r="D453" s="73"/>
      <c r="E453" s="73"/>
      <c r="F453" s="72"/>
    </row>
    <row r="454" ht="14.25" customHeight="1">
      <c r="A454" s="73"/>
      <c r="B454" s="73"/>
      <c r="C454" s="73"/>
      <c r="D454" s="73"/>
      <c r="E454" s="73"/>
      <c r="F454" s="72"/>
    </row>
    <row r="455" ht="14.25" customHeight="1">
      <c r="A455" s="73"/>
      <c r="B455" s="73"/>
      <c r="C455" s="73"/>
      <c r="D455" s="73"/>
      <c r="E455" s="73"/>
      <c r="F455" s="72"/>
    </row>
    <row r="456" ht="14.25" customHeight="1">
      <c r="A456" s="73"/>
      <c r="B456" s="73"/>
      <c r="C456" s="73"/>
      <c r="D456" s="73"/>
      <c r="E456" s="73"/>
      <c r="F456" s="72"/>
    </row>
    <row r="457" ht="14.25" customHeight="1">
      <c r="A457" s="73"/>
      <c r="B457" s="73"/>
      <c r="C457" s="73"/>
      <c r="D457" s="73"/>
      <c r="E457" s="73"/>
      <c r="F457" s="72"/>
    </row>
    <row r="458" ht="14.25" customHeight="1">
      <c r="A458" s="73"/>
      <c r="B458" s="73"/>
      <c r="C458" s="73"/>
      <c r="D458" s="73"/>
      <c r="E458" s="73"/>
      <c r="F458" s="72"/>
    </row>
    <row r="459" ht="14.25" customHeight="1">
      <c r="A459" s="73"/>
      <c r="B459" s="73"/>
      <c r="C459" s="73"/>
      <c r="D459" s="73"/>
      <c r="E459" s="73"/>
      <c r="F459" s="72"/>
    </row>
    <row r="460" ht="14.25" customHeight="1">
      <c r="A460" s="73"/>
      <c r="B460" s="73"/>
      <c r="C460" s="73"/>
      <c r="D460" s="73"/>
      <c r="E460" s="73"/>
      <c r="F460" s="72"/>
    </row>
    <row r="461" ht="14.25" customHeight="1">
      <c r="A461" s="73"/>
      <c r="B461" s="73"/>
      <c r="C461" s="73"/>
      <c r="D461" s="73"/>
      <c r="E461" s="73"/>
      <c r="F461" s="72"/>
    </row>
    <row r="462" ht="14.25" customHeight="1">
      <c r="A462" s="73"/>
      <c r="B462" s="73"/>
      <c r="C462" s="73"/>
      <c r="D462" s="73"/>
      <c r="E462" s="73"/>
      <c r="F462" s="72"/>
    </row>
    <row r="463" ht="14.25" customHeight="1">
      <c r="A463" s="73"/>
      <c r="B463" s="73"/>
      <c r="C463" s="73"/>
      <c r="D463" s="73"/>
      <c r="E463" s="73"/>
      <c r="F463" s="72"/>
    </row>
    <row r="464" ht="14.25" customHeight="1">
      <c r="A464" s="73"/>
      <c r="B464" s="73"/>
      <c r="C464" s="73"/>
      <c r="D464" s="73"/>
      <c r="E464" s="73"/>
      <c r="F464" s="72"/>
    </row>
    <row r="465" ht="14.25" customHeight="1">
      <c r="A465" s="73"/>
      <c r="B465" s="73"/>
      <c r="C465" s="73"/>
      <c r="D465" s="73"/>
      <c r="E465" s="73"/>
      <c r="F465" s="72"/>
    </row>
    <row r="466" ht="14.25" customHeight="1">
      <c r="A466" s="73"/>
      <c r="B466" s="73"/>
      <c r="C466" s="73"/>
      <c r="D466" s="73"/>
      <c r="E466" s="73"/>
      <c r="F466" s="72"/>
    </row>
    <row r="467" ht="14.25" customHeight="1">
      <c r="A467" s="73"/>
      <c r="B467" s="73"/>
      <c r="C467" s="73"/>
      <c r="D467" s="73"/>
      <c r="E467" s="73"/>
      <c r="F467" s="72"/>
    </row>
    <row r="468" ht="14.25" customHeight="1">
      <c r="A468" s="73"/>
      <c r="B468" s="73"/>
      <c r="C468" s="73"/>
      <c r="D468" s="73"/>
      <c r="E468" s="73"/>
      <c r="F468" s="72"/>
    </row>
    <row r="469" ht="14.25" customHeight="1">
      <c r="A469" s="73"/>
      <c r="B469" s="73"/>
      <c r="C469" s="73"/>
      <c r="D469" s="73"/>
      <c r="E469" s="73"/>
      <c r="F469" s="72"/>
    </row>
    <row r="470" ht="14.25" customHeight="1">
      <c r="A470" s="73"/>
      <c r="B470" s="73"/>
      <c r="C470" s="73"/>
      <c r="D470" s="73"/>
      <c r="E470" s="73"/>
      <c r="F470" s="72"/>
    </row>
    <row r="471" ht="14.25" customHeight="1">
      <c r="A471" s="73"/>
      <c r="B471" s="73"/>
      <c r="C471" s="73"/>
      <c r="D471" s="73"/>
      <c r="E471" s="73"/>
      <c r="F471" s="72"/>
    </row>
    <row r="472" ht="14.25" customHeight="1">
      <c r="A472" s="73"/>
      <c r="B472" s="73"/>
      <c r="C472" s="73"/>
      <c r="D472" s="73"/>
      <c r="E472" s="73"/>
      <c r="F472" s="72"/>
    </row>
    <row r="473" ht="14.25" customHeight="1">
      <c r="A473" s="73"/>
      <c r="B473" s="73"/>
      <c r="C473" s="73"/>
      <c r="D473" s="73"/>
      <c r="E473" s="73"/>
      <c r="F473" s="72"/>
    </row>
    <row r="474" ht="14.25" customHeight="1">
      <c r="A474" s="73"/>
      <c r="B474" s="73"/>
      <c r="C474" s="73"/>
      <c r="D474" s="73"/>
      <c r="E474" s="73"/>
      <c r="F474" s="72"/>
    </row>
    <row r="475" ht="14.25" customHeight="1">
      <c r="A475" s="73"/>
      <c r="B475" s="73"/>
      <c r="C475" s="73"/>
      <c r="D475" s="73"/>
      <c r="E475" s="73"/>
      <c r="F475" s="72"/>
    </row>
    <row r="476" ht="14.25" customHeight="1">
      <c r="A476" s="73"/>
      <c r="B476" s="73"/>
      <c r="C476" s="73"/>
      <c r="D476" s="73"/>
      <c r="E476" s="73"/>
      <c r="F476" s="72"/>
    </row>
    <row r="477" ht="14.25" customHeight="1">
      <c r="A477" s="73"/>
      <c r="B477" s="73"/>
      <c r="C477" s="73"/>
      <c r="D477" s="73"/>
      <c r="E477" s="73"/>
      <c r="F477" s="72"/>
    </row>
    <row r="478" ht="14.25" customHeight="1">
      <c r="A478" s="73"/>
      <c r="B478" s="73"/>
      <c r="C478" s="73"/>
      <c r="D478" s="73"/>
      <c r="E478" s="73"/>
      <c r="F478" s="72"/>
    </row>
    <row r="479" ht="14.25" customHeight="1">
      <c r="A479" s="73"/>
      <c r="B479" s="73"/>
      <c r="C479" s="73"/>
      <c r="D479" s="73"/>
      <c r="E479" s="73"/>
      <c r="F479" s="72"/>
    </row>
    <row r="480" ht="14.25" customHeight="1">
      <c r="A480" s="73"/>
      <c r="B480" s="73"/>
      <c r="C480" s="73"/>
      <c r="D480" s="73"/>
      <c r="E480" s="73"/>
      <c r="F480" s="72"/>
    </row>
    <row r="481" ht="14.25" customHeight="1">
      <c r="A481" s="73"/>
      <c r="B481" s="73"/>
      <c r="C481" s="73"/>
      <c r="D481" s="73"/>
      <c r="E481" s="73"/>
      <c r="F481" s="72"/>
    </row>
    <row r="482" ht="14.25" customHeight="1">
      <c r="A482" s="73"/>
      <c r="B482" s="73"/>
      <c r="C482" s="73"/>
      <c r="D482" s="73"/>
      <c r="E482" s="73"/>
      <c r="F482" s="72"/>
    </row>
    <row r="483" ht="14.25" customHeight="1">
      <c r="A483" s="73"/>
      <c r="B483" s="73"/>
      <c r="C483" s="73"/>
      <c r="D483" s="73"/>
      <c r="E483" s="73"/>
      <c r="F483" s="72"/>
    </row>
    <row r="484" ht="14.25" customHeight="1">
      <c r="A484" s="73"/>
      <c r="B484" s="73"/>
      <c r="C484" s="73"/>
      <c r="D484" s="73"/>
      <c r="E484" s="73"/>
      <c r="F484" s="72"/>
    </row>
    <row r="485" ht="14.25" customHeight="1">
      <c r="A485" s="73"/>
      <c r="B485" s="73"/>
      <c r="C485" s="73"/>
      <c r="D485" s="73"/>
      <c r="E485" s="73"/>
      <c r="F485" s="72"/>
    </row>
    <row r="486" ht="14.25" customHeight="1">
      <c r="A486" s="73"/>
      <c r="B486" s="73"/>
      <c r="C486" s="73"/>
      <c r="D486" s="73"/>
      <c r="E486" s="73"/>
      <c r="F486" s="72"/>
    </row>
    <row r="487" ht="14.25" customHeight="1">
      <c r="A487" s="73"/>
      <c r="B487" s="73"/>
      <c r="C487" s="73"/>
      <c r="D487" s="73"/>
      <c r="E487" s="73"/>
      <c r="F487" s="72"/>
    </row>
    <row r="488" ht="14.25" customHeight="1">
      <c r="A488" s="73"/>
      <c r="B488" s="73"/>
      <c r="C488" s="73"/>
      <c r="D488" s="73"/>
      <c r="E488" s="73"/>
      <c r="F488" s="72"/>
    </row>
    <row r="489" ht="14.25" customHeight="1">
      <c r="A489" s="73"/>
      <c r="B489" s="73"/>
      <c r="C489" s="73"/>
      <c r="D489" s="73"/>
      <c r="E489" s="73"/>
      <c r="F489" s="72"/>
    </row>
    <row r="490" ht="14.25" customHeight="1">
      <c r="A490" s="73"/>
      <c r="B490" s="73"/>
      <c r="C490" s="73"/>
      <c r="D490" s="73"/>
      <c r="E490" s="73"/>
      <c r="F490" s="72"/>
    </row>
    <row r="491" ht="14.25" customHeight="1">
      <c r="A491" s="73"/>
      <c r="B491" s="73"/>
      <c r="C491" s="73"/>
      <c r="D491" s="73"/>
      <c r="E491" s="73"/>
      <c r="F491" s="72"/>
    </row>
    <row r="492" ht="14.25" customHeight="1">
      <c r="A492" s="73"/>
      <c r="B492" s="73"/>
      <c r="C492" s="73"/>
      <c r="D492" s="73"/>
      <c r="E492" s="73"/>
      <c r="F492" s="72"/>
    </row>
    <row r="493" ht="14.25" customHeight="1">
      <c r="A493" s="73"/>
      <c r="B493" s="73"/>
      <c r="C493" s="73"/>
      <c r="D493" s="73"/>
      <c r="E493" s="73"/>
      <c r="F493" s="72"/>
    </row>
    <row r="494" ht="14.25" customHeight="1">
      <c r="A494" s="73"/>
      <c r="B494" s="73"/>
      <c r="C494" s="73"/>
      <c r="D494" s="73"/>
      <c r="E494" s="73"/>
      <c r="F494" s="72"/>
    </row>
    <row r="495" ht="14.25" customHeight="1">
      <c r="A495" s="73"/>
      <c r="B495" s="73"/>
      <c r="C495" s="73"/>
      <c r="D495" s="73"/>
      <c r="E495" s="73"/>
      <c r="F495" s="72"/>
    </row>
    <row r="496" ht="14.25" customHeight="1">
      <c r="A496" s="73"/>
      <c r="B496" s="73"/>
      <c r="C496" s="73"/>
      <c r="D496" s="73"/>
      <c r="E496" s="73"/>
      <c r="F496" s="72"/>
    </row>
    <row r="497" ht="14.25" customHeight="1">
      <c r="A497" s="73"/>
      <c r="B497" s="73"/>
      <c r="C497" s="73"/>
      <c r="D497" s="73"/>
      <c r="E497" s="73"/>
      <c r="F497" s="72"/>
    </row>
    <row r="498" ht="14.25" customHeight="1">
      <c r="A498" s="73"/>
      <c r="B498" s="73"/>
      <c r="C498" s="73"/>
      <c r="D498" s="73"/>
      <c r="E498" s="73"/>
      <c r="F498" s="72"/>
    </row>
    <row r="499" ht="14.25" customHeight="1">
      <c r="A499" s="73"/>
      <c r="B499" s="73"/>
      <c r="C499" s="73"/>
      <c r="D499" s="73"/>
      <c r="E499" s="73"/>
      <c r="F499" s="72"/>
    </row>
    <row r="500" ht="14.25" customHeight="1">
      <c r="A500" s="73"/>
      <c r="B500" s="73"/>
      <c r="C500" s="73"/>
      <c r="D500" s="73"/>
      <c r="E500" s="73"/>
      <c r="F500" s="72"/>
    </row>
    <row r="501" ht="14.25" customHeight="1">
      <c r="A501" s="73"/>
      <c r="B501" s="73"/>
      <c r="C501" s="73"/>
      <c r="D501" s="73"/>
      <c r="E501" s="73"/>
      <c r="F501" s="72"/>
    </row>
    <row r="502" ht="14.25" customHeight="1">
      <c r="A502" s="73"/>
      <c r="B502" s="73"/>
      <c r="C502" s="73"/>
      <c r="D502" s="73"/>
      <c r="E502" s="73"/>
      <c r="F502" s="72"/>
    </row>
    <row r="503" ht="14.25" customHeight="1">
      <c r="A503" s="73"/>
      <c r="B503" s="73"/>
      <c r="C503" s="73"/>
      <c r="D503" s="73"/>
      <c r="E503" s="73"/>
      <c r="F503" s="72"/>
    </row>
    <row r="504" ht="14.25" customHeight="1">
      <c r="A504" s="73"/>
      <c r="B504" s="73"/>
      <c r="C504" s="73"/>
      <c r="D504" s="73"/>
      <c r="E504" s="73"/>
      <c r="F504" s="72"/>
    </row>
    <row r="505" ht="14.25" customHeight="1">
      <c r="A505" s="73"/>
      <c r="B505" s="73"/>
      <c r="C505" s="73"/>
      <c r="D505" s="73"/>
      <c r="E505" s="73"/>
      <c r="F505" s="72"/>
    </row>
    <row r="506" ht="14.25" customHeight="1">
      <c r="A506" s="73"/>
      <c r="B506" s="73"/>
      <c r="C506" s="73"/>
      <c r="D506" s="73"/>
      <c r="E506" s="73"/>
      <c r="F506" s="72"/>
    </row>
    <row r="507" ht="14.25" customHeight="1">
      <c r="A507" s="73"/>
      <c r="B507" s="73"/>
      <c r="C507" s="73"/>
      <c r="D507" s="73"/>
      <c r="E507" s="73"/>
      <c r="F507" s="72"/>
    </row>
    <row r="508" ht="14.25" customHeight="1">
      <c r="A508" s="73"/>
      <c r="B508" s="73"/>
      <c r="C508" s="73"/>
      <c r="D508" s="73"/>
      <c r="E508" s="73"/>
      <c r="F508" s="72"/>
    </row>
    <row r="509" ht="14.25" customHeight="1">
      <c r="A509" s="73"/>
      <c r="B509" s="73"/>
      <c r="C509" s="73"/>
      <c r="D509" s="73"/>
      <c r="E509" s="73"/>
      <c r="F509" s="72"/>
    </row>
    <row r="510" ht="14.25" customHeight="1">
      <c r="A510" s="73"/>
      <c r="B510" s="73"/>
      <c r="C510" s="73"/>
      <c r="D510" s="73"/>
      <c r="E510" s="73"/>
      <c r="F510" s="72"/>
    </row>
    <row r="511" ht="14.25" customHeight="1">
      <c r="A511" s="73"/>
      <c r="B511" s="73"/>
      <c r="C511" s="73"/>
      <c r="D511" s="73"/>
      <c r="E511" s="73"/>
      <c r="F511" s="72"/>
    </row>
    <row r="512" ht="14.25" customHeight="1">
      <c r="A512" s="73"/>
      <c r="B512" s="73"/>
      <c r="C512" s="73"/>
      <c r="D512" s="73"/>
      <c r="E512" s="73"/>
      <c r="F512" s="72"/>
    </row>
    <row r="513" ht="14.25" customHeight="1">
      <c r="A513" s="73"/>
      <c r="B513" s="73"/>
      <c r="C513" s="73"/>
      <c r="D513" s="73"/>
      <c r="E513" s="73"/>
      <c r="F513" s="72"/>
    </row>
    <row r="514" ht="14.25" customHeight="1">
      <c r="A514" s="73"/>
      <c r="B514" s="73"/>
      <c r="C514" s="73"/>
      <c r="D514" s="73"/>
      <c r="E514" s="73"/>
      <c r="F514" s="72"/>
    </row>
    <row r="515" ht="14.25" customHeight="1">
      <c r="A515" s="73"/>
      <c r="B515" s="73"/>
      <c r="C515" s="73"/>
      <c r="D515" s="73"/>
      <c r="E515" s="73"/>
      <c r="F515" s="72"/>
    </row>
    <row r="516" ht="14.25" customHeight="1">
      <c r="A516" s="73"/>
      <c r="B516" s="73"/>
      <c r="C516" s="73"/>
      <c r="D516" s="73"/>
      <c r="E516" s="73"/>
      <c r="F516" s="72"/>
    </row>
    <row r="517" ht="14.25" customHeight="1">
      <c r="A517" s="73"/>
      <c r="B517" s="73"/>
      <c r="C517" s="73"/>
      <c r="D517" s="73"/>
      <c r="E517" s="73"/>
      <c r="F517" s="72"/>
    </row>
    <row r="518" ht="14.25" customHeight="1">
      <c r="A518" s="73"/>
      <c r="B518" s="73"/>
      <c r="C518" s="73"/>
      <c r="D518" s="73"/>
      <c r="E518" s="73"/>
      <c r="F518" s="72"/>
    </row>
    <row r="519" ht="14.25" customHeight="1">
      <c r="A519" s="73"/>
      <c r="B519" s="73"/>
      <c r="C519" s="73"/>
      <c r="D519" s="73"/>
      <c r="E519" s="73"/>
      <c r="F519" s="72"/>
    </row>
    <row r="520" ht="14.25" customHeight="1">
      <c r="A520" s="73"/>
      <c r="B520" s="73"/>
      <c r="C520" s="73"/>
      <c r="D520" s="73"/>
      <c r="E520" s="73"/>
      <c r="F520" s="72"/>
    </row>
    <row r="521" ht="14.25" customHeight="1">
      <c r="A521" s="73"/>
      <c r="B521" s="73"/>
      <c r="C521" s="73"/>
      <c r="D521" s="73"/>
      <c r="E521" s="73"/>
      <c r="F521" s="72"/>
    </row>
    <row r="522" ht="14.25" customHeight="1">
      <c r="A522" s="73"/>
      <c r="B522" s="73"/>
      <c r="C522" s="73"/>
      <c r="D522" s="73"/>
      <c r="E522" s="73"/>
      <c r="F522" s="72"/>
    </row>
    <row r="523" ht="14.25" customHeight="1">
      <c r="A523" s="73"/>
      <c r="B523" s="73"/>
      <c r="C523" s="73"/>
      <c r="D523" s="73"/>
      <c r="E523" s="73"/>
      <c r="F523" s="72"/>
    </row>
    <row r="524" ht="14.25" customHeight="1">
      <c r="A524" s="73"/>
      <c r="B524" s="73"/>
      <c r="C524" s="73"/>
      <c r="D524" s="73"/>
      <c r="E524" s="73"/>
      <c r="F524" s="72"/>
    </row>
    <row r="525" ht="14.25" customHeight="1">
      <c r="A525" s="73"/>
      <c r="B525" s="73"/>
      <c r="C525" s="73"/>
      <c r="D525" s="73"/>
      <c r="E525" s="73"/>
      <c r="F525" s="72"/>
    </row>
    <row r="526" ht="14.25" customHeight="1">
      <c r="A526" s="73"/>
      <c r="B526" s="73"/>
      <c r="C526" s="73"/>
      <c r="D526" s="73"/>
      <c r="E526" s="73"/>
      <c r="F526" s="72"/>
    </row>
    <row r="527" ht="14.25" customHeight="1">
      <c r="A527" s="73"/>
      <c r="B527" s="73"/>
      <c r="C527" s="73"/>
      <c r="D527" s="73"/>
      <c r="E527" s="73"/>
      <c r="F527" s="72"/>
    </row>
    <row r="528" ht="14.25" customHeight="1">
      <c r="A528" s="73"/>
      <c r="B528" s="73"/>
      <c r="C528" s="73"/>
      <c r="D528" s="73"/>
      <c r="E528" s="73"/>
      <c r="F528" s="72"/>
    </row>
    <row r="529" ht="14.25" customHeight="1">
      <c r="A529" s="73"/>
      <c r="B529" s="73"/>
      <c r="C529" s="73"/>
      <c r="D529" s="73"/>
      <c r="E529" s="73"/>
      <c r="F529" s="72"/>
    </row>
    <row r="530" ht="14.25" customHeight="1">
      <c r="A530" s="73"/>
      <c r="B530" s="73"/>
      <c r="C530" s="73"/>
      <c r="D530" s="73"/>
      <c r="E530" s="73"/>
      <c r="F530" s="72"/>
    </row>
    <row r="531" ht="14.25" customHeight="1">
      <c r="A531" s="73"/>
      <c r="B531" s="73"/>
      <c r="C531" s="73"/>
      <c r="D531" s="73"/>
      <c r="E531" s="73"/>
      <c r="F531" s="72"/>
    </row>
    <row r="532" ht="14.25" customHeight="1">
      <c r="A532" s="73"/>
      <c r="B532" s="73"/>
      <c r="C532" s="73"/>
      <c r="D532" s="73"/>
      <c r="E532" s="73"/>
      <c r="F532" s="72"/>
    </row>
    <row r="533" ht="14.25" customHeight="1">
      <c r="A533" s="73"/>
      <c r="B533" s="73"/>
      <c r="C533" s="73"/>
      <c r="D533" s="73"/>
      <c r="E533" s="73"/>
      <c r="F533" s="72"/>
    </row>
    <row r="534" ht="14.25" customHeight="1">
      <c r="A534" s="73"/>
      <c r="B534" s="73"/>
      <c r="C534" s="73"/>
      <c r="D534" s="73"/>
      <c r="E534" s="73"/>
      <c r="F534" s="72"/>
    </row>
    <row r="535" ht="14.25" customHeight="1">
      <c r="A535" s="73"/>
      <c r="B535" s="73"/>
      <c r="C535" s="73"/>
      <c r="D535" s="73"/>
      <c r="E535" s="73"/>
      <c r="F535" s="72"/>
    </row>
    <row r="536" ht="14.25" customHeight="1">
      <c r="A536" s="73"/>
      <c r="B536" s="73"/>
      <c r="C536" s="73"/>
      <c r="D536" s="73"/>
      <c r="E536" s="73"/>
      <c r="F536" s="72"/>
    </row>
    <row r="537" ht="14.25" customHeight="1">
      <c r="A537" s="73"/>
      <c r="B537" s="73"/>
      <c r="C537" s="73"/>
      <c r="D537" s="73"/>
      <c r="E537" s="73"/>
      <c r="F537" s="72"/>
    </row>
    <row r="538" ht="14.25" customHeight="1">
      <c r="A538" s="73"/>
      <c r="B538" s="73"/>
      <c r="C538" s="73"/>
      <c r="D538" s="73"/>
      <c r="E538" s="73"/>
      <c r="F538" s="72"/>
    </row>
    <row r="539" ht="14.25" customHeight="1">
      <c r="A539" s="73"/>
      <c r="B539" s="73"/>
      <c r="C539" s="73"/>
      <c r="D539" s="73"/>
      <c r="E539" s="73"/>
      <c r="F539" s="72"/>
    </row>
    <row r="540" ht="14.25" customHeight="1">
      <c r="A540" s="73"/>
      <c r="B540" s="73"/>
      <c r="C540" s="73"/>
      <c r="D540" s="73"/>
      <c r="E540" s="73"/>
      <c r="F540" s="72"/>
    </row>
    <row r="541" ht="14.25" customHeight="1">
      <c r="A541" s="73"/>
      <c r="B541" s="73"/>
      <c r="C541" s="73"/>
      <c r="D541" s="73"/>
      <c r="E541" s="73"/>
      <c r="F541" s="72"/>
    </row>
    <row r="542" ht="14.25" customHeight="1">
      <c r="A542" s="73"/>
      <c r="B542" s="73"/>
      <c r="C542" s="73"/>
      <c r="D542" s="73"/>
      <c r="E542" s="73"/>
      <c r="F542" s="72"/>
    </row>
    <row r="543" ht="14.25" customHeight="1">
      <c r="A543" s="73"/>
      <c r="B543" s="73"/>
      <c r="C543" s="73"/>
      <c r="D543" s="73"/>
      <c r="E543" s="73"/>
      <c r="F543" s="72"/>
    </row>
    <row r="544" ht="14.25" customHeight="1">
      <c r="A544" s="73"/>
      <c r="B544" s="73"/>
      <c r="C544" s="73"/>
      <c r="D544" s="73"/>
      <c r="E544" s="73"/>
      <c r="F544" s="72"/>
    </row>
    <row r="545" ht="14.25" customHeight="1">
      <c r="A545" s="73"/>
      <c r="B545" s="73"/>
      <c r="C545" s="73"/>
      <c r="D545" s="73"/>
      <c r="E545" s="73"/>
      <c r="F545" s="72"/>
    </row>
    <row r="546" ht="14.25" customHeight="1">
      <c r="A546" s="73"/>
      <c r="B546" s="73"/>
      <c r="C546" s="73"/>
      <c r="D546" s="73"/>
      <c r="E546" s="73"/>
      <c r="F546" s="72"/>
    </row>
    <row r="547" ht="14.25" customHeight="1">
      <c r="A547" s="73"/>
      <c r="B547" s="73"/>
      <c r="C547" s="73"/>
      <c r="D547" s="73"/>
      <c r="E547" s="73"/>
      <c r="F547" s="72"/>
    </row>
    <row r="548" ht="14.25" customHeight="1">
      <c r="A548" s="73"/>
      <c r="B548" s="73"/>
      <c r="C548" s="73"/>
      <c r="D548" s="73"/>
      <c r="E548" s="73"/>
      <c r="F548" s="72"/>
    </row>
    <row r="549" ht="14.25" customHeight="1">
      <c r="A549" s="73"/>
      <c r="B549" s="73"/>
      <c r="C549" s="73"/>
      <c r="D549" s="73"/>
      <c r="E549" s="73"/>
      <c r="F549" s="72"/>
    </row>
    <row r="550" ht="14.25" customHeight="1">
      <c r="A550" s="73"/>
      <c r="B550" s="73"/>
      <c r="C550" s="73"/>
      <c r="D550" s="73"/>
      <c r="E550" s="73"/>
      <c r="F550" s="72"/>
    </row>
    <row r="551" ht="14.25" customHeight="1">
      <c r="A551" s="73"/>
      <c r="B551" s="73"/>
      <c r="C551" s="73"/>
      <c r="D551" s="73"/>
      <c r="E551" s="73"/>
      <c r="F551" s="72"/>
    </row>
    <row r="552" ht="14.25" customHeight="1">
      <c r="A552" s="73"/>
      <c r="B552" s="73"/>
      <c r="C552" s="73"/>
      <c r="D552" s="73"/>
      <c r="E552" s="73"/>
      <c r="F552" s="72"/>
    </row>
    <row r="553" ht="14.25" customHeight="1">
      <c r="A553" s="73"/>
      <c r="B553" s="73"/>
      <c r="C553" s="73"/>
      <c r="D553" s="73"/>
      <c r="E553" s="73"/>
      <c r="F553" s="72"/>
    </row>
    <row r="554" ht="14.25" customHeight="1">
      <c r="A554" s="73"/>
      <c r="B554" s="73"/>
      <c r="C554" s="73"/>
      <c r="D554" s="73"/>
      <c r="E554" s="73"/>
      <c r="F554" s="72"/>
    </row>
    <row r="555" ht="14.25" customHeight="1">
      <c r="A555" s="73"/>
      <c r="B555" s="73"/>
      <c r="C555" s="73"/>
      <c r="D555" s="73"/>
      <c r="E555" s="73"/>
      <c r="F555" s="72"/>
    </row>
    <row r="556" ht="14.25" customHeight="1">
      <c r="A556" s="73"/>
      <c r="B556" s="73"/>
      <c r="C556" s="73"/>
      <c r="D556" s="73"/>
      <c r="E556" s="73"/>
      <c r="F556" s="72"/>
    </row>
    <row r="557" ht="14.25" customHeight="1">
      <c r="A557" s="73"/>
      <c r="B557" s="73"/>
      <c r="C557" s="73"/>
      <c r="D557" s="73"/>
      <c r="E557" s="73"/>
      <c r="F557" s="72"/>
    </row>
    <row r="558" ht="14.25" customHeight="1">
      <c r="A558" s="73"/>
      <c r="B558" s="73"/>
      <c r="C558" s="73"/>
      <c r="D558" s="73"/>
      <c r="E558" s="73"/>
      <c r="F558" s="72"/>
    </row>
    <row r="559" ht="14.25" customHeight="1">
      <c r="A559" s="73"/>
      <c r="B559" s="73"/>
      <c r="C559" s="73"/>
      <c r="D559" s="73"/>
      <c r="E559" s="73"/>
      <c r="F559" s="72"/>
    </row>
    <row r="560" ht="14.25" customHeight="1">
      <c r="A560" s="73"/>
      <c r="B560" s="73"/>
      <c r="C560" s="73"/>
      <c r="D560" s="73"/>
      <c r="E560" s="73"/>
      <c r="F560" s="72"/>
    </row>
    <row r="561" ht="14.25" customHeight="1">
      <c r="A561" s="73"/>
      <c r="B561" s="73"/>
      <c r="C561" s="73"/>
      <c r="D561" s="73"/>
      <c r="E561" s="73"/>
      <c r="F561" s="72"/>
    </row>
    <row r="562" ht="14.25" customHeight="1">
      <c r="A562" s="73"/>
      <c r="B562" s="73"/>
      <c r="C562" s="73"/>
      <c r="D562" s="73"/>
      <c r="E562" s="73"/>
      <c r="F562" s="72"/>
    </row>
    <row r="563" ht="14.25" customHeight="1">
      <c r="A563" s="73"/>
      <c r="B563" s="73"/>
      <c r="C563" s="73"/>
      <c r="D563" s="73"/>
      <c r="E563" s="73"/>
      <c r="F563" s="72"/>
    </row>
    <row r="564" ht="14.25" customHeight="1">
      <c r="A564" s="73"/>
      <c r="B564" s="73"/>
      <c r="C564" s="73"/>
      <c r="D564" s="73"/>
      <c r="E564" s="73"/>
      <c r="F564" s="72"/>
    </row>
    <row r="565" ht="14.25" customHeight="1">
      <c r="A565" s="73"/>
      <c r="B565" s="73"/>
      <c r="C565" s="73"/>
      <c r="D565" s="73"/>
      <c r="E565" s="73"/>
      <c r="F565" s="72"/>
    </row>
    <row r="566" ht="14.25" customHeight="1">
      <c r="A566" s="73"/>
      <c r="B566" s="73"/>
      <c r="C566" s="73"/>
      <c r="D566" s="73"/>
      <c r="E566" s="73"/>
      <c r="F566" s="72"/>
    </row>
    <row r="567" ht="14.25" customHeight="1">
      <c r="A567" s="73"/>
      <c r="B567" s="73"/>
      <c r="C567" s="73"/>
      <c r="D567" s="73"/>
      <c r="E567" s="73"/>
      <c r="F567" s="72"/>
    </row>
    <row r="568" ht="14.25" customHeight="1">
      <c r="A568" s="73"/>
      <c r="B568" s="73"/>
      <c r="C568" s="73"/>
      <c r="D568" s="73"/>
      <c r="E568" s="73"/>
      <c r="F568" s="72"/>
    </row>
    <row r="569" ht="14.25" customHeight="1">
      <c r="A569" s="73"/>
      <c r="B569" s="73"/>
      <c r="C569" s="73"/>
      <c r="D569" s="73"/>
      <c r="E569" s="73"/>
      <c r="F569" s="72"/>
    </row>
    <row r="570" ht="14.25" customHeight="1">
      <c r="A570" s="73"/>
      <c r="B570" s="73"/>
      <c r="C570" s="73"/>
      <c r="D570" s="73"/>
      <c r="E570" s="73"/>
      <c r="F570" s="72"/>
    </row>
    <row r="571" ht="14.25" customHeight="1">
      <c r="A571" s="73"/>
      <c r="B571" s="73"/>
      <c r="C571" s="73"/>
      <c r="D571" s="73"/>
      <c r="E571" s="73"/>
      <c r="F571" s="72"/>
    </row>
    <row r="572" ht="14.25" customHeight="1">
      <c r="A572" s="73"/>
      <c r="B572" s="73"/>
      <c r="C572" s="73"/>
      <c r="D572" s="73"/>
      <c r="E572" s="73"/>
      <c r="F572" s="72"/>
    </row>
    <row r="573" ht="14.25" customHeight="1">
      <c r="A573" s="73"/>
      <c r="B573" s="73"/>
      <c r="C573" s="73"/>
      <c r="D573" s="73"/>
      <c r="E573" s="73"/>
      <c r="F573" s="72"/>
    </row>
    <row r="574" ht="14.25" customHeight="1">
      <c r="A574" s="73"/>
      <c r="B574" s="73"/>
      <c r="C574" s="73"/>
      <c r="D574" s="73"/>
      <c r="E574" s="73"/>
      <c r="F574" s="72"/>
    </row>
    <row r="575" ht="14.25" customHeight="1">
      <c r="A575" s="73"/>
      <c r="B575" s="73"/>
      <c r="C575" s="73"/>
      <c r="D575" s="73"/>
      <c r="E575" s="73"/>
      <c r="F575" s="72"/>
    </row>
    <row r="576" ht="14.25" customHeight="1">
      <c r="A576" s="73"/>
      <c r="B576" s="73"/>
      <c r="C576" s="73"/>
      <c r="D576" s="73"/>
      <c r="E576" s="73"/>
      <c r="F576" s="72"/>
    </row>
    <row r="577" ht="14.25" customHeight="1">
      <c r="A577" s="73"/>
      <c r="B577" s="73"/>
      <c r="C577" s="73"/>
      <c r="D577" s="73"/>
      <c r="E577" s="73"/>
      <c r="F577" s="72"/>
    </row>
    <row r="578" ht="14.25" customHeight="1">
      <c r="A578" s="73"/>
      <c r="B578" s="73"/>
      <c r="C578" s="73"/>
      <c r="D578" s="73"/>
      <c r="E578" s="73"/>
      <c r="F578" s="72"/>
    </row>
    <row r="579" ht="14.25" customHeight="1">
      <c r="A579" s="73"/>
      <c r="B579" s="73"/>
      <c r="C579" s="73"/>
      <c r="D579" s="73"/>
      <c r="E579" s="73"/>
      <c r="F579" s="72"/>
    </row>
    <row r="580" ht="14.25" customHeight="1">
      <c r="A580" s="73"/>
      <c r="B580" s="73"/>
      <c r="C580" s="73"/>
      <c r="D580" s="73"/>
      <c r="E580" s="73"/>
      <c r="F580" s="72"/>
    </row>
    <row r="581" ht="14.25" customHeight="1">
      <c r="A581" s="73"/>
      <c r="B581" s="73"/>
      <c r="C581" s="73"/>
      <c r="D581" s="73"/>
      <c r="E581" s="73"/>
      <c r="F581" s="72"/>
    </row>
    <row r="582" ht="14.25" customHeight="1">
      <c r="A582" s="73"/>
      <c r="B582" s="73"/>
      <c r="C582" s="73"/>
      <c r="D582" s="73"/>
      <c r="E582" s="73"/>
      <c r="F582" s="72"/>
    </row>
    <row r="583" ht="14.25" customHeight="1">
      <c r="A583" s="73"/>
      <c r="B583" s="73"/>
      <c r="C583" s="73"/>
      <c r="D583" s="73"/>
      <c r="E583" s="73"/>
      <c r="F583" s="72"/>
    </row>
    <row r="584" ht="14.25" customHeight="1">
      <c r="A584" s="73"/>
      <c r="B584" s="73"/>
      <c r="C584" s="73"/>
      <c r="D584" s="73"/>
      <c r="E584" s="73"/>
      <c r="F584" s="72"/>
    </row>
    <row r="585" ht="14.25" customHeight="1">
      <c r="A585" s="73"/>
      <c r="B585" s="73"/>
      <c r="C585" s="73"/>
      <c r="D585" s="73"/>
      <c r="E585" s="73"/>
      <c r="F585" s="72"/>
    </row>
    <row r="586" ht="14.25" customHeight="1">
      <c r="A586" s="73"/>
      <c r="B586" s="73"/>
      <c r="C586" s="73"/>
      <c r="D586" s="73"/>
      <c r="E586" s="73"/>
      <c r="F586" s="72"/>
    </row>
    <row r="587" ht="14.25" customHeight="1">
      <c r="A587" s="73"/>
      <c r="B587" s="73"/>
      <c r="C587" s="73"/>
      <c r="D587" s="73"/>
      <c r="E587" s="73"/>
      <c r="F587" s="72"/>
    </row>
    <row r="588" ht="14.25" customHeight="1">
      <c r="A588" s="73"/>
      <c r="B588" s="73"/>
      <c r="C588" s="73"/>
      <c r="D588" s="73"/>
      <c r="E588" s="73"/>
      <c r="F588" s="72"/>
    </row>
    <row r="589" ht="14.25" customHeight="1">
      <c r="A589" s="73"/>
      <c r="B589" s="73"/>
      <c r="C589" s="73"/>
      <c r="D589" s="73"/>
      <c r="E589" s="73"/>
      <c r="F589" s="72"/>
    </row>
    <row r="590" ht="14.25" customHeight="1">
      <c r="A590" s="73"/>
      <c r="B590" s="73"/>
      <c r="C590" s="73"/>
      <c r="D590" s="73"/>
      <c r="E590" s="73"/>
      <c r="F590" s="72"/>
    </row>
    <row r="591" ht="14.25" customHeight="1">
      <c r="A591" s="73"/>
      <c r="B591" s="73"/>
      <c r="C591" s="73"/>
      <c r="D591" s="73"/>
      <c r="E591" s="73"/>
      <c r="F591" s="72"/>
    </row>
    <row r="592" ht="14.25" customHeight="1">
      <c r="A592" s="73"/>
      <c r="B592" s="73"/>
      <c r="C592" s="73"/>
      <c r="D592" s="73"/>
      <c r="E592" s="73"/>
      <c r="F592" s="72"/>
    </row>
    <row r="593" ht="14.25" customHeight="1">
      <c r="A593" s="73"/>
      <c r="B593" s="73"/>
      <c r="C593" s="73"/>
      <c r="D593" s="73"/>
      <c r="E593" s="73"/>
      <c r="F593" s="72"/>
    </row>
    <row r="594" ht="14.25" customHeight="1">
      <c r="A594" s="73"/>
      <c r="B594" s="73"/>
      <c r="C594" s="73"/>
      <c r="D594" s="73"/>
      <c r="E594" s="73"/>
      <c r="F594" s="72"/>
    </row>
    <row r="595" ht="14.25" customHeight="1">
      <c r="A595" s="73"/>
      <c r="B595" s="73"/>
      <c r="C595" s="73"/>
      <c r="D595" s="73"/>
      <c r="E595" s="73"/>
      <c r="F595" s="72"/>
    </row>
    <row r="596" ht="14.25" customHeight="1">
      <c r="A596" s="73"/>
      <c r="B596" s="73"/>
      <c r="C596" s="73"/>
      <c r="D596" s="73"/>
      <c r="E596" s="73"/>
      <c r="F596" s="72"/>
    </row>
    <row r="597" ht="14.25" customHeight="1">
      <c r="A597" s="73"/>
      <c r="B597" s="73"/>
      <c r="C597" s="73"/>
      <c r="D597" s="73"/>
      <c r="E597" s="73"/>
      <c r="F597" s="72"/>
    </row>
    <row r="598" ht="14.25" customHeight="1">
      <c r="A598" s="73"/>
      <c r="B598" s="73"/>
      <c r="C598" s="73"/>
      <c r="D598" s="73"/>
      <c r="E598" s="73"/>
      <c r="F598" s="72"/>
    </row>
    <row r="599" ht="14.25" customHeight="1">
      <c r="A599" s="73"/>
      <c r="B599" s="73"/>
      <c r="C599" s="73"/>
      <c r="D599" s="73"/>
      <c r="E599" s="73"/>
      <c r="F599" s="72"/>
    </row>
    <row r="600" ht="14.25" customHeight="1">
      <c r="A600" s="73"/>
      <c r="B600" s="73"/>
      <c r="C600" s="73"/>
      <c r="D600" s="73"/>
      <c r="E600" s="73"/>
      <c r="F600" s="72"/>
    </row>
    <row r="601" ht="14.25" customHeight="1">
      <c r="A601" s="73"/>
      <c r="B601" s="73"/>
      <c r="C601" s="73"/>
      <c r="D601" s="73"/>
      <c r="E601" s="73"/>
      <c r="F601" s="72"/>
    </row>
    <row r="602" ht="14.25" customHeight="1">
      <c r="A602" s="73"/>
      <c r="B602" s="73"/>
      <c r="C602" s="73"/>
      <c r="D602" s="73"/>
      <c r="E602" s="73"/>
      <c r="F602" s="72"/>
    </row>
    <row r="603" ht="14.25" customHeight="1">
      <c r="A603" s="73"/>
      <c r="B603" s="73"/>
      <c r="C603" s="73"/>
      <c r="D603" s="73"/>
      <c r="E603" s="73"/>
      <c r="F603" s="72"/>
    </row>
    <row r="604" ht="14.25" customHeight="1">
      <c r="A604" s="73"/>
      <c r="B604" s="73"/>
      <c r="C604" s="73"/>
      <c r="D604" s="73"/>
      <c r="E604" s="73"/>
      <c r="F604" s="72"/>
    </row>
    <row r="605" ht="14.25" customHeight="1">
      <c r="A605" s="73"/>
      <c r="B605" s="73"/>
      <c r="C605" s="73"/>
      <c r="D605" s="73"/>
      <c r="E605" s="73"/>
      <c r="F605" s="72"/>
    </row>
    <row r="606" ht="14.25" customHeight="1">
      <c r="A606" s="73"/>
      <c r="B606" s="73"/>
      <c r="C606" s="73"/>
      <c r="D606" s="73"/>
      <c r="E606" s="73"/>
      <c r="F606" s="72"/>
    </row>
    <row r="607" ht="14.25" customHeight="1">
      <c r="A607" s="73"/>
      <c r="B607" s="73"/>
      <c r="C607" s="73"/>
      <c r="D607" s="73"/>
      <c r="E607" s="73"/>
      <c r="F607" s="72"/>
    </row>
    <row r="608" ht="14.25" customHeight="1">
      <c r="A608" s="73"/>
      <c r="B608" s="73"/>
      <c r="C608" s="73"/>
      <c r="D608" s="73"/>
      <c r="E608" s="73"/>
      <c r="F608" s="72"/>
    </row>
    <row r="609" ht="14.25" customHeight="1">
      <c r="A609" s="73"/>
      <c r="B609" s="73"/>
      <c r="C609" s="73"/>
      <c r="D609" s="73"/>
      <c r="E609" s="73"/>
      <c r="F609" s="72"/>
    </row>
    <row r="610" ht="14.25" customHeight="1">
      <c r="A610" s="73"/>
      <c r="B610" s="73"/>
      <c r="C610" s="73"/>
      <c r="D610" s="73"/>
      <c r="E610" s="73"/>
      <c r="F610" s="72"/>
    </row>
    <row r="611" ht="14.25" customHeight="1">
      <c r="A611" s="73"/>
      <c r="B611" s="73"/>
      <c r="C611" s="73"/>
      <c r="D611" s="73"/>
      <c r="E611" s="73"/>
      <c r="F611" s="72"/>
    </row>
    <row r="612" ht="14.25" customHeight="1">
      <c r="A612" s="73"/>
      <c r="B612" s="73"/>
      <c r="C612" s="73"/>
      <c r="D612" s="73"/>
      <c r="E612" s="73"/>
      <c r="F612" s="72"/>
    </row>
    <row r="613" ht="14.25" customHeight="1">
      <c r="A613" s="73"/>
      <c r="B613" s="73"/>
      <c r="C613" s="73"/>
      <c r="D613" s="73"/>
      <c r="E613" s="73"/>
      <c r="F613" s="72"/>
    </row>
    <row r="614" ht="14.25" customHeight="1">
      <c r="A614" s="73"/>
      <c r="B614" s="73"/>
      <c r="C614" s="73"/>
      <c r="D614" s="73"/>
      <c r="E614" s="73"/>
      <c r="F614" s="72"/>
    </row>
    <row r="615" ht="14.25" customHeight="1">
      <c r="A615" s="73"/>
      <c r="B615" s="73"/>
      <c r="C615" s="73"/>
      <c r="D615" s="73"/>
      <c r="E615" s="73"/>
      <c r="F615" s="72"/>
    </row>
    <row r="616" ht="14.25" customHeight="1">
      <c r="A616" s="73"/>
      <c r="B616" s="73"/>
      <c r="C616" s="73"/>
      <c r="D616" s="73"/>
      <c r="E616" s="73"/>
      <c r="F616" s="72"/>
    </row>
    <row r="617" ht="14.25" customHeight="1">
      <c r="A617" s="73"/>
      <c r="B617" s="73"/>
      <c r="C617" s="73"/>
      <c r="D617" s="73"/>
      <c r="E617" s="73"/>
      <c r="F617" s="72"/>
    </row>
    <row r="618" ht="14.25" customHeight="1">
      <c r="A618" s="73"/>
      <c r="B618" s="73"/>
      <c r="C618" s="73"/>
      <c r="D618" s="73"/>
      <c r="E618" s="73"/>
      <c r="F618" s="72"/>
    </row>
    <row r="619" ht="14.25" customHeight="1">
      <c r="A619" s="73"/>
      <c r="B619" s="73"/>
      <c r="C619" s="73"/>
      <c r="D619" s="73"/>
      <c r="E619" s="73"/>
      <c r="F619" s="72"/>
    </row>
    <row r="620" ht="14.25" customHeight="1">
      <c r="A620" s="73"/>
      <c r="B620" s="73"/>
      <c r="C620" s="73"/>
      <c r="D620" s="73"/>
      <c r="E620" s="73"/>
      <c r="F620" s="72"/>
    </row>
    <row r="621" ht="14.25" customHeight="1">
      <c r="A621" s="73"/>
      <c r="B621" s="73"/>
      <c r="C621" s="73"/>
      <c r="D621" s="73"/>
      <c r="E621" s="73"/>
      <c r="F621" s="72"/>
    </row>
    <row r="622" ht="14.25" customHeight="1">
      <c r="A622" s="73"/>
      <c r="B622" s="73"/>
      <c r="C622" s="73"/>
      <c r="D622" s="73"/>
      <c r="E622" s="73"/>
      <c r="F622" s="72"/>
    </row>
    <row r="623" ht="14.25" customHeight="1">
      <c r="A623" s="73"/>
      <c r="B623" s="73"/>
      <c r="C623" s="73"/>
      <c r="D623" s="73"/>
      <c r="E623" s="73"/>
      <c r="F623" s="72"/>
    </row>
    <row r="624" ht="14.25" customHeight="1">
      <c r="A624" s="73"/>
      <c r="B624" s="73"/>
      <c r="C624" s="73"/>
      <c r="D624" s="73"/>
      <c r="E624" s="73"/>
      <c r="F624" s="72"/>
    </row>
    <row r="625" ht="14.25" customHeight="1">
      <c r="A625" s="73"/>
      <c r="B625" s="73"/>
      <c r="C625" s="73"/>
      <c r="D625" s="73"/>
      <c r="E625" s="73"/>
      <c r="F625" s="72"/>
    </row>
    <row r="626" ht="14.25" customHeight="1">
      <c r="A626" s="73"/>
      <c r="B626" s="73"/>
      <c r="C626" s="73"/>
      <c r="D626" s="73"/>
      <c r="E626" s="73"/>
      <c r="F626" s="72"/>
    </row>
    <row r="627" ht="14.25" customHeight="1">
      <c r="A627" s="73"/>
      <c r="B627" s="73"/>
      <c r="C627" s="73"/>
      <c r="D627" s="73"/>
      <c r="E627" s="73"/>
      <c r="F627" s="72"/>
    </row>
    <row r="628" ht="14.25" customHeight="1">
      <c r="A628" s="73"/>
      <c r="B628" s="73"/>
      <c r="C628" s="73"/>
      <c r="D628" s="73"/>
      <c r="E628" s="73"/>
      <c r="F628" s="72"/>
    </row>
    <row r="629" ht="14.25" customHeight="1">
      <c r="A629" s="73"/>
      <c r="B629" s="73"/>
      <c r="C629" s="73"/>
      <c r="D629" s="73"/>
      <c r="E629" s="73"/>
      <c r="F629" s="72"/>
    </row>
    <row r="630" ht="14.25" customHeight="1">
      <c r="A630" s="73"/>
      <c r="B630" s="73"/>
      <c r="C630" s="73"/>
      <c r="D630" s="73"/>
      <c r="E630" s="73"/>
      <c r="F630" s="72"/>
    </row>
    <row r="631" ht="14.25" customHeight="1">
      <c r="A631" s="73"/>
      <c r="B631" s="73"/>
      <c r="C631" s="73"/>
      <c r="D631" s="73"/>
      <c r="E631" s="73"/>
      <c r="F631" s="72"/>
    </row>
    <row r="632" ht="14.25" customHeight="1">
      <c r="A632" s="73"/>
      <c r="B632" s="73"/>
      <c r="C632" s="73"/>
      <c r="D632" s="73"/>
      <c r="E632" s="73"/>
      <c r="F632" s="72"/>
    </row>
    <row r="633" ht="14.25" customHeight="1">
      <c r="A633" s="73"/>
      <c r="B633" s="73"/>
      <c r="C633" s="73"/>
      <c r="D633" s="73"/>
      <c r="E633" s="73"/>
      <c r="F633" s="72"/>
    </row>
    <row r="634" ht="14.25" customHeight="1">
      <c r="A634" s="73"/>
      <c r="B634" s="73"/>
      <c r="C634" s="73"/>
      <c r="D634" s="73"/>
      <c r="E634" s="73"/>
      <c r="F634" s="72"/>
    </row>
    <row r="635" ht="14.25" customHeight="1">
      <c r="A635" s="73"/>
      <c r="B635" s="73"/>
      <c r="C635" s="73"/>
      <c r="D635" s="73"/>
      <c r="E635" s="73"/>
      <c r="F635" s="72"/>
    </row>
    <row r="636" ht="14.25" customHeight="1">
      <c r="A636" s="73"/>
      <c r="B636" s="73"/>
      <c r="C636" s="73"/>
      <c r="D636" s="73"/>
      <c r="E636" s="73"/>
      <c r="F636" s="72"/>
    </row>
    <row r="637" ht="14.25" customHeight="1">
      <c r="A637" s="73"/>
      <c r="B637" s="73"/>
      <c r="C637" s="73"/>
      <c r="D637" s="73"/>
      <c r="E637" s="73"/>
      <c r="F637" s="72"/>
    </row>
    <row r="638" ht="14.25" customHeight="1">
      <c r="A638" s="73"/>
      <c r="B638" s="73"/>
      <c r="C638" s="73"/>
      <c r="D638" s="73"/>
      <c r="E638" s="73"/>
      <c r="F638" s="72"/>
    </row>
    <row r="639" ht="14.25" customHeight="1">
      <c r="A639" s="73"/>
      <c r="B639" s="73"/>
      <c r="C639" s="73"/>
      <c r="D639" s="73"/>
      <c r="E639" s="73"/>
      <c r="F639" s="72"/>
    </row>
    <row r="640" ht="14.25" customHeight="1">
      <c r="A640" s="73"/>
      <c r="B640" s="73"/>
      <c r="C640" s="73"/>
      <c r="D640" s="73"/>
      <c r="E640" s="73"/>
      <c r="F640" s="72"/>
    </row>
    <row r="641" ht="14.25" customHeight="1">
      <c r="A641" s="73"/>
      <c r="B641" s="73"/>
      <c r="C641" s="73"/>
      <c r="D641" s="73"/>
      <c r="E641" s="73"/>
      <c r="F641" s="72"/>
    </row>
    <row r="642" ht="14.25" customHeight="1">
      <c r="A642" s="73"/>
      <c r="B642" s="73"/>
      <c r="C642" s="73"/>
      <c r="D642" s="73"/>
      <c r="E642" s="73"/>
      <c r="F642" s="72"/>
    </row>
    <row r="643" ht="14.25" customHeight="1">
      <c r="A643" s="73"/>
      <c r="B643" s="73"/>
      <c r="C643" s="73"/>
      <c r="D643" s="73"/>
      <c r="E643" s="73"/>
      <c r="F643" s="72"/>
    </row>
    <row r="644" ht="14.25" customHeight="1">
      <c r="A644" s="73"/>
      <c r="B644" s="73"/>
      <c r="C644" s="73"/>
      <c r="D644" s="73"/>
      <c r="E644" s="73"/>
      <c r="F644" s="72"/>
    </row>
    <row r="645" ht="14.25" customHeight="1">
      <c r="A645" s="73"/>
      <c r="B645" s="73"/>
      <c r="C645" s="73"/>
      <c r="D645" s="73"/>
      <c r="E645" s="73"/>
      <c r="F645" s="72"/>
    </row>
    <row r="646" ht="14.25" customHeight="1">
      <c r="A646" s="73"/>
      <c r="B646" s="73"/>
      <c r="C646" s="73"/>
      <c r="D646" s="73"/>
      <c r="E646" s="73"/>
      <c r="F646" s="72"/>
    </row>
    <row r="647" ht="14.25" customHeight="1">
      <c r="A647" s="73"/>
      <c r="B647" s="73"/>
      <c r="C647" s="73"/>
      <c r="D647" s="73"/>
      <c r="E647" s="73"/>
      <c r="F647" s="72"/>
    </row>
    <row r="648" ht="14.25" customHeight="1">
      <c r="A648" s="73"/>
      <c r="B648" s="73"/>
      <c r="C648" s="73"/>
      <c r="D648" s="73"/>
      <c r="E648" s="73"/>
      <c r="F648" s="72"/>
    </row>
    <row r="649" ht="14.25" customHeight="1">
      <c r="A649" s="73"/>
      <c r="B649" s="73"/>
      <c r="C649" s="73"/>
      <c r="D649" s="73"/>
      <c r="E649" s="73"/>
      <c r="F649" s="72"/>
    </row>
    <row r="650" ht="14.25" customHeight="1">
      <c r="A650" s="73"/>
      <c r="B650" s="73"/>
      <c r="C650" s="73"/>
      <c r="D650" s="73"/>
      <c r="E650" s="73"/>
      <c r="F650" s="72"/>
    </row>
    <row r="651" ht="14.25" customHeight="1">
      <c r="A651" s="73"/>
      <c r="B651" s="73"/>
      <c r="C651" s="73"/>
      <c r="D651" s="73"/>
      <c r="E651" s="73"/>
      <c r="F651" s="72"/>
    </row>
    <row r="652" ht="14.25" customHeight="1">
      <c r="A652" s="73"/>
      <c r="B652" s="73"/>
      <c r="C652" s="73"/>
      <c r="D652" s="73"/>
      <c r="E652" s="73"/>
      <c r="F652" s="72"/>
    </row>
    <row r="653" ht="14.25" customHeight="1">
      <c r="A653" s="73"/>
      <c r="B653" s="73"/>
      <c r="C653" s="73"/>
      <c r="D653" s="73"/>
      <c r="E653" s="73"/>
      <c r="F653" s="72"/>
    </row>
    <row r="654" ht="14.25" customHeight="1">
      <c r="A654" s="73"/>
      <c r="B654" s="73"/>
      <c r="C654" s="73"/>
      <c r="D654" s="73"/>
      <c r="E654" s="73"/>
      <c r="F654" s="72"/>
    </row>
    <row r="655" ht="14.25" customHeight="1">
      <c r="A655" s="73"/>
      <c r="B655" s="73"/>
      <c r="C655" s="73"/>
      <c r="D655" s="73"/>
      <c r="E655" s="73"/>
      <c r="F655" s="72"/>
    </row>
    <row r="656" ht="14.25" customHeight="1">
      <c r="A656" s="73"/>
      <c r="B656" s="73"/>
      <c r="C656" s="73"/>
      <c r="D656" s="73"/>
      <c r="E656" s="73"/>
      <c r="F656" s="72"/>
    </row>
    <row r="657" ht="14.25" customHeight="1">
      <c r="A657" s="73"/>
      <c r="B657" s="73"/>
      <c r="C657" s="73"/>
      <c r="D657" s="73"/>
      <c r="E657" s="73"/>
      <c r="F657" s="72"/>
    </row>
    <row r="658" ht="14.25" customHeight="1">
      <c r="A658" s="73"/>
      <c r="B658" s="73"/>
      <c r="C658" s="73"/>
      <c r="D658" s="73"/>
      <c r="E658" s="73"/>
      <c r="F658" s="72"/>
    </row>
    <row r="659" ht="14.25" customHeight="1">
      <c r="A659" s="73"/>
      <c r="B659" s="73"/>
      <c r="C659" s="73"/>
      <c r="D659" s="73"/>
      <c r="E659" s="73"/>
      <c r="F659" s="72"/>
    </row>
    <row r="660" ht="14.25" customHeight="1">
      <c r="A660" s="73"/>
      <c r="B660" s="73"/>
      <c r="C660" s="73"/>
      <c r="D660" s="73"/>
      <c r="E660" s="73"/>
      <c r="F660" s="72"/>
    </row>
    <row r="661" ht="14.25" customHeight="1">
      <c r="A661" s="73"/>
      <c r="B661" s="73"/>
      <c r="C661" s="73"/>
      <c r="D661" s="73"/>
      <c r="E661" s="73"/>
      <c r="F661" s="72"/>
    </row>
    <row r="662" ht="14.25" customHeight="1">
      <c r="A662" s="73"/>
      <c r="B662" s="73"/>
      <c r="C662" s="73"/>
      <c r="D662" s="73"/>
      <c r="E662" s="73"/>
      <c r="F662" s="72"/>
    </row>
    <row r="663" ht="14.25" customHeight="1">
      <c r="A663" s="73"/>
      <c r="B663" s="73"/>
      <c r="C663" s="73"/>
      <c r="D663" s="73"/>
      <c r="E663" s="73"/>
      <c r="F663" s="72"/>
    </row>
    <row r="664" ht="14.25" customHeight="1">
      <c r="A664" s="73"/>
      <c r="B664" s="73"/>
      <c r="C664" s="73"/>
      <c r="D664" s="73"/>
      <c r="E664" s="73"/>
      <c r="F664" s="72"/>
    </row>
    <row r="665" ht="14.25" customHeight="1">
      <c r="A665" s="73"/>
      <c r="B665" s="73"/>
      <c r="C665" s="73"/>
      <c r="D665" s="73"/>
      <c r="E665" s="73"/>
      <c r="F665" s="72"/>
    </row>
    <row r="666" ht="14.25" customHeight="1">
      <c r="A666" s="73"/>
      <c r="B666" s="73"/>
      <c r="C666" s="73"/>
      <c r="D666" s="73"/>
      <c r="E666" s="73"/>
      <c r="F666" s="72"/>
    </row>
    <row r="667" ht="14.25" customHeight="1">
      <c r="A667" s="73"/>
      <c r="B667" s="73"/>
      <c r="C667" s="73"/>
      <c r="D667" s="73"/>
      <c r="E667" s="73"/>
      <c r="F667" s="72"/>
    </row>
    <row r="668" ht="14.25" customHeight="1">
      <c r="A668" s="73"/>
      <c r="B668" s="73"/>
      <c r="C668" s="73"/>
      <c r="D668" s="73"/>
      <c r="E668" s="73"/>
      <c r="F668" s="72"/>
    </row>
    <row r="669" ht="14.25" customHeight="1">
      <c r="A669" s="73"/>
      <c r="B669" s="73"/>
      <c r="C669" s="73"/>
      <c r="D669" s="73"/>
      <c r="E669" s="73"/>
      <c r="F669" s="72"/>
    </row>
    <row r="670" ht="14.25" customHeight="1">
      <c r="A670" s="73"/>
      <c r="B670" s="73"/>
      <c r="C670" s="73"/>
      <c r="D670" s="73"/>
      <c r="E670" s="73"/>
      <c r="F670" s="72"/>
    </row>
    <row r="671" ht="14.25" customHeight="1">
      <c r="A671" s="73"/>
      <c r="B671" s="73"/>
      <c r="C671" s="73"/>
      <c r="D671" s="73"/>
      <c r="E671" s="73"/>
      <c r="F671" s="72"/>
    </row>
    <row r="672" ht="14.25" customHeight="1">
      <c r="A672" s="73"/>
      <c r="B672" s="73"/>
      <c r="C672" s="73"/>
      <c r="D672" s="73"/>
      <c r="E672" s="73"/>
      <c r="F672" s="72"/>
    </row>
    <row r="673" ht="14.25" customHeight="1">
      <c r="A673" s="73"/>
      <c r="B673" s="73"/>
      <c r="C673" s="73"/>
      <c r="D673" s="73"/>
      <c r="E673" s="73"/>
      <c r="F673" s="72"/>
    </row>
    <row r="674" ht="14.25" customHeight="1">
      <c r="A674" s="73"/>
      <c r="B674" s="73"/>
      <c r="C674" s="73"/>
      <c r="D674" s="73"/>
      <c r="E674" s="73"/>
      <c r="F674" s="72"/>
    </row>
    <row r="675" ht="14.25" customHeight="1">
      <c r="A675" s="73"/>
      <c r="B675" s="73"/>
      <c r="C675" s="73"/>
      <c r="D675" s="73"/>
      <c r="E675" s="73"/>
      <c r="F675" s="72"/>
    </row>
    <row r="676" ht="14.25" customHeight="1">
      <c r="A676" s="73"/>
      <c r="B676" s="73"/>
      <c r="C676" s="73"/>
      <c r="D676" s="73"/>
      <c r="E676" s="73"/>
      <c r="F676" s="72"/>
    </row>
    <row r="677" ht="14.25" customHeight="1">
      <c r="A677" s="73"/>
      <c r="B677" s="73"/>
      <c r="C677" s="73"/>
      <c r="D677" s="73"/>
      <c r="E677" s="73"/>
      <c r="F677" s="72"/>
    </row>
    <row r="678" ht="14.25" customHeight="1">
      <c r="A678" s="73"/>
      <c r="B678" s="73"/>
      <c r="C678" s="73"/>
      <c r="D678" s="73"/>
      <c r="E678" s="73"/>
      <c r="F678" s="72"/>
    </row>
    <row r="679" ht="14.25" customHeight="1">
      <c r="A679" s="73"/>
      <c r="B679" s="73"/>
      <c r="C679" s="73"/>
      <c r="D679" s="73"/>
      <c r="E679" s="73"/>
      <c r="F679" s="72"/>
    </row>
    <row r="680" ht="14.25" customHeight="1">
      <c r="A680" s="73"/>
      <c r="B680" s="73"/>
      <c r="C680" s="73"/>
      <c r="D680" s="73"/>
      <c r="E680" s="73"/>
      <c r="F680" s="72"/>
    </row>
    <row r="681" ht="14.25" customHeight="1">
      <c r="A681" s="73"/>
      <c r="B681" s="73"/>
      <c r="C681" s="73"/>
      <c r="D681" s="73"/>
      <c r="E681" s="73"/>
      <c r="F681" s="72"/>
    </row>
    <row r="682" ht="14.25" customHeight="1">
      <c r="A682" s="73"/>
      <c r="B682" s="73"/>
      <c r="C682" s="73"/>
      <c r="D682" s="73"/>
      <c r="E682" s="73"/>
      <c r="F682" s="72"/>
    </row>
    <row r="683" ht="14.25" customHeight="1">
      <c r="A683" s="73"/>
      <c r="B683" s="73"/>
      <c r="C683" s="73"/>
      <c r="D683" s="73"/>
      <c r="E683" s="73"/>
      <c r="F683" s="72"/>
    </row>
    <row r="684" ht="14.25" customHeight="1">
      <c r="A684" s="73"/>
      <c r="B684" s="73"/>
      <c r="C684" s="73"/>
      <c r="D684" s="73"/>
      <c r="E684" s="73"/>
      <c r="F684" s="72"/>
    </row>
    <row r="685" ht="14.25" customHeight="1">
      <c r="A685" s="73"/>
      <c r="B685" s="73"/>
      <c r="C685" s="73"/>
      <c r="D685" s="73"/>
      <c r="E685" s="73"/>
      <c r="F685" s="72"/>
    </row>
    <row r="686" ht="14.25" customHeight="1">
      <c r="A686" s="73"/>
      <c r="B686" s="73"/>
      <c r="C686" s="73"/>
      <c r="D686" s="73"/>
      <c r="E686" s="73"/>
      <c r="F686" s="72"/>
    </row>
    <row r="687" ht="14.25" customHeight="1">
      <c r="A687" s="73"/>
      <c r="B687" s="73"/>
      <c r="C687" s="73"/>
      <c r="D687" s="73"/>
      <c r="E687" s="73"/>
      <c r="F687" s="72"/>
    </row>
    <row r="688" ht="14.25" customHeight="1">
      <c r="A688" s="73"/>
      <c r="B688" s="73"/>
      <c r="C688" s="73"/>
      <c r="D688" s="73"/>
      <c r="E688" s="73"/>
      <c r="F688" s="72"/>
    </row>
    <row r="689" ht="14.25" customHeight="1">
      <c r="A689" s="73"/>
      <c r="B689" s="73"/>
      <c r="C689" s="73"/>
      <c r="D689" s="73"/>
      <c r="E689" s="73"/>
      <c r="F689" s="72"/>
    </row>
    <row r="690" ht="14.25" customHeight="1">
      <c r="A690" s="73"/>
      <c r="B690" s="73"/>
      <c r="C690" s="73"/>
      <c r="D690" s="73"/>
      <c r="E690" s="73"/>
      <c r="F690" s="72"/>
    </row>
    <row r="691" ht="14.25" customHeight="1">
      <c r="A691" s="73"/>
      <c r="B691" s="73"/>
      <c r="C691" s="73"/>
      <c r="D691" s="73"/>
      <c r="E691" s="73"/>
      <c r="F691" s="72"/>
    </row>
    <row r="692" ht="14.25" customHeight="1">
      <c r="A692" s="73"/>
      <c r="B692" s="73"/>
      <c r="C692" s="73"/>
      <c r="D692" s="73"/>
      <c r="E692" s="73"/>
      <c r="F692" s="72"/>
    </row>
    <row r="693" ht="14.25" customHeight="1">
      <c r="A693" s="73"/>
      <c r="B693" s="73"/>
      <c r="C693" s="73"/>
      <c r="D693" s="73"/>
      <c r="E693" s="73"/>
      <c r="F693" s="72"/>
    </row>
    <row r="694" ht="14.25" customHeight="1">
      <c r="A694" s="73"/>
      <c r="B694" s="73"/>
      <c r="C694" s="73"/>
      <c r="D694" s="73"/>
      <c r="E694" s="73"/>
      <c r="F694" s="72"/>
    </row>
    <row r="695" ht="14.25" customHeight="1">
      <c r="A695" s="73"/>
      <c r="B695" s="73"/>
      <c r="C695" s="73"/>
      <c r="D695" s="73"/>
      <c r="E695" s="73"/>
      <c r="F695" s="72"/>
    </row>
    <row r="696" ht="14.25" customHeight="1">
      <c r="A696" s="73"/>
      <c r="B696" s="73"/>
      <c r="C696" s="73"/>
      <c r="D696" s="73"/>
      <c r="E696" s="73"/>
      <c r="F696" s="72"/>
    </row>
    <row r="697" ht="14.25" customHeight="1">
      <c r="A697" s="73"/>
      <c r="B697" s="73"/>
      <c r="C697" s="73"/>
      <c r="D697" s="73"/>
      <c r="E697" s="73"/>
      <c r="F697" s="72"/>
    </row>
    <row r="698" ht="14.25" customHeight="1">
      <c r="A698" s="73"/>
      <c r="B698" s="73"/>
      <c r="C698" s="73"/>
      <c r="D698" s="73"/>
      <c r="E698" s="73"/>
      <c r="F698" s="72"/>
    </row>
    <row r="699" ht="14.25" customHeight="1">
      <c r="A699" s="73"/>
      <c r="B699" s="73"/>
      <c r="C699" s="73"/>
      <c r="D699" s="73"/>
      <c r="E699" s="73"/>
      <c r="F699" s="72"/>
    </row>
    <row r="700" ht="14.25" customHeight="1">
      <c r="A700" s="73"/>
      <c r="B700" s="73"/>
      <c r="C700" s="73"/>
      <c r="D700" s="73"/>
      <c r="E700" s="73"/>
      <c r="F700" s="72"/>
    </row>
    <row r="701" ht="14.25" customHeight="1">
      <c r="A701" s="73"/>
      <c r="B701" s="73"/>
      <c r="C701" s="73"/>
      <c r="D701" s="73"/>
      <c r="E701" s="73"/>
      <c r="F701" s="72"/>
    </row>
    <row r="702" ht="14.25" customHeight="1">
      <c r="A702" s="73"/>
      <c r="B702" s="73"/>
      <c r="C702" s="73"/>
      <c r="D702" s="73"/>
      <c r="E702" s="73"/>
      <c r="F702" s="72"/>
    </row>
    <row r="703" ht="14.25" customHeight="1">
      <c r="A703" s="73"/>
      <c r="B703" s="73"/>
      <c r="C703" s="73"/>
      <c r="D703" s="73"/>
      <c r="E703" s="73"/>
      <c r="F703" s="72"/>
    </row>
    <row r="704" ht="14.25" customHeight="1">
      <c r="A704" s="73"/>
      <c r="B704" s="73"/>
      <c r="C704" s="73"/>
      <c r="D704" s="73"/>
      <c r="E704" s="73"/>
      <c r="F704" s="72"/>
    </row>
    <row r="705" ht="14.25" customHeight="1">
      <c r="A705" s="73"/>
      <c r="B705" s="73"/>
      <c r="C705" s="73"/>
      <c r="D705" s="73"/>
      <c r="E705" s="73"/>
      <c r="F705" s="72"/>
    </row>
    <row r="706" ht="14.25" customHeight="1">
      <c r="A706" s="73"/>
      <c r="B706" s="73"/>
      <c r="C706" s="73"/>
      <c r="D706" s="73"/>
      <c r="E706" s="73"/>
      <c r="F706" s="72"/>
    </row>
    <row r="707" ht="14.25" customHeight="1">
      <c r="A707" s="73"/>
      <c r="B707" s="73"/>
      <c r="C707" s="73"/>
      <c r="D707" s="73"/>
      <c r="E707" s="73"/>
      <c r="F707" s="72"/>
    </row>
    <row r="708" ht="14.25" customHeight="1">
      <c r="A708" s="73"/>
      <c r="B708" s="73"/>
      <c r="C708" s="73"/>
      <c r="D708" s="73"/>
      <c r="E708" s="73"/>
      <c r="F708" s="72"/>
    </row>
    <row r="709" ht="14.25" customHeight="1">
      <c r="A709" s="73"/>
      <c r="B709" s="73"/>
      <c r="C709" s="73"/>
      <c r="D709" s="73"/>
      <c r="E709" s="73"/>
      <c r="F709" s="72"/>
    </row>
    <row r="710" ht="14.25" customHeight="1">
      <c r="A710" s="73"/>
      <c r="B710" s="73"/>
      <c r="C710" s="73"/>
      <c r="D710" s="73"/>
      <c r="E710" s="73"/>
      <c r="F710" s="72"/>
    </row>
    <row r="711" ht="14.25" customHeight="1">
      <c r="A711" s="73"/>
      <c r="B711" s="73"/>
      <c r="C711" s="73"/>
      <c r="D711" s="73"/>
      <c r="E711" s="73"/>
      <c r="F711" s="72"/>
    </row>
    <row r="712" ht="14.25" customHeight="1">
      <c r="A712" s="73"/>
      <c r="B712" s="73"/>
      <c r="C712" s="73"/>
      <c r="D712" s="73"/>
      <c r="E712" s="73"/>
      <c r="F712" s="72"/>
    </row>
    <row r="713" ht="14.25" customHeight="1">
      <c r="A713" s="73"/>
      <c r="B713" s="73"/>
      <c r="C713" s="73"/>
      <c r="D713" s="73"/>
      <c r="E713" s="73"/>
      <c r="F713" s="72"/>
    </row>
    <row r="714" ht="14.25" customHeight="1">
      <c r="A714" s="73"/>
      <c r="B714" s="73"/>
      <c r="C714" s="73"/>
      <c r="D714" s="73"/>
      <c r="E714" s="73"/>
      <c r="F714" s="72"/>
    </row>
    <row r="715" ht="14.25" customHeight="1">
      <c r="A715" s="73"/>
      <c r="B715" s="73"/>
      <c r="C715" s="73"/>
      <c r="D715" s="73"/>
      <c r="E715" s="73"/>
      <c r="F715" s="72"/>
    </row>
    <row r="716" ht="14.25" customHeight="1">
      <c r="A716" s="73"/>
      <c r="B716" s="73"/>
      <c r="C716" s="73"/>
      <c r="D716" s="73"/>
      <c r="E716" s="73"/>
      <c r="F716" s="72"/>
    </row>
    <row r="717" ht="14.25" customHeight="1">
      <c r="A717" s="73"/>
      <c r="B717" s="73"/>
      <c r="C717" s="73"/>
      <c r="D717" s="73"/>
      <c r="E717" s="73"/>
      <c r="F717" s="72"/>
    </row>
    <row r="718" ht="14.25" customHeight="1">
      <c r="A718" s="73"/>
      <c r="B718" s="73"/>
      <c r="C718" s="73"/>
      <c r="D718" s="73"/>
      <c r="E718" s="73"/>
      <c r="F718" s="72"/>
    </row>
    <row r="719" ht="14.25" customHeight="1">
      <c r="A719" s="73"/>
      <c r="B719" s="73"/>
      <c r="C719" s="73"/>
      <c r="D719" s="73"/>
      <c r="E719" s="73"/>
      <c r="F719" s="72"/>
    </row>
    <row r="720" ht="14.25" customHeight="1">
      <c r="A720" s="73"/>
      <c r="B720" s="73"/>
      <c r="C720" s="73"/>
      <c r="D720" s="73"/>
      <c r="E720" s="73"/>
      <c r="F720" s="72"/>
    </row>
    <row r="721" ht="14.25" customHeight="1">
      <c r="A721" s="73"/>
      <c r="B721" s="73"/>
      <c r="C721" s="73"/>
      <c r="D721" s="73"/>
      <c r="E721" s="73"/>
      <c r="F721" s="72"/>
    </row>
    <row r="722" ht="14.25" customHeight="1">
      <c r="A722" s="73"/>
      <c r="B722" s="73"/>
      <c r="C722" s="73"/>
      <c r="D722" s="73"/>
      <c r="E722" s="73"/>
      <c r="F722" s="72"/>
    </row>
    <row r="723" ht="14.25" customHeight="1">
      <c r="A723" s="73"/>
      <c r="B723" s="73"/>
      <c r="C723" s="73"/>
      <c r="D723" s="73"/>
      <c r="E723" s="73"/>
      <c r="F723" s="72"/>
    </row>
    <row r="724" ht="14.25" customHeight="1">
      <c r="A724" s="73"/>
      <c r="B724" s="73"/>
      <c r="C724" s="73"/>
      <c r="D724" s="73"/>
      <c r="E724" s="73"/>
      <c r="F724" s="72"/>
    </row>
    <row r="725" ht="14.25" customHeight="1">
      <c r="A725" s="73"/>
      <c r="B725" s="73"/>
      <c r="C725" s="73"/>
      <c r="D725" s="73"/>
      <c r="E725" s="73"/>
      <c r="F725" s="72"/>
    </row>
    <row r="726" ht="14.25" customHeight="1">
      <c r="A726" s="73"/>
      <c r="B726" s="73"/>
      <c r="C726" s="73"/>
      <c r="D726" s="73"/>
      <c r="E726" s="73"/>
      <c r="F726" s="72"/>
    </row>
    <row r="727" ht="14.25" customHeight="1">
      <c r="A727" s="73"/>
      <c r="B727" s="73"/>
      <c r="C727" s="73"/>
      <c r="D727" s="73"/>
      <c r="E727" s="73"/>
      <c r="F727" s="72"/>
    </row>
    <row r="728" ht="14.25" customHeight="1">
      <c r="A728" s="73"/>
      <c r="B728" s="73"/>
      <c r="C728" s="73"/>
      <c r="D728" s="73"/>
      <c r="E728" s="73"/>
      <c r="F728" s="72"/>
    </row>
    <row r="729" ht="14.25" customHeight="1">
      <c r="A729" s="73"/>
      <c r="B729" s="73"/>
      <c r="C729" s="73"/>
      <c r="D729" s="73"/>
      <c r="E729" s="73"/>
      <c r="F729" s="72"/>
    </row>
    <row r="730" ht="14.25" customHeight="1">
      <c r="A730" s="73"/>
      <c r="B730" s="73"/>
      <c r="C730" s="73"/>
      <c r="D730" s="73"/>
      <c r="E730" s="73"/>
      <c r="F730" s="72"/>
    </row>
    <row r="731" ht="14.25" customHeight="1">
      <c r="A731" s="73"/>
      <c r="B731" s="73"/>
      <c r="C731" s="73"/>
      <c r="D731" s="73"/>
      <c r="E731" s="73"/>
      <c r="F731" s="72"/>
    </row>
    <row r="732" ht="14.25" customHeight="1">
      <c r="A732" s="73"/>
      <c r="B732" s="73"/>
      <c r="C732" s="73"/>
      <c r="D732" s="73"/>
      <c r="E732" s="73"/>
      <c r="F732" s="72"/>
    </row>
    <row r="733" ht="14.25" customHeight="1">
      <c r="A733" s="73"/>
      <c r="B733" s="73"/>
      <c r="C733" s="73"/>
      <c r="D733" s="73"/>
      <c r="E733" s="73"/>
      <c r="F733" s="72"/>
    </row>
    <row r="734" ht="14.25" customHeight="1">
      <c r="A734" s="73"/>
      <c r="B734" s="73"/>
      <c r="C734" s="73"/>
      <c r="D734" s="73"/>
      <c r="E734" s="73"/>
      <c r="F734" s="72"/>
    </row>
    <row r="735" ht="14.25" customHeight="1">
      <c r="A735" s="73"/>
      <c r="B735" s="73"/>
      <c r="C735" s="73"/>
      <c r="D735" s="73"/>
      <c r="E735" s="73"/>
      <c r="F735" s="72"/>
    </row>
    <row r="736" ht="14.25" customHeight="1">
      <c r="A736" s="73"/>
      <c r="B736" s="73"/>
      <c r="C736" s="73"/>
      <c r="D736" s="73"/>
      <c r="E736" s="73"/>
      <c r="F736" s="72"/>
    </row>
    <row r="737" ht="14.25" customHeight="1">
      <c r="A737" s="73"/>
      <c r="B737" s="73"/>
      <c r="C737" s="73"/>
      <c r="D737" s="73"/>
      <c r="E737" s="73"/>
      <c r="F737" s="72"/>
    </row>
    <row r="738" ht="14.25" customHeight="1">
      <c r="A738" s="73"/>
      <c r="B738" s="73"/>
      <c r="C738" s="73"/>
      <c r="D738" s="73"/>
      <c r="E738" s="73"/>
      <c r="F738" s="72"/>
    </row>
    <row r="739" ht="14.25" customHeight="1">
      <c r="A739" s="73"/>
      <c r="B739" s="73"/>
      <c r="C739" s="73"/>
      <c r="D739" s="73"/>
      <c r="E739" s="73"/>
      <c r="F739" s="72"/>
    </row>
    <row r="740" ht="14.25" customHeight="1">
      <c r="A740" s="73"/>
      <c r="B740" s="73"/>
      <c r="C740" s="73"/>
      <c r="D740" s="73"/>
      <c r="E740" s="73"/>
      <c r="F740" s="72"/>
    </row>
    <row r="741" ht="14.25" customHeight="1">
      <c r="A741" s="73"/>
      <c r="B741" s="73"/>
      <c r="C741" s="73"/>
      <c r="D741" s="73"/>
      <c r="E741" s="73"/>
      <c r="F741" s="72"/>
    </row>
    <row r="742" ht="14.25" customHeight="1">
      <c r="A742" s="73"/>
      <c r="B742" s="73"/>
      <c r="C742" s="73"/>
      <c r="D742" s="73"/>
      <c r="E742" s="73"/>
      <c r="F742" s="72"/>
    </row>
    <row r="743" ht="14.25" customHeight="1">
      <c r="A743" s="73"/>
      <c r="B743" s="73"/>
      <c r="C743" s="73"/>
      <c r="D743" s="73"/>
      <c r="E743" s="73"/>
      <c r="F743" s="72"/>
    </row>
    <row r="744" ht="14.25" customHeight="1">
      <c r="A744" s="73"/>
      <c r="B744" s="73"/>
      <c r="C744" s="73"/>
      <c r="D744" s="73"/>
      <c r="E744" s="73"/>
      <c r="F744" s="72"/>
    </row>
    <row r="745" ht="14.25" customHeight="1">
      <c r="A745" s="73"/>
      <c r="B745" s="73"/>
      <c r="C745" s="73"/>
      <c r="D745" s="73"/>
      <c r="E745" s="73"/>
      <c r="F745" s="72"/>
    </row>
    <row r="746" ht="14.25" customHeight="1">
      <c r="A746" s="73"/>
      <c r="B746" s="73"/>
      <c r="C746" s="73"/>
      <c r="D746" s="73"/>
      <c r="E746" s="73"/>
      <c r="F746" s="72"/>
    </row>
    <row r="747" ht="14.25" customHeight="1">
      <c r="A747" s="73"/>
      <c r="B747" s="73"/>
      <c r="C747" s="73"/>
      <c r="D747" s="73"/>
      <c r="E747" s="73"/>
      <c r="F747" s="72"/>
    </row>
    <row r="748" ht="14.25" customHeight="1">
      <c r="A748" s="73"/>
      <c r="B748" s="73"/>
      <c r="C748" s="73"/>
      <c r="D748" s="73"/>
      <c r="E748" s="73"/>
      <c r="F748" s="72"/>
    </row>
    <row r="749" ht="14.25" customHeight="1">
      <c r="A749" s="73"/>
      <c r="B749" s="73"/>
      <c r="C749" s="73"/>
      <c r="D749" s="73"/>
      <c r="E749" s="73"/>
      <c r="F749" s="72"/>
    </row>
    <row r="750" ht="14.25" customHeight="1">
      <c r="A750" s="73"/>
      <c r="B750" s="73"/>
      <c r="C750" s="73"/>
      <c r="D750" s="73"/>
      <c r="E750" s="73"/>
      <c r="F750" s="72"/>
    </row>
    <row r="751" ht="14.25" customHeight="1">
      <c r="A751" s="73"/>
      <c r="B751" s="73"/>
      <c r="C751" s="73"/>
      <c r="D751" s="73"/>
      <c r="E751" s="73"/>
      <c r="F751" s="72"/>
    </row>
    <row r="752" ht="14.25" customHeight="1">
      <c r="A752" s="73"/>
      <c r="B752" s="73"/>
      <c r="C752" s="73"/>
      <c r="D752" s="73"/>
      <c r="E752" s="73"/>
      <c r="F752" s="72"/>
    </row>
    <row r="753" ht="14.25" customHeight="1">
      <c r="A753" s="73"/>
      <c r="B753" s="73"/>
      <c r="C753" s="73"/>
      <c r="D753" s="73"/>
      <c r="E753" s="73"/>
      <c r="F753" s="72"/>
    </row>
    <row r="754" ht="14.25" customHeight="1">
      <c r="A754" s="73"/>
      <c r="B754" s="73"/>
      <c r="C754" s="73"/>
      <c r="D754" s="73"/>
      <c r="E754" s="73"/>
      <c r="F754" s="72"/>
    </row>
    <row r="755" ht="14.25" customHeight="1">
      <c r="A755" s="73"/>
      <c r="B755" s="73"/>
      <c r="C755" s="73"/>
      <c r="D755" s="73"/>
      <c r="E755" s="73"/>
      <c r="F755" s="72"/>
    </row>
    <row r="756" ht="14.25" customHeight="1">
      <c r="A756" s="73"/>
      <c r="B756" s="73"/>
      <c r="C756" s="73"/>
      <c r="D756" s="73"/>
      <c r="E756" s="73"/>
      <c r="F756" s="72"/>
    </row>
    <row r="757" ht="14.25" customHeight="1">
      <c r="A757" s="73"/>
      <c r="B757" s="73"/>
      <c r="C757" s="73"/>
      <c r="D757" s="73"/>
      <c r="E757" s="73"/>
      <c r="F757" s="72"/>
    </row>
    <row r="758" ht="14.25" customHeight="1">
      <c r="A758" s="73"/>
      <c r="B758" s="73"/>
      <c r="C758" s="73"/>
      <c r="D758" s="73"/>
      <c r="E758" s="73"/>
      <c r="F758" s="72"/>
    </row>
    <row r="759" ht="14.25" customHeight="1">
      <c r="A759" s="73"/>
      <c r="B759" s="73"/>
      <c r="C759" s="73"/>
      <c r="D759" s="73"/>
      <c r="E759" s="73"/>
      <c r="F759" s="72"/>
    </row>
    <row r="760" ht="14.25" customHeight="1">
      <c r="A760" s="73"/>
      <c r="B760" s="73"/>
      <c r="C760" s="73"/>
      <c r="D760" s="73"/>
      <c r="E760" s="73"/>
      <c r="F760" s="72"/>
    </row>
    <row r="761" ht="14.25" customHeight="1">
      <c r="A761" s="73"/>
      <c r="B761" s="73"/>
      <c r="C761" s="73"/>
      <c r="D761" s="73"/>
      <c r="E761" s="73"/>
      <c r="F761" s="72"/>
    </row>
    <row r="762" ht="14.25" customHeight="1">
      <c r="A762" s="73"/>
      <c r="B762" s="73"/>
      <c r="C762" s="73"/>
      <c r="D762" s="73"/>
      <c r="E762" s="73"/>
      <c r="F762" s="72"/>
    </row>
    <row r="763" ht="14.25" customHeight="1">
      <c r="A763" s="73"/>
      <c r="B763" s="73"/>
      <c r="C763" s="73"/>
      <c r="D763" s="73"/>
      <c r="E763" s="73"/>
      <c r="F763" s="72"/>
    </row>
    <row r="764" ht="14.25" customHeight="1">
      <c r="A764" s="73"/>
      <c r="B764" s="73"/>
      <c r="C764" s="73"/>
      <c r="D764" s="73"/>
      <c r="E764" s="73"/>
      <c r="F764" s="72"/>
    </row>
    <row r="765" ht="14.25" customHeight="1">
      <c r="A765" s="73"/>
      <c r="B765" s="73"/>
      <c r="C765" s="73"/>
      <c r="D765" s="73"/>
      <c r="E765" s="73"/>
      <c r="F765" s="72"/>
    </row>
    <row r="766" ht="14.25" customHeight="1">
      <c r="A766" s="73"/>
      <c r="B766" s="73"/>
      <c r="C766" s="73"/>
      <c r="D766" s="73"/>
      <c r="E766" s="73"/>
      <c r="F766" s="72"/>
    </row>
    <row r="767" ht="14.25" customHeight="1">
      <c r="A767" s="73"/>
      <c r="B767" s="73"/>
      <c r="C767" s="73"/>
      <c r="D767" s="73"/>
      <c r="E767" s="73"/>
      <c r="F767" s="72"/>
    </row>
    <row r="768" ht="14.25" customHeight="1">
      <c r="A768" s="73"/>
      <c r="B768" s="73"/>
      <c r="C768" s="73"/>
      <c r="D768" s="73"/>
      <c r="E768" s="73"/>
      <c r="F768" s="72"/>
    </row>
    <row r="769" ht="14.25" customHeight="1">
      <c r="A769" s="73"/>
      <c r="B769" s="73"/>
      <c r="C769" s="73"/>
      <c r="D769" s="73"/>
      <c r="E769" s="73"/>
      <c r="F769" s="72"/>
    </row>
    <row r="770" ht="14.25" customHeight="1">
      <c r="A770" s="73"/>
      <c r="B770" s="73"/>
      <c r="C770" s="73"/>
      <c r="D770" s="73"/>
      <c r="E770" s="73"/>
      <c r="F770" s="72"/>
    </row>
    <row r="771" ht="14.25" customHeight="1">
      <c r="A771" s="73"/>
      <c r="B771" s="73"/>
      <c r="C771" s="73"/>
      <c r="D771" s="73"/>
      <c r="E771" s="73"/>
      <c r="F771" s="72"/>
    </row>
    <row r="772" ht="14.25" customHeight="1">
      <c r="A772" s="73"/>
      <c r="B772" s="73"/>
      <c r="C772" s="73"/>
      <c r="D772" s="73"/>
      <c r="E772" s="73"/>
      <c r="F772" s="72"/>
    </row>
    <row r="773" ht="14.25" customHeight="1">
      <c r="A773" s="73"/>
      <c r="B773" s="73"/>
      <c r="C773" s="73"/>
      <c r="D773" s="73"/>
      <c r="E773" s="73"/>
      <c r="F773" s="72"/>
    </row>
    <row r="774" ht="14.25" customHeight="1">
      <c r="A774" s="73"/>
      <c r="B774" s="73"/>
      <c r="C774" s="73"/>
      <c r="D774" s="73"/>
      <c r="E774" s="73"/>
      <c r="F774" s="72"/>
    </row>
    <row r="775" ht="14.25" customHeight="1">
      <c r="A775" s="73"/>
      <c r="B775" s="73"/>
      <c r="C775" s="73"/>
      <c r="D775" s="73"/>
      <c r="E775" s="73"/>
      <c r="F775" s="72"/>
    </row>
    <row r="776" ht="14.25" customHeight="1">
      <c r="A776" s="73"/>
      <c r="B776" s="73"/>
      <c r="C776" s="73"/>
      <c r="D776" s="73"/>
      <c r="E776" s="73"/>
      <c r="F776" s="72"/>
    </row>
    <row r="777" ht="14.25" customHeight="1">
      <c r="A777" s="73"/>
      <c r="B777" s="73"/>
      <c r="C777" s="73"/>
      <c r="D777" s="73"/>
      <c r="E777" s="73"/>
      <c r="F777" s="72"/>
    </row>
    <row r="778" ht="14.25" customHeight="1">
      <c r="A778" s="73"/>
      <c r="B778" s="73"/>
      <c r="C778" s="73"/>
      <c r="D778" s="73"/>
      <c r="E778" s="73"/>
      <c r="F778" s="72"/>
    </row>
    <row r="779" ht="14.25" customHeight="1">
      <c r="A779" s="73"/>
      <c r="B779" s="73"/>
      <c r="C779" s="73"/>
      <c r="D779" s="73"/>
      <c r="E779" s="73"/>
      <c r="F779" s="72"/>
    </row>
    <row r="780" ht="14.25" customHeight="1">
      <c r="A780" s="73"/>
      <c r="B780" s="73"/>
      <c r="C780" s="73"/>
      <c r="D780" s="73"/>
      <c r="E780" s="73"/>
      <c r="F780" s="72"/>
    </row>
    <row r="781" ht="14.25" customHeight="1">
      <c r="A781" s="73"/>
      <c r="B781" s="73"/>
      <c r="C781" s="73"/>
      <c r="D781" s="73"/>
      <c r="E781" s="73"/>
      <c r="F781" s="72"/>
    </row>
    <row r="782" ht="14.25" customHeight="1">
      <c r="A782" s="73"/>
      <c r="B782" s="73"/>
      <c r="C782" s="73"/>
      <c r="D782" s="73"/>
      <c r="E782" s="73"/>
      <c r="F782" s="72"/>
    </row>
    <row r="783" ht="14.25" customHeight="1">
      <c r="A783" s="73"/>
      <c r="B783" s="73"/>
      <c r="C783" s="73"/>
      <c r="D783" s="73"/>
      <c r="E783" s="73"/>
      <c r="F783" s="72"/>
    </row>
    <row r="784" ht="14.25" customHeight="1">
      <c r="A784" s="73"/>
      <c r="B784" s="73"/>
      <c r="C784" s="73"/>
      <c r="D784" s="73"/>
      <c r="E784" s="73"/>
      <c r="F784" s="72"/>
    </row>
    <row r="785" ht="14.25" customHeight="1">
      <c r="A785" s="73"/>
      <c r="B785" s="73"/>
      <c r="C785" s="73"/>
      <c r="D785" s="73"/>
      <c r="E785" s="73"/>
      <c r="F785" s="72"/>
    </row>
    <row r="786" ht="14.25" customHeight="1">
      <c r="A786" s="73"/>
      <c r="B786" s="73"/>
      <c r="C786" s="73"/>
      <c r="D786" s="73"/>
      <c r="E786" s="73"/>
      <c r="F786" s="72"/>
    </row>
    <row r="787" ht="14.25" customHeight="1">
      <c r="A787" s="73"/>
      <c r="B787" s="73"/>
      <c r="C787" s="73"/>
      <c r="D787" s="73"/>
      <c r="E787" s="73"/>
      <c r="F787" s="72"/>
    </row>
    <row r="788" ht="14.25" customHeight="1">
      <c r="A788" s="73"/>
      <c r="B788" s="73"/>
      <c r="C788" s="73"/>
      <c r="D788" s="73"/>
      <c r="E788" s="73"/>
      <c r="F788" s="72"/>
    </row>
    <row r="789" ht="14.25" customHeight="1">
      <c r="A789" s="73"/>
      <c r="B789" s="73"/>
      <c r="C789" s="73"/>
      <c r="D789" s="73"/>
      <c r="E789" s="73"/>
      <c r="F789" s="72"/>
    </row>
    <row r="790" ht="14.25" customHeight="1">
      <c r="A790" s="73"/>
      <c r="B790" s="73"/>
      <c r="C790" s="73"/>
      <c r="D790" s="73"/>
      <c r="E790" s="73"/>
      <c r="F790" s="72"/>
    </row>
    <row r="791" ht="14.25" customHeight="1">
      <c r="A791" s="73"/>
      <c r="B791" s="73"/>
      <c r="C791" s="73"/>
      <c r="D791" s="73"/>
      <c r="E791" s="73"/>
      <c r="F791" s="72"/>
    </row>
    <row r="792" ht="14.25" customHeight="1">
      <c r="A792" s="73"/>
      <c r="B792" s="73"/>
      <c r="C792" s="73"/>
      <c r="D792" s="73"/>
      <c r="E792" s="73"/>
      <c r="F792" s="72"/>
    </row>
    <row r="793" ht="14.25" customHeight="1">
      <c r="A793" s="73"/>
      <c r="B793" s="73"/>
      <c r="C793" s="73"/>
      <c r="D793" s="73"/>
      <c r="E793" s="73"/>
      <c r="F793" s="72"/>
    </row>
    <row r="794" ht="14.25" customHeight="1">
      <c r="A794" s="73"/>
      <c r="B794" s="73"/>
      <c r="C794" s="73"/>
      <c r="D794" s="73"/>
      <c r="E794" s="73"/>
      <c r="F794" s="72"/>
    </row>
    <row r="795" ht="14.25" customHeight="1">
      <c r="A795" s="73"/>
      <c r="B795" s="73"/>
      <c r="C795" s="73"/>
      <c r="D795" s="73"/>
      <c r="E795" s="73"/>
      <c r="F795" s="72"/>
    </row>
    <row r="796" ht="14.25" customHeight="1">
      <c r="A796" s="73"/>
      <c r="B796" s="73"/>
      <c r="C796" s="73"/>
      <c r="D796" s="73"/>
      <c r="E796" s="73"/>
      <c r="F796" s="72"/>
    </row>
    <row r="797" ht="14.25" customHeight="1">
      <c r="A797" s="73"/>
      <c r="B797" s="73"/>
      <c r="C797" s="73"/>
      <c r="D797" s="73"/>
      <c r="E797" s="73"/>
      <c r="F797" s="72"/>
    </row>
    <row r="798" ht="14.25" customHeight="1">
      <c r="A798" s="73"/>
      <c r="B798" s="73"/>
      <c r="C798" s="73"/>
      <c r="D798" s="73"/>
      <c r="E798" s="73"/>
      <c r="F798" s="72"/>
    </row>
    <row r="799" ht="14.25" customHeight="1">
      <c r="A799" s="73"/>
      <c r="B799" s="73"/>
      <c r="C799" s="73"/>
      <c r="D799" s="73"/>
      <c r="E799" s="73"/>
      <c r="F799" s="72"/>
    </row>
    <row r="800" ht="14.25" customHeight="1">
      <c r="A800" s="73"/>
      <c r="B800" s="73"/>
      <c r="C800" s="73"/>
      <c r="D800" s="73"/>
      <c r="E800" s="73"/>
      <c r="F800" s="72"/>
    </row>
    <row r="801" ht="14.25" customHeight="1">
      <c r="A801" s="73"/>
      <c r="B801" s="73"/>
      <c r="C801" s="73"/>
      <c r="D801" s="73"/>
      <c r="E801" s="73"/>
      <c r="F801" s="72"/>
    </row>
    <row r="802" ht="14.25" customHeight="1">
      <c r="A802" s="73"/>
      <c r="B802" s="73"/>
      <c r="C802" s="73"/>
      <c r="D802" s="73"/>
      <c r="E802" s="73"/>
      <c r="F802" s="72"/>
    </row>
    <row r="803" ht="14.25" customHeight="1">
      <c r="A803" s="73"/>
      <c r="B803" s="73"/>
      <c r="C803" s="73"/>
      <c r="D803" s="73"/>
      <c r="E803" s="73"/>
      <c r="F803" s="72"/>
    </row>
    <row r="804" ht="14.25" customHeight="1">
      <c r="A804" s="73"/>
      <c r="B804" s="73"/>
      <c r="C804" s="73"/>
      <c r="D804" s="73"/>
      <c r="E804" s="73"/>
      <c r="F804" s="72"/>
    </row>
    <row r="805" ht="14.25" customHeight="1">
      <c r="A805" s="73"/>
      <c r="B805" s="73"/>
      <c r="C805" s="73"/>
      <c r="D805" s="73"/>
      <c r="E805" s="73"/>
      <c r="F805" s="72"/>
    </row>
    <row r="806" ht="14.25" customHeight="1">
      <c r="A806" s="73"/>
      <c r="B806" s="73"/>
      <c r="C806" s="73"/>
      <c r="D806" s="73"/>
      <c r="E806" s="73"/>
      <c r="F806" s="72"/>
    </row>
    <row r="807" ht="14.25" customHeight="1">
      <c r="A807" s="73"/>
      <c r="B807" s="73"/>
      <c r="C807" s="73"/>
      <c r="D807" s="73"/>
      <c r="E807" s="73"/>
      <c r="F807" s="72"/>
    </row>
    <row r="808" ht="14.25" customHeight="1">
      <c r="A808" s="73"/>
      <c r="B808" s="73"/>
      <c r="C808" s="73"/>
      <c r="D808" s="73"/>
      <c r="E808" s="73"/>
      <c r="F808" s="72"/>
    </row>
    <row r="809" ht="14.25" customHeight="1">
      <c r="A809" s="73"/>
      <c r="B809" s="73"/>
      <c r="C809" s="73"/>
      <c r="D809" s="73"/>
      <c r="E809" s="73"/>
      <c r="F809" s="72"/>
    </row>
    <row r="810" ht="14.25" customHeight="1">
      <c r="A810" s="73"/>
      <c r="B810" s="73"/>
      <c r="C810" s="73"/>
      <c r="D810" s="73"/>
      <c r="E810" s="73"/>
      <c r="F810" s="72"/>
    </row>
    <row r="811" ht="14.25" customHeight="1">
      <c r="A811" s="73"/>
      <c r="B811" s="73"/>
      <c r="C811" s="73"/>
      <c r="D811" s="73"/>
      <c r="E811" s="73"/>
      <c r="F811" s="72"/>
    </row>
    <row r="812" ht="14.25" customHeight="1">
      <c r="A812" s="73"/>
      <c r="B812" s="73"/>
      <c r="C812" s="73"/>
      <c r="D812" s="73"/>
      <c r="E812" s="73"/>
      <c r="F812" s="72"/>
    </row>
    <row r="813" ht="14.25" customHeight="1">
      <c r="A813" s="73"/>
      <c r="B813" s="73"/>
      <c r="C813" s="73"/>
      <c r="D813" s="73"/>
      <c r="E813" s="73"/>
      <c r="F813" s="72"/>
    </row>
    <row r="814" ht="14.25" customHeight="1">
      <c r="A814" s="73"/>
      <c r="B814" s="73"/>
      <c r="C814" s="73"/>
      <c r="D814" s="73"/>
      <c r="E814" s="73"/>
      <c r="F814" s="72"/>
    </row>
    <row r="815" ht="14.25" customHeight="1">
      <c r="A815" s="73"/>
      <c r="B815" s="73"/>
      <c r="C815" s="73"/>
      <c r="D815" s="73"/>
      <c r="E815" s="73"/>
      <c r="F815" s="72"/>
    </row>
    <row r="816" ht="14.25" customHeight="1">
      <c r="A816" s="73"/>
      <c r="B816" s="73"/>
      <c r="C816" s="73"/>
      <c r="D816" s="73"/>
      <c r="E816" s="73"/>
      <c r="F816" s="72"/>
    </row>
    <row r="817" ht="14.25" customHeight="1">
      <c r="A817" s="73"/>
      <c r="B817" s="73"/>
      <c r="C817" s="73"/>
      <c r="D817" s="73"/>
      <c r="E817" s="73"/>
      <c r="F817" s="72"/>
    </row>
    <row r="818" ht="14.25" customHeight="1">
      <c r="A818" s="73"/>
      <c r="B818" s="73"/>
      <c r="C818" s="73"/>
      <c r="D818" s="73"/>
      <c r="E818" s="73"/>
      <c r="F818" s="72"/>
    </row>
    <row r="819" ht="14.25" customHeight="1">
      <c r="A819" s="73"/>
      <c r="B819" s="73"/>
      <c r="C819" s="73"/>
      <c r="D819" s="73"/>
      <c r="E819" s="73"/>
      <c r="F819" s="72"/>
    </row>
    <row r="820" ht="14.25" customHeight="1">
      <c r="A820" s="73"/>
      <c r="B820" s="73"/>
      <c r="C820" s="73"/>
      <c r="D820" s="73"/>
      <c r="E820" s="73"/>
      <c r="F820" s="72"/>
    </row>
    <row r="821" ht="14.25" customHeight="1">
      <c r="A821" s="73"/>
      <c r="B821" s="73"/>
      <c r="C821" s="73"/>
      <c r="D821" s="73"/>
      <c r="E821" s="73"/>
      <c r="F821" s="72"/>
    </row>
    <row r="822" ht="14.25" customHeight="1">
      <c r="A822" s="73"/>
      <c r="B822" s="73"/>
      <c r="C822" s="73"/>
      <c r="D822" s="73"/>
      <c r="E822" s="73"/>
      <c r="F822" s="72"/>
    </row>
    <row r="823" ht="14.25" customHeight="1">
      <c r="A823" s="73"/>
      <c r="B823" s="73"/>
      <c r="C823" s="73"/>
      <c r="D823" s="73"/>
      <c r="E823" s="73"/>
      <c r="F823" s="72"/>
    </row>
    <row r="824" ht="14.25" customHeight="1">
      <c r="A824" s="73"/>
      <c r="B824" s="73"/>
      <c r="C824" s="73"/>
      <c r="D824" s="73"/>
      <c r="E824" s="73"/>
      <c r="F824" s="72"/>
    </row>
    <row r="825" ht="14.25" customHeight="1">
      <c r="A825" s="73"/>
      <c r="B825" s="73"/>
      <c r="C825" s="73"/>
      <c r="D825" s="73"/>
      <c r="E825" s="73"/>
      <c r="F825" s="72"/>
    </row>
    <row r="826" ht="14.25" customHeight="1">
      <c r="A826" s="73"/>
      <c r="B826" s="73"/>
      <c r="C826" s="73"/>
      <c r="D826" s="73"/>
      <c r="E826" s="73"/>
      <c r="F826" s="72"/>
    </row>
    <row r="827" ht="14.25" customHeight="1">
      <c r="A827" s="73"/>
      <c r="B827" s="73"/>
      <c r="C827" s="73"/>
      <c r="D827" s="73"/>
      <c r="E827" s="73"/>
      <c r="F827" s="72"/>
    </row>
    <row r="828" ht="14.25" customHeight="1">
      <c r="A828" s="73"/>
      <c r="B828" s="73"/>
      <c r="C828" s="73"/>
      <c r="D828" s="73"/>
      <c r="E828" s="73"/>
      <c r="F828" s="72"/>
    </row>
    <row r="829" ht="14.25" customHeight="1">
      <c r="A829" s="73"/>
      <c r="B829" s="73"/>
      <c r="C829" s="73"/>
      <c r="D829" s="73"/>
      <c r="E829" s="73"/>
      <c r="F829" s="72"/>
    </row>
    <row r="830" ht="14.25" customHeight="1">
      <c r="A830" s="73"/>
      <c r="B830" s="73"/>
      <c r="C830" s="73"/>
      <c r="D830" s="73"/>
      <c r="E830" s="73"/>
      <c r="F830" s="72"/>
    </row>
    <row r="831" ht="14.25" customHeight="1">
      <c r="A831" s="73"/>
      <c r="B831" s="73"/>
      <c r="C831" s="73"/>
      <c r="D831" s="73"/>
      <c r="E831" s="73"/>
      <c r="F831" s="72"/>
    </row>
    <row r="832" ht="14.25" customHeight="1">
      <c r="A832" s="73"/>
      <c r="B832" s="73"/>
      <c r="C832" s="73"/>
      <c r="D832" s="73"/>
      <c r="E832" s="73"/>
      <c r="F832" s="72"/>
    </row>
    <row r="833" ht="14.25" customHeight="1">
      <c r="A833" s="73"/>
      <c r="B833" s="73"/>
      <c r="C833" s="73"/>
      <c r="D833" s="73"/>
      <c r="E833" s="73"/>
      <c r="F833" s="72"/>
    </row>
    <row r="834" ht="14.25" customHeight="1">
      <c r="A834" s="73"/>
      <c r="B834" s="73"/>
      <c r="C834" s="73"/>
      <c r="D834" s="73"/>
      <c r="E834" s="73"/>
      <c r="F834" s="72"/>
    </row>
    <row r="835" ht="14.25" customHeight="1">
      <c r="A835" s="73"/>
      <c r="B835" s="73"/>
      <c r="C835" s="73"/>
      <c r="D835" s="73"/>
      <c r="E835" s="73"/>
      <c r="F835" s="72"/>
    </row>
    <row r="836" ht="14.25" customHeight="1">
      <c r="A836" s="73"/>
      <c r="B836" s="73"/>
      <c r="C836" s="73"/>
      <c r="D836" s="73"/>
      <c r="E836" s="73"/>
      <c r="F836" s="72"/>
    </row>
    <row r="837" ht="14.25" customHeight="1">
      <c r="A837" s="73"/>
      <c r="B837" s="73"/>
      <c r="C837" s="73"/>
      <c r="D837" s="73"/>
      <c r="E837" s="73"/>
      <c r="F837" s="72"/>
    </row>
    <row r="838" ht="14.25" customHeight="1">
      <c r="A838" s="73"/>
      <c r="B838" s="73"/>
      <c r="C838" s="73"/>
      <c r="D838" s="73"/>
      <c r="E838" s="73"/>
      <c r="F838" s="72"/>
    </row>
    <row r="839" ht="14.25" customHeight="1">
      <c r="A839" s="73"/>
      <c r="B839" s="73"/>
      <c r="C839" s="73"/>
      <c r="D839" s="73"/>
      <c r="E839" s="73"/>
      <c r="F839" s="72"/>
    </row>
    <row r="840" ht="14.25" customHeight="1">
      <c r="A840" s="73"/>
      <c r="B840" s="73"/>
      <c r="C840" s="73"/>
      <c r="D840" s="73"/>
      <c r="E840" s="73"/>
      <c r="F840" s="72"/>
    </row>
    <row r="841" ht="14.25" customHeight="1">
      <c r="A841" s="73"/>
      <c r="B841" s="73"/>
      <c r="C841" s="73"/>
      <c r="D841" s="73"/>
      <c r="E841" s="73"/>
      <c r="F841" s="72"/>
    </row>
    <row r="842" ht="14.25" customHeight="1">
      <c r="A842" s="73"/>
      <c r="B842" s="73"/>
      <c r="C842" s="73"/>
      <c r="D842" s="73"/>
      <c r="E842" s="73"/>
      <c r="F842" s="72"/>
    </row>
    <row r="843" ht="14.25" customHeight="1">
      <c r="A843" s="73"/>
      <c r="B843" s="73"/>
      <c r="C843" s="73"/>
      <c r="D843" s="73"/>
      <c r="E843" s="73"/>
      <c r="F843" s="72"/>
    </row>
    <row r="844" ht="14.25" customHeight="1">
      <c r="A844" s="73"/>
      <c r="B844" s="73"/>
      <c r="C844" s="73"/>
      <c r="D844" s="73"/>
      <c r="E844" s="73"/>
      <c r="F844" s="72"/>
    </row>
    <row r="845" ht="14.25" customHeight="1">
      <c r="A845" s="73"/>
      <c r="B845" s="73"/>
      <c r="C845" s="73"/>
      <c r="D845" s="73"/>
      <c r="E845" s="73"/>
      <c r="F845" s="72"/>
    </row>
    <row r="846" ht="14.25" customHeight="1">
      <c r="A846" s="73"/>
      <c r="B846" s="73"/>
      <c r="C846" s="73"/>
      <c r="D846" s="73"/>
      <c r="E846" s="73"/>
      <c r="F846" s="72"/>
    </row>
    <row r="847" ht="14.25" customHeight="1">
      <c r="A847" s="73"/>
      <c r="B847" s="73"/>
      <c r="C847" s="73"/>
      <c r="D847" s="73"/>
      <c r="E847" s="73"/>
      <c r="F847" s="72"/>
    </row>
    <row r="848" ht="14.25" customHeight="1">
      <c r="A848" s="73"/>
      <c r="B848" s="73"/>
      <c r="C848" s="73"/>
      <c r="D848" s="73"/>
      <c r="E848" s="73"/>
      <c r="F848" s="72"/>
    </row>
    <row r="849" ht="14.25" customHeight="1">
      <c r="A849" s="73"/>
      <c r="B849" s="73"/>
      <c r="C849" s="73"/>
      <c r="D849" s="73"/>
      <c r="E849" s="73"/>
      <c r="F849" s="72"/>
    </row>
    <row r="850" ht="14.25" customHeight="1">
      <c r="A850" s="73"/>
      <c r="B850" s="73"/>
      <c r="C850" s="73"/>
      <c r="D850" s="73"/>
      <c r="E850" s="73"/>
      <c r="F850" s="72"/>
    </row>
    <row r="851" ht="14.25" customHeight="1">
      <c r="A851" s="73"/>
      <c r="B851" s="73"/>
      <c r="C851" s="73"/>
      <c r="D851" s="73"/>
      <c r="E851" s="73"/>
      <c r="F851" s="72"/>
    </row>
    <row r="852" ht="14.25" customHeight="1">
      <c r="A852" s="73"/>
      <c r="B852" s="73"/>
      <c r="C852" s="73"/>
      <c r="D852" s="73"/>
      <c r="E852" s="73"/>
      <c r="F852" s="72"/>
    </row>
    <row r="853" ht="14.25" customHeight="1">
      <c r="A853" s="73"/>
      <c r="B853" s="73"/>
      <c r="C853" s="73"/>
      <c r="D853" s="73"/>
      <c r="E853" s="73"/>
      <c r="F853" s="72"/>
    </row>
    <row r="854" ht="14.25" customHeight="1">
      <c r="A854" s="73"/>
      <c r="B854" s="73"/>
      <c r="C854" s="73"/>
      <c r="D854" s="73"/>
      <c r="E854" s="73"/>
      <c r="F854" s="72"/>
    </row>
    <row r="855" ht="14.25" customHeight="1">
      <c r="A855" s="73"/>
      <c r="B855" s="73"/>
      <c r="C855" s="73"/>
      <c r="D855" s="73"/>
      <c r="E855" s="73"/>
      <c r="F855" s="72"/>
    </row>
    <row r="856" ht="14.25" customHeight="1">
      <c r="A856" s="73"/>
      <c r="B856" s="73"/>
      <c r="C856" s="73"/>
      <c r="D856" s="73"/>
      <c r="E856" s="73"/>
      <c r="F856" s="72"/>
    </row>
    <row r="857" ht="14.25" customHeight="1">
      <c r="A857" s="73"/>
      <c r="B857" s="73"/>
      <c r="C857" s="73"/>
      <c r="D857" s="73"/>
      <c r="E857" s="73"/>
      <c r="F857" s="72"/>
    </row>
    <row r="858" ht="14.25" customHeight="1">
      <c r="A858" s="73"/>
      <c r="B858" s="73"/>
      <c r="C858" s="73"/>
      <c r="D858" s="73"/>
      <c r="E858" s="73"/>
      <c r="F858" s="72"/>
    </row>
    <row r="859" ht="14.25" customHeight="1">
      <c r="A859" s="73"/>
      <c r="B859" s="73"/>
      <c r="C859" s="73"/>
      <c r="D859" s="73"/>
      <c r="E859" s="73"/>
      <c r="F859" s="72"/>
    </row>
    <row r="860" ht="14.25" customHeight="1">
      <c r="A860" s="73"/>
      <c r="B860" s="73"/>
      <c r="C860" s="73"/>
      <c r="D860" s="73"/>
      <c r="E860" s="73"/>
      <c r="F860" s="72"/>
    </row>
    <row r="861" ht="14.25" customHeight="1">
      <c r="A861" s="73"/>
      <c r="B861" s="73"/>
      <c r="C861" s="73"/>
      <c r="D861" s="73"/>
      <c r="E861" s="73"/>
      <c r="F861" s="72"/>
    </row>
    <row r="862" ht="14.25" customHeight="1">
      <c r="A862" s="73"/>
      <c r="B862" s="73"/>
      <c r="C862" s="73"/>
      <c r="D862" s="73"/>
      <c r="E862" s="73"/>
      <c r="F862" s="72"/>
    </row>
    <row r="863" ht="14.25" customHeight="1">
      <c r="A863" s="73"/>
      <c r="B863" s="73"/>
      <c r="C863" s="73"/>
      <c r="D863" s="73"/>
      <c r="E863" s="73"/>
      <c r="F863" s="72"/>
    </row>
    <row r="864" ht="14.25" customHeight="1">
      <c r="A864" s="73"/>
      <c r="B864" s="73"/>
      <c r="C864" s="73"/>
      <c r="D864" s="73"/>
      <c r="E864" s="73"/>
      <c r="F864" s="72"/>
    </row>
    <row r="865" ht="14.25" customHeight="1">
      <c r="A865" s="73"/>
      <c r="B865" s="73"/>
      <c r="C865" s="73"/>
      <c r="D865" s="73"/>
      <c r="E865" s="73"/>
      <c r="F865" s="72"/>
    </row>
    <row r="866" ht="14.25" customHeight="1">
      <c r="A866" s="73"/>
      <c r="B866" s="73"/>
      <c r="C866" s="73"/>
      <c r="D866" s="73"/>
      <c r="E866" s="73"/>
      <c r="F866" s="72"/>
    </row>
    <row r="867" ht="14.25" customHeight="1">
      <c r="A867" s="73"/>
      <c r="B867" s="73"/>
      <c r="C867" s="73"/>
      <c r="D867" s="73"/>
      <c r="E867" s="73"/>
      <c r="F867" s="72"/>
    </row>
    <row r="868" ht="14.25" customHeight="1">
      <c r="A868" s="73"/>
      <c r="B868" s="73"/>
      <c r="C868" s="73"/>
      <c r="D868" s="73"/>
      <c r="E868" s="73"/>
      <c r="F868" s="72"/>
    </row>
    <row r="869" ht="14.25" customHeight="1">
      <c r="A869" s="73"/>
      <c r="B869" s="73"/>
      <c r="C869" s="73"/>
      <c r="D869" s="73"/>
      <c r="E869" s="73"/>
      <c r="F869" s="72"/>
    </row>
    <row r="870" ht="14.25" customHeight="1">
      <c r="A870" s="73"/>
      <c r="B870" s="73"/>
      <c r="C870" s="73"/>
      <c r="D870" s="73"/>
      <c r="E870" s="73"/>
      <c r="F870" s="72"/>
    </row>
    <row r="871" ht="14.25" customHeight="1">
      <c r="A871" s="73"/>
      <c r="B871" s="73"/>
      <c r="C871" s="73"/>
      <c r="D871" s="73"/>
      <c r="E871" s="73"/>
      <c r="F871" s="72"/>
    </row>
    <row r="872" ht="14.25" customHeight="1">
      <c r="A872" s="73"/>
      <c r="B872" s="73"/>
      <c r="C872" s="73"/>
      <c r="D872" s="73"/>
      <c r="E872" s="73"/>
      <c r="F872" s="72"/>
    </row>
    <row r="873" ht="14.25" customHeight="1">
      <c r="A873" s="73"/>
      <c r="B873" s="73"/>
      <c r="C873" s="73"/>
      <c r="D873" s="73"/>
      <c r="E873" s="73"/>
      <c r="F873" s="72"/>
    </row>
    <row r="874" ht="14.25" customHeight="1">
      <c r="A874" s="73"/>
      <c r="B874" s="73"/>
      <c r="C874" s="73"/>
      <c r="D874" s="73"/>
      <c r="E874" s="73"/>
      <c r="F874" s="72"/>
    </row>
    <row r="875" ht="14.25" customHeight="1">
      <c r="A875" s="73"/>
      <c r="B875" s="73"/>
      <c r="C875" s="73"/>
      <c r="D875" s="73"/>
      <c r="E875" s="73"/>
      <c r="F875" s="72"/>
    </row>
    <row r="876" ht="14.25" customHeight="1">
      <c r="A876" s="73"/>
      <c r="B876" s="73"/>
      <c r="C876" s="73"/>
      <c r="D876" s="73"/>
      <c r="E876" s="73"/>
      <c r="F876" s="72"/>
    </row>
    <row r="877" ht="14.25" customHeight="1">
      <c r="A877" s="73"/>
      <c r="B877" s="73"/>
      <c r="C877" s="73"/>
      <c r="D877" s="73"/>
      <c r="E877" s="73"/>
      <c r="F877" s="72"/>
    </row>
    <row r="878" ht="14.25" customHeight="1">
      <c r="A878" s="73"/>
      <c r="B878" s="73"/>
      <c r="C878" s="73"/>
      <c r="D878" s="73"/>
      <c r="E878" s="73"/>
      <c r="F878" s="72"/>
    </row>
    <row r="879" ht="14.25" customHeight="1">
      <c r="A879" s="73"/>
      <c r="B879" s="73"/>
      <c r="C879" s="73"/>
      <c r="D879" s="73"/>
      <c r="E879" s="73"/>
      <c r="F879" s="72"/>
    </row>
    <row r="880" ht="14.25" customHeight="1">
      <c r="A880" s="73"/>
      <c r="B880" s="73"/>
      <c r="C880" s="73"/>
      <c r="D880" s="73"/>
      <c r="E880" s="73"/>
      <c r="F880" s="72"/>
    </row>
    <row r="881" ht="14.25" customHeight="1">
      <c r="A881" s="73"/>
      <c r="B881" s="73"/>
      <c r="C881" s="73"/>
      <c r="D881" s="73"/>
      <c r="E881" s="73"/>
      <c r="F881" s="72"/>
    </row>
    <row r="882" ht="14.25" customHeight="1">
      <c r="A882" s="73"/>
      <c r="B882" s="73"/>
      <c r="C882" s="73"/>
      <c r="D882" s="73"/>
      <c r="E882" s="73"/>
      <c r="F882" s="72"/>
    </row>
    <row r="883" ht="14.25" customHeight="1">
      <c r="A883" s="73"/>
      <c r="B883" s="73"/>
      <c r="C883" s="73"/>
      <c r="D883" s="73"/>
      <c r="E883" s="73"/>
      <c r="F883" s="72"/>
    </row>
    <row r="884" ht="14.25" customHeight="1">
      <c r="A884" s="73"/>
      <c r="B884" s="73"/>
      <c r="C884" s="73"/>
      <c r="D884" s="73"/>
      <c r="E884" s="73"/>
      <c r="F884" s="72"/>
    </row>
    <row r="885" ht="14.25" customHeight="1">
      <c r="A885" s="73"/>
      <c r="B885" s="73"/>
      <c r="C885" s="73"/>
      <c r="D885" s="73"/>
      <c r="E885" s="73"/>
      <c r="F885" s="72"/>
    </row>
    <row r="886" ht="14.25" customHeight="1">
      <c r="A886" s="73"/>
      <c r="B886" s="73"/>
      <c r="C886" s="73"/>
      <c r="D886" s="73"/>
      <c r="E886" s="73"/>
      <c r="F886" s="72"/>
    </row>
    <row r="887" ht="14.25" customHeight="1">
      <c r="A887" s="73"/>
      <c r="B887" s="73"/>
      <c r="C887" s="73"/>
      <c r="D887" s="73"/>
      <c r="E887" s="73"/>
      <c r="F887" s="72"/>
    </row>
    <row r="888" ht="14.25" customHeight="1">
      <c r="A888" s="73"/>
      <c r="B888" s="73"/>
      <c r="C888" s="73"/>
      <c r="D888" s="73"/>
      <c r="E888" s="73"/>
      <c r="F888" s="72"/>
    </row>
    <row r="889" ht="14.25" customHeight="1">
      <c r="A889" s="73"/>
      <c r="B889" s="73"/>
      <c r="C889" s="73"/>
      <c r="D889" s="73"/>
      <c r="E889" s="73"/>
      <c r="F889" s="72"/>
    </row>
    <row r="890" ht="14.25" customHeight="1">
      <c r="A890" s="73"/>
      <c r="B890" s="73"/>
      <c r="C890" s="73"/>
      <c r="D890" s="73"/>
      <c r="E890" s="73"/>
      <c r="F890" s="72"/>
    </row>
    <row r="891" ht="14.25" customHeight="1">
      <c r="A891" s="73"/>
      <c r="B891" s="73"/>
      <c r="C891" s="73"/>
      <c r="D891" s="73"/>
      <c r="E891" s="73"/>
      <c r="F891" s="72"/>
    </row>
    <row r="892" ht="14.25" customHeight="1">
      <c r="A892" s="73"/>
      <c r="B892" s="73"/>
      <c r="C892" s="73"/>
      <c r="D892" s="73"/>
      <c r="E892" s="73"/>
      <c r="F892" s="72"/>
    </row>
    <row r="893" ht="14.25" customHeight="1">
      <c r="A893" s="73"/>
      <c r="B893" s="73"/>
      <c r="C893" s="73"/>
      <c r="D893" s="73"/>
      <c r="E893" s="73"/>
      <c r="F893" s="72"/>
    </row>
    <row r="894" ht="14.25" customHeight="1">
      <c r="A894" s="73"/>
      <c r="B894" s="73"/>
      <c r="C894" s="73"/>
      <c r="D894" s="73"/>
      <c r="E894" s="73"/>
      <c r="F894" s="72"/>
    </row>
    <row r="895" ht="14.25" customHeight="1">
      <c r="A895" s="73"/>
      <c r="B895" s="73"/>
      <c r="C895" s="73"/>
      <c r="D895" s="73"/>
      <c r="E895" s="73"/>
      <c r="F895" s="72"/>
    </row>
    <row r="896" ht="14.25" customHeight="1">
      <c r="A896" s="73"/>
      <c r="B896" s="73"/>
      <c r="C896" s="73"/>
      <c r="D896" s="73"/>
      <c r="E896" s="73"/>
      <c r="F896" s="72"/>
    </row>
    <row r="897" ht="14.25" customHeight="1">
      <c r="A897" s="73"/>
      <c r="B897" s="73"/>
      <c r="C897" s="73"/>
      <c r="D897" s="73"/>
      <c r="E897" s="73"/>
      <c r="F897" s="72"/>
    </row>
    <row r="898" ht="14.25" customHeight="1">
      <c r="A898" s="73"/>
      <c r="B898" s="73"/>
      <c r="C898" s="73"/>
      <c r="D898" s="73"/>
      <c r="E898" s="73"/>
      <c r="F898" s="72"/>
    </row>
    <row r="899" ht="14.25" customHeight="1">
      <c r="A899" s="73"/>
      <c r="B899" s="73"/>
      <c r="C899" s="73"/>
      <c r="D899" s="73"/>
      <c r="E899" s="73"/>
      <c r="F899" s="72"/>
    </row>
    <row r="900" ht="14.25" customHeight="1">
      <c r="A900" s="73"/>
      <c r="B900" s="73"/>
      <c r="C900" s="73"/>
      <c r="D900" s="73"/>
      <c r="E900" s="73"/>
      <c r="F900" s="72"/>
    </row>
    <row r="901" ht="14.25" customHeight="1">
      <c r="A901" s="73"/>
      <c r="B901" s="73"/>
      <c r="C901" s="73"/>
      <c r="D901" s="73"/>
      <c r="E901" s="73"/>
      <c r="F901" s="72"/>
    </row>
    <row r="902" ht="14.25" customHeight="1">
      <c r="A902" s="73"/>
      <c r="B902" s="73"/>
      <c r="C902" s="73"/>
      <c r="D902" s="73"/>
      <c r="E902" s="73"/>
      <c r="F902" s="72"/>
    </row>
    <row r="903" ht="14.25" customHeight="1">
      <c r="A903" s="73"/>
      <c r="B903" s="73"/>
      <c r="C903" s="73"/>
      <c r="D903" s="73"/>
      <c r="E903" s="73"/>
      <c r="F903" s="72"/>
    </row>
    <row r="904" ht="14.25" customHeight="1">
      <c r="A904" s="73"/>
      <c r="B904" s="73"/>
      <c r="C904" s="73"/>
      <c r="D904" s="73"/>
      <c r="E904" s="73"/>
      <c r="F904" s="72"/>
    </row>
    <row r="905" ht="14.25" customHeight="1">
      <c r="A905" s="73"/>
      <c r="B905" s="73"/>
      <c r="C905" s="73"/>
      <c r="D905" s="73"/>
      <c r="E905" s="73"/>
      <c r="F905" s="72"/>
    </row>
    <row r="906" ht="14.25" customHeight="1">
      <c r="A906" s="73"/>
      <c r="B906" s="73"/>
      <c r="C906" s="73"/>
      <c r="D906" s="73"/>
      <c r="E906" s="73"/>
      <c r="F906" s="72"/>
    </row>
    <row r="907" ht="14.25" customHeight="1">
      <c r="A907" s="73"/>
      <c r="B907" s="73"/>
      <c r="C907" s="73"/>
      <c r="D907" s="73"/>
      <c r="E907" s="73"/>
      <c r="F907" s="72"/>
    </row>
    <row r="908" ht="14.25" customHeight="1">
      <c r="A908" s="73"/>
      <c r="B908" s="73"/>
      <c r="C908" s="73"/>
      <c r="D908" s="73"/>
      <c r="E908" s="73"/>
      <c r="F908" s="72"/>
    </row>
    <row r="909" ht="14.25" customHeight="1">
      <c r="A909" s="73"/>
      <c r="B909" s="73"/>
      <c r="C909" s="73"/>
      <c r="D909" s="73"/>
      <c r="E909" s="73"/>
      <c r="F909" s="72"/>
    </row>
    <row r="910" ht="14.25" customHeight="1">
      <c r="A910" s="73"/>
      <c r="B910" s="73"/>
      <c r="C910" s="73"/>
      <c r="D910" s="73"/>
      <c r="E910" s="73"/>
      <c r="F910" s="72"/>
    </row>
    <row r="911" ht="14.25" customHeight="1">
      <c r="A911" s="73"/>
      <c r="B911" s="73"/>
      <c r="C911" s="73"/>
      <c r="D911" s="73"/>
      <c r="E911" s="73"/>
      <c r="F911" s="72"/>
    </row>
    <row r="912" ht="14.25" customHeight="1">
      <c r="A912" s="73"/>
      <c r="B912" s="73"/>
      <c r="C912" s="73"/>
      <c r="D912" s="73"/>
      <c r="E912" s="73"/>
      <c r="F912" s="72"/>
    </row>
    <row r="913" ht="14.25" customHeight="1">
      <c r="A913" s="73"/>
      <c r="B913" s="73"/>
      <c r="C913" s="73"/>
      <c r="D913" s="73"/>
      <c r="E913" s="73"/>
      <c r="F913" s="72"/>
    </row>
    <row r="914" ht="14.25" customHeight="1">
      <c r="A914" s="73"/>
      <c r="B914" s="73"/>
      <c r="C914" s="73"/>
      <c r="D914" s="73"/>
      <c r="E914" s="73"/>
      <c r="F914" s="72"/>
    </row>
    <row r="915" ht="14.25" customHeight="1">
      <c r="A915" s="73"/>
      <c r="B915" s="73"/>
      <c r="C915" s="73"/>
      <c r="D915" s="73"/>
      <c r="E915" s="73"/>
      <c r="F915" s="72"/>
    </row>
    <row r="916" ht="14.25" customHeight="1">
      <c r="A916" s="73"/>
      <c r="B916" s="73"/>
      <c r="C916" s="73"/>
      <c r="D916" s="73"/>
      <c r="E916" s="73"/>
      <c r="F916" s="72"/>
    </row>
    <row r="917" ht="14.25" customHeight="1">
      <c r="A917" s="73"/>
      <c r="B917" s="73"/>
      <c r="C917" s="73"/>
      <c r="D917" s="73"/>
      <c r="E917" s="73"/>
      <c r="F917" s="72"/>
    </row>
    <row r="918" ht="14.25" customHeight="1">
      <c r="A918" s="73"/>
      <c r="B918" s="73"/>
      <c r="C918" s="73"/>
      <c r="D918" s="73"/>
      <c r="E918" s="73"/>
      <c r="F918" s="72"/>
    </row>
    <row r="919" ht="14.25" customHeight="1">
      <c r="A919" s="73"/>
      <c r="B919" s="73"/>
      <c r="C919" s="73"/>
      <c r="D919" s="73"/>
      <c r="E919" s="73"/>
      <c r="F919" s="72"/>
    </row>
    <row r="920" ht="14.25" customHeight="1">
      <c r="A920" s="73"/>
      <c r="B920" s="73"/>
      <c r="C920" s="73"/>
      <c r="D920" s="73"/>
      <c r="E920" s="73"/>
      <c r="F920" s="72"/>
    </row>
    <row r="921" ht="14.25" customHeight="1">
      <c r="A921" s="73"/>
      <c r="B921" s="73"/>
      <c r="C921" s="73"/>
      <c r="D921" s="73"/>
      <c r="E921" s="73"/>
      <c r="F921" s="72"/>
    </row>
    <row r="922" ht="14.25" customHeight="1">
      <c r="A922" s="73"/>
      <c r="B922" s="73"/>
      <c r="C922" s="73"/>
      <c r="D922" s="73"/>
      <c r="E922" s="73"/>
      <c r="F922" s="72"/>
    </row>
    <row r="923" ht="14.25" customHeight="1">
      <c r="A923" s="73"/>
      <c r="B923" s="73"/>
      <c r="C923" s="73"/>
      <c r="D923" s="73"/>
      <c r="E923" s="73"/>
      <c r="F923" s="72"/>
    </row>
    <row r="924" ht="14.25" customHeight="1">
      <c r="A924" s="73"/>
      <c r="B924" s="73"/>
      <c r="C924" s="73"/>
      <c r="D924" s="73"/>
      <c r="E924" s="73"/>
      <c r="F924" s="72"/>
    </row>
    <row r="925" ht="14.25" customHeight="1">
      <c r="A925" s="73"/>
      <c r="B925" s="73"/>
      <c r="C925" s="73"/>
      <c r="D925" s="73"/>
      <c r="E925" s="73"/>
      <c r="F925" s="72"/>
    </row>
    <row r="926" ht="14.25" customHeight="1">
      <c r="A926" s="73"/>
      <c r="B926" s="73"/>
      <c r="C926" s="73"/>
      <c r="D926" s="73"/>
      <c r="E926" s="73"/>
      <c r="F926" s="72"/>
    </row>
    <row r="927" ht="14.25" customHeight="1">
      <c r="A927" s="73"/>
      <c r="B927" s="73"/>
      <c r="C927" s="73"/>
      <c r="D927" s="73"/>
      <c r="E927" s="73"/>
      <c r="F927" s="72"/>
    </row>
    <row r="928" ht="14.25" customHeight="1">
      <c r="A928" s="73"/>
      <c r="B928" s="73"/>
      <c r="C928" s="73"/>
      <c r="D928" s="73"/>
      <c r="E928" s="73"/>
      <c r="F928" s="72"/>
    </row>
    <row r="929" ht="14.25" customHeight="1">
      <c r="A929" s="73"/>
      <c r="B929" s="73"/>
      <c r="C929" s="73"/>
      <c r="D929" s="73"/>
      <c r="E929" s="73"/>
      <c r="F929" s="72"/>
    </row>
    <row r="930" ht="14.25" customHeight="1">
      <c r="A930" s="73"/>
      <c r="B930" s="73"/>
      <c r="C930" s="73"/>
      <c r="D930" s="73"/>
      <c r="E930" s="73"/>
      <c r="F930" s="72"/>
    </row>
    <row r="931" ht="14.25" customHeight="1">
      <c r="A931" s="73"/>
      <c r="B931" s="73"/>
      <c r="C931" s="73"/>
      <c r="D931" s="73"/>
      <c r="E931" s="73"/>
      <c r="F931" s="72"/>
    </row>
    <row r="932" ht="14.25" customHeight="1">
      <c r="A932" s="73"/>
      <c r="B932" s="73"/>
      <c r="C932" s="73"/>
      <c r="D932" s="73"/>
      <c r="E932" s="73"/>
      <c r="F932" s="72"/>
    </row>
    <row r="933" ht="14.25" customHeight="1">
      <c r="A933" s="73"/>
      <c r="B933" s="73"/>
      <c r="C933" s="73"/>
      <c r="D933" s="73"/>
      <c r="E933" s="73"/>
      <c r="F933" s="72"/>
    </row>
    <row r="934" ht="14.25" customHeight="1">
      <c r="A934" s="73"/>
      <c r="B934" s="73"/>
      <c r="C934" s="73"/>
      <c r="D934" s="73"/>
      <c r="E934" s="73"/>
      <c r="F934" s="72"/>
    </row>
    <row r="935" ht="14.25" customHeight="1">
      <c r="A935" s="73"/>
      <c r="B935" s="73"/>
      <c r="C935" s="73"/>
      <c r="D935" s="73"/>
      <c r="E935" s="73"/>
      <c r="F935" s="72"/>
    </row>
    <row r="936" ht="14.25" customHeight="1">
      <c r="A936" s="73"/>
      <c r="B936" s="73"/>
      <c r="C936" s="73"/>
      <c r="D936" s="73"/>
      <c r="E936" s="73"/>
      <c r="F936" s="72"/>
    </row>
    <row r="937" ht="14.25" customHeight="1">
      <c r="A937" s="73"/>
      <c r="B937" s="73"/>
      <c r="C937" s="73"/>
      <c r="D937" s="73"/>
      <c r="E937" s="73"/>
      <c r="F937" s="72"/>
    </row>
    <row r="938" ht="14.25" customHeight="1">
      <c r="A938" s="73"/>
      <c r="B938" s="73"/>
      <c r="C938" s="73"/>
      <c r="D938" s="73"/>
      <c r="E938" s="73"/>
      <c r="F938" s="72"/>
    </row>
    <row r="939" ht="14.25" customHeight="1">
      <c r="A939" s="73"/>
      <c r="B939" s="73"/>
      <c r="C939" s="73"/>
      <c r="D939" s="73"/>
      <c r="E939" s="73"/>
      <c r="F939" s="72"/>
    </row>
    <row r="940" ht="14.25" customHeight="1">
      <c r="A940" s="73"/>
      <c r="B940" s="73"/>
      <c r="C940" s="73"/>
      <c r="D940" s="73"/>
      <c r="E940" s="73"/>
      <c r="F940" s="72"/>
    </row>
    <row r="941" ht="14.25" customHeight="1">
      <c r="A941" s="73"/>
      <c r="B941" s="73"/>
      <c r="C941" s="73"/>
      <c r="D941" s="73"/>
      <c r="E941" s="73"/>
      <c r="F941" s="72"/>
    </row>
    <row r="942" ht="14.25" customHeight="1">
      <c r="A942" s="73"/>
      <c r="B942" s="73"/>
      <c r="C942" s="73"/>
      <c r="D942" s="73"/>
      <c r="E942" s="73"/>
      <c r="F942" s="72"/>
    </row>
    <row r="943" ht="14.25" customHeight="1">
      <c r="A943" s="73"/>
      <c r="B943" s="73"/>
      <c r="C943" s="73"/>
      <c r="D943" s="73"/>
      <c r="E943" s="73"/>
      <c r="F943" s="72"/>
    </row>
    <row r="944" ht="14.25" customHeight="1">
      <c r="A944" s="73"/>
      <c r="B944" s="73"/>
      <c r="C944" s="73"/>
      <c r="D944" s="73"/>
      <c r="E944" s="73"/>
      <c r="F944" s="72"/>
    </row>
    <row r="945" ht="14.25" customHeight="1">
      <c r="A945" s="73"/>
      <c r="B945" s="73"/>
      <c r="C945" s="73"/>
      <c r="D945" s="73"/>
      <c r="E945" s="73"/>
      <c r="F945" s="72"/>
    </row>
    <row r="946" ht="14.25" customHeight="1">
      <c r="A946" s="73"/>
      <c r="B946" s="73"/>
      <c r="C946" s="73"/>
      <c r="D946" s="73"/>
      <c r="E946" s="73"/>
      <c r="F946" s="72"/>
    </row>
    <row r="947" ht="14.25" customHeight="1">
      <c r="A947" s="73"/>
      <c r="B947" s="73"/>
      <c r="C947" s="73"/>
      <c r="D947" s="73"/>
      <c r="E947" s="73"/>
      <c r="F947" s="72"/>
    </row>
    <row r="948" ht="14.25" customHeight="1">
      <c r="A948" s="73"/>
      <c r="B948" s="73"/>
      <c r="C948" s="73"/>
      <c r="D948" s="73"/>
      <c r="E948" s="73"/>
      <c r="F948" s="72"/>
    </row>
    <row r="949" ht="14.25" customHeight="1">
      <c r="A949" s="73"/>
      <c r="B949" s="73"/>
      <c r="C949" s="73"/>
      <c r="D949" s="73"/>
      <c r="E949" s="73"/>
      <c r="F949" s="72"/>
    </row>
    <row r="950" ht="14.25" customHeight="1">
      <c r="A950" s="73"/>
      <c r="B950" s="73"/>
      <c r="C950" s="73"/>
      <c r="D950" s="73"/>
      <c r="E950" s="73"/>
      <c r="F950" s="72"/>
    </row>
    <row r="951" ht="14.25" customHeight="1">
      <c r="A951" s="73"/>
      <c r="B951" s="73"/>
      <c r="C951" s="73"/>
      <c r="D951" s="73"/>
      <c r="E951" s="73"/>
      <c r="F951" s="72"/>
    </row>
    <row r="952" ht="14.25" customHeight="1">
      <c r="A952" s="73"/>
      <c r="B952" s="73"/>
      <c r="C952" s="73"/>
      <c r="D952" s="73"/>
      <c r="E952" s="73"/>
      <c r="F952" s="72"/>
    </row>
    <row r="953" ht="14.25" customHeight="1">
      <c r="A953" s="73"/>
      <c r="B953" s="73"/>
      <c r="C953" s="73"/>
      <c r="D953" s="73"/>
      <c r="E953" s="73"/>
      <c r="F953" s="72"/>
    </row>
    <row r="954" ht="14.25" customHeight="1">
      <c r="A954" s="73"/>
      <c r="B954" s="73"/>
      <c r="C954" s="73"/>
      <c r="D954" s="73"/>
      <c r="E954" s="73"/>
      <c r="F954" s="72"/>
    </row>
    <row r="955" ht="14.25" customHeight="1">
      <c r="A955" s="73"/>
      <c r="B955" s="73"/>
      <c r="C955" s="73"/>
      <c r="D955" s="73"/>
      <c r="E955" s="73"/>
      <c r="F955" s="72"/>
    </row>
    <row r="956" ht="14.25" customHeight="1">
      <c r="A956" s="73"/>
      <c r="B956" s="73"/>
      <c r="C956" s="73"/>
      <c r="D956" s="73"/>
      <c r="E956" s="73"/>
      <c r="F956" s="72"/>
    </row>
    <row r="957" ht="14.25" customHeight="1">
      <c r="A957" s="73"/>
      <c r="B957" s="73"/>
      <c r="C957" s="73"/>
      <c r="D957" s="73"/>
      <c r="E957" s="73"/>
      <c r="F957" s="72"/>
    </row>
    <row r="958" ht="14.25" customHeight="1">
      <c r="A958" s="73"/>
      <c r="B958" s="73"/>
      <c r="C958" s="73"/>
      <c r="D958" s="73"/>
      <c r="E958" s="73"/>
      <c r="F958" s="72"/>
    </row>
    <row r="959" ht="14.25" customHeight="1">
      <c r="A959" s="73"/>
      <c r="B959" s="73"/>
      <c r="C959" s="73"/>
      <c r="D959" s="73"/>
      <c r="E959" s="73"/>
      <c r="F959" s="72"/>
    </row>
    <row r="960" ht="14.25" customHeight="1">
      <c r="A960" s="73"/>
      <c r="B960" s="73"/>
      <c r="C960" s="73"/>
      <c r="D960" s="73"/>
      <c r="E960" s="73"/>
      <c r="F960" s="72"/>
    </row>
    <row r="961" ht="14.25" customHeight="1">
      <c r="A961" s="73"/>
      <c r="B961" s="73"/>
      <c r="C961" s="73"/>
      <c r="D961" s="73"/>
      <c r="E961" s="73"/>
      <c r="F961" s="72"/>
    </row>
    <row r="962" ht="14.25" customHeight="1">
      <c r="A962" s="73"/>
      <c r="B962" s="73"/>
      <c r="C962" s="73"/>
      <c r="D962" s="73"/>
      <c r="E962" s="73"/>
      <c r="F962" s="72"/>
    </row>
    <row r="963" ht="14.25" customHeight="1">
      <c r="A963" s="73"/>
      <c r="B963" s="73"/>
      <c r="C963" s="73"/>
      <c r="D963" s="73"/>
      <c r="E963" s="73"/>
      <c r="F963" s="72"/>
    </row>
    <row r="964" ht="14.25" customHeight="1">
      <c r="A964" s="73"/>
      <c r="B964" s="73"/>
      <c r="C964" s="73"/>
      <c r="D964" s="73"/>
      <c r="E964" s="73"/>
      <c r="F964" s="72"/>
    </row>
    <row r="965" ht="14.25" customHeight="1">
      <c r="A965" s="73"/>
      <c r="B965" s="73"/>
      <c r="C965" s="73"/>
      <c r="D965" s="73"/>
      <c r="E965" s="73"/>
      <c r="F965" s="72"/>
    </row>
    <row r="966" ht="14.25" customHeight="1">
      <c r="A966" s="73"/>
      <c r="B966" s="73"/>
      <c r="C966" s="73"/>
      <c r="D966" s="73"/>
      <c r="E966" s="73"/>
      <c r="F966" s="72"/>
    </row>
    <row r="967" ht="14.25" customHeight="1">
      <c r="A967" s="73"/>
      <c r="B967" s="73"/>
      <c r="C967" s="73"/>
      <c r="D967" s="73"/>
      <c r="E967" s="73"/>
      <c r="F967" s="72"/>
    </row>
    <row r="968" ht="14.25" customHeight="1">
      <c r="A968" s="73"/>
      <c r="B968" s="73"/>
      <c r="C968" s="73"/>
      <c r="D968" s="73"/>
      <c r="E968" s="73"/>
      <c r="F968" s="72"/>
    </row>
    <row r="969" ht="14.25" customHeight="1">
      <c r="A969" s="73"/>
      <c r="B969" s="73"/>
      <c r="C969" s="73"/>
      <c r="D969" s="73"/>
      <c r="E969" s="73"/>
      <c r="F969" s="72"/>
    </row>
    <row r="970" ht="14.25" customHeight="1">
      <c r="A970" s="73"/>
      <c r="B970" s="73"/>
      <c r="C970" s="73"/>
      <c r="D970" s="73"/>
      <c r="E970" s="73"/>
      <c r="F970" s="72"/>
    </row>
    <row r="971" ht="14.25" customHeight="1">
      <c r="A971" s="73"/>
      <c r="B971" s="73"/>
      <c r="C971" s="73"/>
      <c r="D971" s="73"/>
      <c r="E971" s="73"/>
      <c r="F971" s="72"/>
    </row>
    <row r="972" ht="14.25" customHeight="1">
      <c r="A972" s="73"/>
      <c r="B972" s="73"/>
      <c r="C972" s="73"/>
      <c r="D972" s="73"/>
      <c r="E972" s="73"/>
      <c r="F972" s="72"/>
    </row>
    <row r="973" ht="14.25" customHeight="1">
      <c r="A973" s="73"/>
      <c r="B973" s="73"/>
      <c r="C973" s="73"/>
      <c r="D973" s="73"/>
      <c r="E973" s="73"/>
      <c r="F973" s="72"/>
    </row>
    <row r="974" ht="14.25" customHeight="1">
      <c r="A974" s="73"/>
      <c r="B974" s="73"/>
      <c r="C974" s="73"/>
      <c r="D974" s="73"/>
      <c r="E974" s="73"/>
      <c r="F974" s="72"/>
    </row>
    <row r="975" ht="14.25" customHeight="1">
      <c r="A975" s="73"/>
      <c r="B975" s="73"/>
      <c r="C975" s="73"/>
      <c r="D975" s="73"/>
      <c r="E975" s="73"/>
      <c r="F975" s="72"/>
    </row>
    <row r="976" ht="14.25" customHeight="1">
      <c r="A976" s="73"/>
      <c r="B976" s="73"/>
      <c r="C976" s="73"/>
      <c r="D976" s="73"/>
      <c r="E976" s="73"/>
      <c r="F976" s="72"/>
    </row>
    <row r="977" ht="14.25" customHeight="1">
      <c r="A977" s="73"/>
      <c r="B977" s="73"/>
      <c r="C977" s="73"/>
      <c r="D977" s="73"/>
      <c r="E977" s="73"/>
      <c r="F977" s="72"/>
    </row>
    <row r="978" ht="14.25" customHeight="1">
      <c r="A978" s="73"/>
      <c r="B978" s="73"/>
      <c r="C978" s="73"/>
      <c r="D978" s="73"/>
      <c r="E978" s="73"/>
      <c r="F978" s="72"/>
    </row>
    <row r="979" ht="14.25" customHeight="1">
      <c r="A979" s="73"/>
      <c r="B979" s="73"/>
      <c r="C979" s="73"/>
      <c r="D979" s="73"/>
      <c r="E979" s="73"/>
      <c r="F979" s="72"/>
    </row>
    <row r="980" ht="14.25" customHeight="1">
      <c r="A980" s="73"/>
      <c r="B980" s="73"/>
      <c r="C980" s="73"/>
      <c r="D980" s="73"/>
      <c r="E980" s="73"/>
      <c r="F980" s="72"/>
    </row>
    <row r="981" ht="14.25" customHeight="1">
      <c r="A981" s="73"/>
      <c r="B981" s="73"/>
      <c r="C981" s="73"/>
      <c r="D981" s="73"/>
      <c r="E981" s="73"/>
      <c r="F981" s="72"/>
    </row>
    <row r="982" ht="14.25" customHeight="1">
      <c r="A982" s="73"/>
      <c r="B982" s="73"/>
      <c r="C982" s="73"/>
      <c r="D982" s="73"/>
      <c r="E982" s="73"/>
      <c r="F982" s="72"/>
    </row>
  </sheetData>
  <mergeCells count="146">
    <mergeCell ref="G2:J2"/>
    <mergeCell ref="K2:N2"/>
    <mergeCell ref="O2:R2"/>
    <mergeCell ref="S2:V2"/>
    <mergeCell ref="W2:Z2"/>
    <mergeCell ref="AA2:AC2"/>
    <mergeCell ref="AG2:AI2"/>
    <mergeCell ref="AK6:AN6"/>
    <mergeCell ref="AL13:AM13"/>
    <mergeCell ref="AL14:AM14"/>
    <mergeCell ref="L3:M3"/>
    <mergeCell ref="P3:Q3"/>
    <mergeCell ref="T3:U3"/>
    <mergeCell ref="X3:Y3"/>
    <mergeCell ref="A1:F1"/>
    <mergeCell ref="G1:AF1"/>
    <mergeCell ref="A2:B3"/>
    <mergeCell ref="C2:C3"/>
    <mergeCell ref="D2:D3"/>
    <mergeCell ref="E2:E3"/>
    <mergeCell ref="AD2:AF2"/>
    <mergeCell ref="F2:F3"/>
    <mergeCell ref="H3:I3"/>
    <mergeCell ref="B13:B14"/>
    <mergeCell ref="B21:B24"/>
    <mergeCell ref="C21:C24"/>
    <mergeCell ref="C28:C29"/>
    <mergeCell ref="C31:C33"/>
    <mergeCell ref="G48:J48"/>
    <mergeCell ref="K48:N48"/>
    <mergeCell ref="O48:R48"/>
    <mergeCell ref="S48:V48"/>
    <mergeCell ref="W48:Z48"/>
    <mergeCell ref="AA48:AC48"/>
    <mergeCell ref="AD48:AF48"/>
    <mergeCell ref="AG48:AG49"/>
    <mergeCell ref="AK51:AN51"/>
    <mergeCell ref="B31:B33"/>
    <mergeCell ref="B34:B35"/>
    <mergeCell ref="A44:E44"/>
    <mergeCell ref="A47:AH47"/>
    <mergeCell ref="A48:B49"/>
    <mergeCell ref="C48:C49"/>
    <mergeCell ref="AH48:AH49"/>
    <mergeCell ref="D63:D64"/>
    <mergeCell ref="E63:E64"/>
    <mergeCell ref="F63:F64"/>
    <mergeCell ref="G63:H63"/>
    <mergeCell ref="AA65:AG65"/>
    <mergeCell ref="D48:D49"/>
    <mergeCell ref="H49:I49"/>
    <mergeCell ref="M63:N63"/>
    <mergeCell ref="O63:P63"/>
    <mergeCell ref="E48:E49"/>
    <mergeCell ref="F48:F49"/>
    <mergeCell ref="A52:A53"/>
    <mergeCell ref="A58:E58"/>
    <mergeCell ref="A62:R62"/>
    <mergeCell ref="A63:B64"/>
    <mergeCell ref="C63:C64"/>
    <mergeCell ref="R63:R64"/>
    <mergeCell ref="I77:J77"/>
    <mergeCell ref="K77:L77"/>
    <mergeCell ref="M77:N77"/>
    <mergeCell ref="O77:P77"/>
    <mergeCell ref="Q77:R77"/>
    <mergeCell ref="S77:T77"/>
    <mergeCell ref="W77:X77"/>
    <mergeCell ref="Y77:Z77"/>
    <mergeCell ref="V79:V88"/>
    <mergeCell ref="I63:J63"/>
    <mergeCell ref="K63:L63"/>
    <mergeCell ref="C65:C71"/>
    <mergeCell ref="A73:E73"/>
    <mergeCell ref="A76:V76"/>
    <mergeCell ref="A77:B78"/>
    <mergeCell ref="C77:D77"/>
    <mergeCell ref="U77:V77"/>
    <mergeCell ref="D121:E121"/>
    <mergeCell ref="B144:G144"/>
    <mergeCell ref="B147:C147"/>
    <mergeCell ref="E147:F147"/>
    <mergeCell ref="F148:F149"/>
    <mergeCell ref="B150:B151"/>
    <mergeCell ref="F150:F151"/>
    <mergeCell ref="C150:C151"/>
    <mergeCell ref="B153:D155"/>
    <mergeCell ref="B169:G170"/>
    <mergeCell ref="B171:G171"/>
    <mergeCell ref="B172:C173"/>
    <mergeCell ref="D172:D173"/>
    <mergeCell ref="E172:E173"/>
    <mergeCell ref="C176:C177"/>
    <mergeCell ref="D176:D177"/>
    <mergeCell ref="C183:C184"/>
    <mergeCell ref="C186:C187"/>
    <mergeCell ref="C190:C193"/>
    <mergeCell ref="D190:D193"/>
    <mergeCell ref="D197:D198"/>
    <mergeCell ref="E212:E213"/>
    <mergeCell ref="F212:F213"/>
    <mergeCell ref="B212:C213"/>
    <mergeCell ref="B216:B217"/>
    <mergeCell ref="C216:C217"/>
    <mergeCell ref="D216:D217"/>
    <mergeCell ref="B221:F221"/>
    <mergeCell ref="C200:C202"/>
    <mergeCell ref="D200:D202"/>
    <mergeCell ref="C203:C204"/>
    <mergeCell ref="B210:F210"/>
    <mergeCell ref="B211:G211"/>
    <mergeCell ref="D212:D213"/>
    <mergeCell ref="G212:G213"/>
    <mergeCell ref="L96:M97"/>
    <mergeCell ref="N96:O97"/>
    <mergeCell ref="S96:S102"/>
    <mergeCell ref="N103:O103"/>
    <mergeCell ref="L111:O111"/>
    <mergeCell ref="E77:F77"/>
    <mergeCell ref="G77:H77"/>
    <mergeCell ref="A89:B90"/>
    <mergeCell ref="B95:S95"/>
    <mergeCell ref="B96:C97"/>
    <mergeCell ref="D96:E97"/>
    <mergeCell ref="F96:G97"/>
    <mergeCell ref="P96:Q97"/>
    <mergeCell ref="H96:I97"/>
    <mergeCell ref="J96:K97"/>
    <mergeCell ref="B108:F108"/>
    <mergeCell ref="C109:F109"/>
    <mergeCell ref="B110:B111"/>
    <mergeCell ref="C110:C111"/>
    <mergeCell ref="I111:J111"/>
    <mergeCell ref="B113:E114"/>
    <mergeCell ref="F113:F114"/>
    <mergeCell ref="I114:I115"/>
    <mergeCell ref="J114:J115"/>
    <mergeCell ref="B116:F116"/>
    <mergeCell ref="D117:F117"/>
    <mergeCell ref="B125:I125"/>
    <mergeCell ref="E148:E149"/>
    <mergeCell ref="E150:E151"/>
    <mergeCell ref="F172:F173"/>
    <mergeCell ref="G172:G173"/>
    <mergeCell ref="C174:C175"/>
    <mergeCell ref="D174:D175"/>
  </mergeCells>
  <conditionalFormatting sqref="AG4:AG43">
    <cfRule type="cellIs" dxfId="0" priority="1" operator="lessThan">
      <formula>-1</formula>
    </cfRule>
  </conditionalFormatting>
  <conditionalFormatting sqref="AG44">
    <cfRule type="cellIs" dxfId="1" priority="2" operator="greaterThan">
      <formula>0</formula>
    </cfRule>
  </conditionalFormatting>
  <conditionalFormatting sqref="AG50:AG57">
    <cfRule type="cellIs" dxfId="0" priority="3" operator="lessThan">
      <formula>0</formula>
    </cfRule>
  </conditionalFormatting>
  <conditionalFormatting sqref="AH4">
    <cfRule type="cellIs" dxfId="0" priority="4" operator="greaterThan">
      <formula>$F$4</formula>
    </cfRule>
  </conditionalFormatting>
  <conditionalFormatting sqref="AH5">
    <cfRule type="cellIs" dxfId="0" priority="5" operator="greaterThan">
      <formula>$F$5</formula>
    </cfRule>
  </conditionalFormatting>
  <conditionalFormatting sqref="AH6">
    <cfRule type="cellIs" dxfId="0" priority="6" operator="greaterThan">
      <formula>$F$6</formula>
    </cfRule>
  </conditionalFormatting>
  <conditionalFormatting sqref="AH7">
    <cfRule type="cellIs" dxfId="0" priority="7" operator="greaterThan">
      <formula>$F$7</formula>
    </cfRule>
  </conditionalFormatting>
  <conditionalFormatting sqref="AH8">
    <cfRule type="cellIs" dxfId="0" priority="8" operator="greaterThan">
      <formula>$F$8</formula>
    </cfRule>
  </conditionalFormatting>
  <conditionalFormatting sqref="AH9">
    <cfRule type="cellIs" dxfId="0" priority="9" operator="greaterThan">
      <formula>$F$9</formula>
    </cfRule>
  </conditionalFormatting>
  <conditionalFormatting sqref="AH10">
    <cfRule type="cellIs" dxfId="0" priority="10" operator="greaterThan">
      <formula>$F$10</formula>
    </cfRule>
  </conditionalFormatting>
  <conditionalFormatting sqref="AH11">
    <cfRule type="cellIs" dxfId="0" priority="11" operator="greaterThan">
      <formula>$F$11</formula>
    </cfRule>
  </conditionalFormatting>
  <conditionalFormatting sqref="AH12">
    <cfRule type="cellIs" dxfId="0" priority="12" operator="greaterThan">
      <formula>$F$12</formula>
    </cfRule>
  </conditionalFormatting>
  <conditionalFormatting sqref="AH13">
    <cfRule type="cellIs" dxfId="0" priority="13" operator="greaterThan">
      <formula>$F$13</formula>
    </cfRule>
  </conditionalFormatting>
  <conditionalFormatting sqref="AH14">
    <cfRule type="cellIs" dxfId="0" priority="14" operator="greaterThan">
      <formula>$F$14</formula>
    </cfRule>
  </conditionalFormatting>
  <conditionalFormatting sqref="AH15">
    <cfRule type="cellIs" dxfId="0" priority="15" operator="greaterThan">
      <formula>$F$15</formula>
    </cfRule>
  </conditionalFormatting>
  <conditionalFormatting sqref="AH16:AH18">
    <cfRule type="cellIs" dxfId="0" priority="16" operator="greaterThan">
      <formula>$F$16</formula>
    </cfRule>
  </conditionalFormatting>
  <conditionalFormatting sqref="AH19">
    <cfRule type="cellIs" dxfId="0" priority="17" operator="greaterThan">
      <formula>$F$19</formula>
    </cfRule>
  </conditionalFormatting>
  <conditionalFormatting sqref="AH20">
    <cfRule type="cellIs" dxfId="0" priority="18" operator="greaterThan">
      <formula>$F$20</formula>
    </cfRule>
  </conditionalFormatting>
  <conditionalFormatting sqref="AH21">
    <cfRule type="cellIs" dxfId="0" priority="19" operator="greaterThan">
      <formula>$F$21</formula>
    </cfRule>
  </conditionalFormatting>
  <conditionalFormatting sqref="AH22">
    <cfRule type="cellIs" dxfId="0" priority="20" operator="greaterThan">
      <formula>$F$22</formula>
    </cfRule>
  </conditionalFormatting>
  <conditionalFormatting sqref="AH25">
    <cfRule type="cellIs" dxfId="0" priority="21" operator="greaterThan">
      <formula>$F$25</formula>
    </cfRule>
  </conditionalFormatting>
  <conditionalFormatting sqref="AH26">
    <cfRule type="cellIs" dxfId="0" priority="22" operator="greaterThan">
      <formula>$F$26</formula>
    </cfRule>
  </conditionalFormatting>
  <conditionalFormatting sqref="AH27">
    <cfRule type="cellIs" dxfId="0" priority="23" operator="greaterThan">
      <formula>$F$27</formula>
    </cfRule>
  </conditionalFormatting>
  <conditionalFormatting sqref="AH28">
    <cfRule type="cellIs" dxfId="0" priority="24" operator="greaterThan">
      <formula>$F$28</formula>
    </cfRule>
  </conditionalFormatting>
  <conditionalFormatting sqref="AH29">
    <cfRule type="cellIs" dxfId="0" priority="25" operator="greaterThan">
      <formula>$F$29</formula>
    </cfRule>
  </conditionalFormatting>
  <conditionalFormatting sqref="AH30">
    <cfRule type="cellIs" dxfId="0" priority="26" operator="greaterThan">
      <formula>$F$30</formula>
    </cfRule>
  </conditionalFormatting>
  <conditionalFormatting sqref="AH31">
    <cfRule type="cellIs" dxfId="0" priority="27" operator="greaterThan">
      <formula>$F$31</formula>
    </cfRule>
  </conditionalFormatting>
  <conditionalFormatting sqref="AH32 AH36 AH40">
    <cfRule type="cellIs" dxfId="0" priority="28" operator="greaterThan">
      <formula>$F$32</formula>
    </cfRule>
  </conditionalFormatting>
  <conditionalFormatting sqref="AH33 AH37 AH41">
    <cfRule type="cellIs" dxfId="0" priority="29" operator="greaterThan">
      <formula>$F$33</formula>
    </cfRule>
  </conditionalFormatting>
  <conditionalFormatting sqref="AH34 AH38 AH42:AH43">
    <cfRule type="cellIs" dxfId="0" priority="30" operator="greaterThan">
      <formula>$F$34</formula>
    </cfRule>
  </conditionalFormatting>
  <conditionalFormatting sqref="AH35 AH39">
    <cfRule type="cellIs" dxfId="0" priority="31" operator="greaterThan">
      <formula>$F$35</formula>
    </cfRule>
  </conditionalFormatting>
  <conditionalFormatting sqref="AH44">
    <cfRule type="cellIs" dxfId="1" priority="32" operator="lessThan">
      <formula>46700</formula>
    </cfRule>
  </conditionalFormatting>
  <printOptions/>
  <pageMargins bottom="0.75" footer="0.0" header="0.0" left="0.25" right="0.25" top="0.7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40.13"/>
    <col customWidth="1" min="4" max="4" width="32.38"/>
    <col customWidth="1" min="5" max="5" width="19.75"/>
    <col customWidth="1" min="6" max="6" width="21.5"/>
    <col customWidth="1" min="7" max="7" width="20.0"/>
    <col customWidth="1" min="8" max="8" width="17.0"/>
    <col customWidth="1" min="9" max="9" width="36.75"/>
    <col customWidth="1" min="10" max="10" width="17.0"/>
    <col customWidth="1" min="11" max="11" width="17.25"/>
    <col customWidth="1" min="12" max="13" width="15.25"/>
    <col customWidth="1" min="14" max="14" width="24.38"/>
    <col customWidth="1" min="15" max="15" width="16.75"/>
    <col customWidth="1" min="16" max="17" width="21.63"/>
    <col customWidth="1" min="18" max="18" width="20.88"/>
    <col customWidth="1" min="19" max="19" width="19.0"/>
    <col customWidth="1" min="20" max="21" width="15.63"/>
    <col customWidth="1" min="22" max="22" width="14.88"/>
    <col customWidth="1" min="23" max="23" width="18.5"/>
    <col customWidth="1" min="24" max="25" width="22.25"/>
    <col customWidth="1" min="26" max="26" width="16.5"/>
    <col customWidth="1" min="27" max="27" width="16.63"/>
    <col customWidth="1" min="28" max="29" width="17.25"/>
    <col customWidth="1" min="30" max="30" width="23.25"/>
    <col customWidth="1" min="31" max="31" width="19.13"/>
    <col customWidth="1" min="32" max="32" width="18.63"/>
    <col customWidth="1" min="33" max="33" width="14.63"/>
    <col customWidth="1" min="34" max="34" width="10.63"/>
    <col customWidth="1" min="35" max="35" width="21.38"/>
    <col customWidth="1" min="36" max="36" width="16.5"/>
    <col customWidth="1" min="37" max="37" width="21.0"/>
    <col customWidth="1" min="38" max="38" width="18.25"/>
    <col customWidth="1" min="39" max="39" width="10.63"/>
    <col customWidth="1" min="40" max="40" width="15.63"/>
    <col customWidth="1" min="41" max="42" width="10.63"/>
    <col customWidth="1" min="43" max="45" width="13.88"/>
    <col customWidth="1" min="46" max="47" width="14.38"/>
    <col customWidth="1" min="48" max="49" width="14.75"/>
    <col customWidth="1" min="50" max="51" width="18.38"/>
    <col customWidth="1" min="52" max="52" width="10.63"/>
    <col customWidth="1" min="53" max="53" width="13.38"/>
    <col customWidth="1" min="54" max="56" width="10.63"/>
    <col customWidth="1" min="57" max="57" width="15.5"/>
    <col customWidth="1" min="58" max="58" width="10.63"/>
  </cols>
  <sheetData>
    <row r="1" ht="14.25" customHeight="1">
      <c r="A1" s="1"/>
      <c r="B1" s="2"/>
      <c r="C1" s="2"/>
      <c r="D1" s="2"/>
      <c r="E1" s="2"/>
      <c r="F1" s="3"/>
      <c r="G1" s="344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45"/>
      <c r="AF1" s="345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352">
        <v>46244.0</v>
      </c>
      <c r="H2" s="2"/>
      <c r="I2" s="2"/>
      <c r="J2" s="3"/>
      <c r="K2" s="352">
        <v>46245.0</v>
      </c>
      <c r="L2" s="2"/>
      <c r="M2" s="2"/>
      <c r="N2" s="3"/>
      <c r="O2" s="352">
        <v>46246.0</v>
      </c>
      <c r="P2" s="2"/>
      <c r="Q2" s="2"/>
      <c r="R2" s="3"/>
      <c r="S2" s="352">
        <v>46247.0</v>
      </c>
      <c r="T2" s="2"/>
      <c r="U2" s="2"/>
      <c r="V2" s="3"/>
      <c r="W2" s="352">
        <v>46248.0</v>
      </c>
      <c r="X2" s="2"/>
      <c r="Y2" s="2"/>
      <c r="Z2" s="3"/>
      <c r="AA2" s="352">
        <v>46249.0</v>
      </c>
      <c r="AB2" s="2"/>
      <c r="AC2" s="2"/>
      <c r="AD2" s="3"/>
      <c r="AE2" s="8" t="s">
        <v>7</v>
      </c>
      <c r="AF2" s="2"/>
      <c r="AG2" s="3"/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8" t="s">
        <v>10</v>
      </c>
      <c r="I3" s="3"/>
      <c r="J3" s="13" t="s">
        <v>11</v>
      </c>
      <c r="K3" s="13" t="s">
        <v>9</v>
      </c>
      <c r="L3" s="8" t="s">
        <v>10</v>
      </c>
      <c r="M3" s="3"/>
      <c r="N3" s="13" t="s">
        <v>12</v>
      </c>
      <c r="O3" s="13" t="s">
        <v>9</v>
      </c>
      <c r="P3" s="8" t="s">
        <v>10</v>
      </c>
      <c r="Q3" s="3"/>
      <c r="R3" s="13" t="s">
        <v>12</v>
      </c>
      <c r="S3" s="13" t="s">
        <v>9</v>
      </c>
      <c r="T3" s="8" t="s">
        <v>10</v>
      </c>
      <c r="U3" s="3"/>
      <c r="V3" s="13" t="s">
        <v>12</v>
      </c>
      <c r="W3" s="13" t="s">
        <v>9</v>
      </c>
      <c r="X3" s="8" t="s">
        <v>10</v>
      </c>
      <c r="Y3" s="3"/>
      <c r="Z3" s="13" t="s">
        <v>11</v>
      </c>
      <c r="AA3" s="13" t="s">
        <v>9</v>
      </c>
      <c r="AB3" s="8" t="s">
        <v>10</v>
      </c>
      <c r="AC3" s="3"/>
      <c r="AD3" s="13" t="s">
        <v>11</v>
      </c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24"/>
      <c r="H4" s="24"/>
      <c r="I4" s="24"/>
      <c r="J4" s="85"/>
      <c r="K4" s="24"/>
      <c r="L4" s="24"/>
      <c r="M4" s="24"/>
      <c r="N4" s="24"/>
      <c r="O4" s="24"/>
      <c r="P4" s="24"/>
      <c r="Q4" s="24"/>
      <c r="R4" s="85"/>
      <c r="S4" s="24"/>
      <c r="T4" s="24"/>
      <c r="U4" s="24"/>
      <c r="V4" s="85"/>
      <c r="W4" s="24"/>
      <c r="X4" s="24"/>
      <c r="Y4" s="24"/>
      <c r="Z4" s="85"/>
      <c r="AA4" s="24"/>
      <c r="AB4" s="24"/>
      <c r="AC4" s="24"/>
      <c r="AD4" s="24"/>
      <c r="AE4" s="18">
        <f t="shared" ref="AE4:AE19" si="1">F4-(SUM(G4:AD4))</f>
        <v>1200</v>
      </c>
      <c r="AF4" s="18">
        <f t="shared" ref="AF4:AF18" si="2">SUM(G4:AD4)</f>
        <v>0</v>
      </c>
      <c r="AG4" s="20"/>
    </row>
    <row r="5" ht="14.25" customHeight="1">
      <c r="A5" s="14">
        <v>2.0</v>
      </c>
      <c r="B5" s="15" t="s">
        <v>13</v>
      </c>
      <c r="C5" s="15" t="s">
        <v>14</v>
      </c>
      <c r="D5" s="21" t="s">
        <v>17</v>
      </c>
      <c r="E5" s="21"/>
      <c r="F5" s="22">
        <v>500.0</v>
      </c>
      <c r="G5" s="24"/>
      <c r="H5" s="24"/>
      <c r="I5" s="24"/>
      <c r="J5" s="85"/>
      <c r="K5" s="24"/>
      <c r="L5" s="24"/>
      <c r="M5" s="24"/>
      <c r="N5" s="24"/>
      <c r="O5" s="24"/>
      <c r="P5" s="24"/>
      <c r="Q5" s="24"/>
      <c r="R5" s="85"/>
      <c r="S5" s="24"/>
      <c r="T5" s="24"/>
      <c r="U5" s="24"/>
      <c r="V5" s="85"/>
      <c r="W5" s="24"/>
      <c r="X5" s="24"/>
      <c r="Y5" s="24"/>
      <c r="Z5" s="85"/>
      <c r="AA5" s="24"/>
      <c r="AB5" s="24"/>
      <c r="AC5" s="24"/>
      <c r="AD5" s="24"/>
      <c r="AE5" s="18">
        <f t="shared" si="1"/>
        <v>500</v>
      </c>
      <c r="AF5" s="18">
        <f t="shared" si="2"/>
        <v>0</v>
      </c>
      <c r="AG5" s="20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356">
        <v>1430.28</v>
      </c>
      <c r="H6" s="353"/>
      <c r="I6" s="353"/>
      <c r="J6" s="85"/>
      <c r="K6" s="353"/>
      <c r="L6" s="24"/>
      <c r="M6" s="24"/>
      <c r="N6" s="24"/>
      <c r="O6" s="356">
        <v>1069.72</v>
      </c>
      <c r="P6" s="24"/>
      <c r="Q6" s="24"/>
      <c r="R6" s="85"/>
      <c r="S6" s="24"/>
      <c r="T6" s="24"/>
      <c r="U6" s="24"/>
      <c r="V6" s="85"/>
      <c r="W6" s="24"/>
      <c r="X6" s="24"/>
      <c r="Y6" s="24"/>
      <c r="Z6" s="85"/>
      <c r="AA6" s="24"/>
      <c r="AB6" s="24"/>
      <c r="AC6" s="24"/>
      <c r="AD6" s="24"/>
      <c r="AE6" s="18">
        <f t="shared" si="1"/>
        <v>0</v>
      </c>
      <c r="AF6" s="18">
        <f t="shared" si="2"/>
        <v>2500</v>
      </c>
      <c r="AG6" s="20"/>
      <c r="AI6" s="31" t="s">
        <v>23</v>
      </c>
      <c r="AJ6" s="2"/>
      <c r="AK6" s="2"/>
      <c r="AL6" s="3"/>
      <c r="AN6" s="32"/>
    </row>
    <row r="7" ht="14.25" customHeight="1">
      <c r="A7" s="25">
        <v>4.0</v>
      </c>
      <c r="B7" s="26" t="s">
        <v>18</v>
      </c>
      <c r="C7" s="26" t="s">
        <v>19</v>
      </c>
      <c r="D7" s="27" t="s">
        <v>17</v>
      </c>
      <c r="E7" s="27"/>
      <c r="F7" s="28">
        <v>500.0</v>
      </c>
      <c r="G7" s="24"/>
      <c r="H7" s="24"/>
      <c r="I7" s="24"/>
      <c r="J7" s="85"/>
      <c r="K7" s="353"/>
      <c r="L7" s="24"/>
      <c r="M7" s="24"/>
      <c r="N7" s="24"/>
      <c r="O7" s="24"/>
      <c r="P7" s="24"/>
      <c r="Q7" s="24"/>
      <c r="R7" s="85"/>
      <c r="S7" s="24"/>
      <c r="T7" s="24"/>
      <c r="U7" s="24"/>
      <c r="V7" s="85"/>
      <c r="W7" s="24"/>
      <c r="X7" s="24"/>
      <c r="Y7" s="24"/>
      <c r="Z7" s="85"/>
      <c r="AA7" s="24"/>
      <c r="AB7" s="24"/>
      <c r="AC7" s="24"/>
      <c r="AD7" s="24"/>
      <c r="AE7" s="18">
        <f t="shared" si="1"/>
        <v>500</v>
      </c>
      <c r="AF7" s="18">
        <f t="shared" si="2"/>
        <v>0</v>
      </c>
      <c r="AG7" s="20"/>
      <c r="AI7" s="35" t="s">
        <v>25</v>
      </c>
      <c r="AJ7" s="35" t="s">
        <v>26</v>
      </c>
      <c r="AK7" s="35" t="s">
        <v>27</v>
      </c>
      <c r="AL7" s="35" t="s">
        <v>28</v>
      </c>
      <c r="AN7" s="32"/>
    </row>
    <row r="8" ht="14.25" customHeight="1">
      <c r="A8" s="25">
        <v>5.0</v>
      </c>
      <c r="B8" s="27" t="s">
        <v>30</v>
      </c>
      <c r="C8" s="27" t="s">
        <v>19</v>
      </c>
      <c r="D8" s="27" t="s">
        <v>31</v>
      </c>
      <c r="E8" s="27" t="s">
        <v>32</v>
      </c>
      <c r="F8" s="28">
        <v>1500.0</v>
      </c>
      <c r="G8" s="24"/>
      <c r="H8" s="24"/>
      <c r="I8" s="24"/>
      <c r="J8" s="85"/>
      <c r="K8" s="24"/>
      <c r="L8" s="24"/>
      <c r="M8" s="24"/>
      <c r="N8" s="24"/>
      <c r="O8" s="24"/>
      <c r="P8" s="24"/>
      <c r="Q8" s="24"/>
      <c r="R8" s="85"/>
      <c r="S8" s="24"/>
      <c r="T8" s="24"/>
      <c r="U8" s="24"/>
      <c r="V8" s="85"/>
      <c r="W8" s="24"/>
      <c r="X8" s="24"/>
      <c r="Y8" s="24"/>
      <c r="Z8" s="85"/>
      <c r="AA8" s="24"/>
      <c r="AB8" s="24"/>
      <c r="AC8" s="24"/>
      <c r="AD8" s="24"/>
      <c r="AE8" s="18">
        <f t="shared" si="1"/>
        <v>1500</v>
      </c>
      <c r="AF8" s="18">
        <f t="shared" si="2"/>
        <v>0</v>
      </c>
      <c r="AG8" s="20"/>
      <c r="AI8" s="37" t="s">
        <v>9</v>
      </c>
      <c r="AJ8" s="38">
        <f>AL8/AK8</f>
        <v>1532.669725</v>
      </c>
      <c r="AK8" s="39">
        <v>22.89</v>
      </c>
      <c r="AL8" s="40">
        <f>G45+K45+O45+S45+W45+AA45</f>
        <v>35082.81</v>
      </c>
    </row>
    <row r="9" ht="14.25" customHeight="1">
      <c r="A9" s="25">
        <v>6.0</v>
      </c>
      <c r="B9" s="27" t="s">
        <v>35</v>
      </c>
      <c r="C9" s="27" t="s">
        <v>19</v>
      </c>
      <c r="D9" s="27" t="s">
        <v>31</v>
      </c>
      <c r="E9" s="27" t="s">
        <v>36</v>
      </c>
      <c r="F9" s="28">
        <v>1500.0</v>
      </c>
      <c r="G9" s="354">
        <v>893.08</v>
      </c>
      <c r="H9" s="24"/>
      <c r="I9" s="24"/>
      <c r="J9" s="85"/>
      <c r="K9" s="353"/>
      <c r="L9" s="24"/>
      <c r="M9" s="24"/>
      <c r="N9" s="24"/>
      <c r="O9" s="24"/>
      <c r="P9" s="24"/>
      <c r="Q9" s="24"/>
      <c r="R9" s="85"/>
      <c r="S9" s="24"/>
      <c r="T9" s="24"/>
      <c r="U9" s="24"/>
      <c r="V9" s="85"/>
      <c r="W9" s="354">
        <v>1144.5</v>
      </c>
      <c r="X9" s="24"/>
      <c r="Y9" s="24"/>
      <c r="Z9" s="85"/>
      <c r="AA9" s="353"/>
      <c r="AB9" s="353"/>
      <c r="AC9" s="353"/>
      <c r="AD9" s="24"/>
      <c r="AE9" s="18">
        <f t="shared" si="1"/>
        <v>-537.58</v>
      </c>
      <c r="AF9" s="18">
        <f t="shared" si="2"/>
        <v>2037.58</v>
      </c>
      <c r="AG9" s="20"/>
      <c r="AI9" s="37" t="s">
        <v>10</v>
      </c>
      <c r="AJ9" s="38"/>
      <c r="AK9" s="39">
        <v>22.89</v>
      </c>
      <c r="AL9" s="43" t="str">
        <f>I45+L45+P45+T45+X45+AB45+#REF!</f>
        <v>#REF!</v>
      </c>
    </row>
    <row r="10" ht="14.25" customHeight="1">
      <c r="A10" s="25">
        <v>7.0</v>
      </c>
      <c r="B10" s="27" t="s">
        <v>39</v>
      </c>
      <c r="C10" s="27" t="s">
        <v>19</v>
      </c>
      <c r="D10" s="27"/>
      <c r="E10" s="355" t="s">
        <v>38</v>
      </c>
      <c r="F10" s="28">
        <v>1500.0</v>
      </c>
      <c r="G10" s="24"/>
      <c r="H10" s="24"/>
      <c r="I10" s="24"/>
      <c r="J10" s="85"/>
      <c r="K10" s="354">
        <v>1400.48</v>
      </c>
      <c r="L10" s="24"/>
      <c r="M10" s="24"/>
      <c r="N10" s="24"/>
      <c r="O10" s="24"/>
      <c r="P10" s="24"/>
      <c r="Q10" s="24"/>
      <c r="R10" s="85"/>
      <c r="S10" s="24"/>
      <c r="T10" s="24"/>
      <c r="U10" s="24"/>
      <c r="V10" s="85"/>
      <c r="W10" s="24"/>
      <c r="X10" s="24"/>
      <c r="Y10" s="24"/>
      <c r="Z10" s="85"/>
      <c r="AA10" s="24"/>
      <c r="AB10" s="24"/>
      <c r="AC10" s="24"/>
      <c r="AD10" s="24"/>
      <c r="AE10" s="18">
        <f t="shared" si="1"/>
        <v>99.52</v>
      </c>
      <c r="AF10" s="18">
        <f t="shared" si="2"/>
        <v>1400.48</v>
      </c>
      <c r="AG10" s="20"/>
      <c r="AI10" s="37" t="s">
        <v>11</v>
      </c>
      <c r="AJ10" s="39"/>
      <c r="AK10" s="39"/>
      <c r="AL10" s="40">
        <f>V45+Z45+R45</f>
        <v>2000</v>
      </c>
    </row>
    <row r="11" ht="14.25" customHeight="1">
      <c r="A11" s="14">
        <v>8.0</v>
      </c>
      <c r="B11" s="21" t="s">
        <v>41</v>
      </c>
      <c r="C11" s="21" t="s">
        <v>42</v>
      </c>
      <c r="D11" s="21" t="s">
        <v>43</v>
      </c>
      <c r="E11" s="21" t="s">
        <v>44</v>
      </c>
      <c r="F11" s="22">
        <v>700.0</v>
      </c>
      <c r="G11" s="24"/>
      <c r="H11" s="24"/>
      <c r="I11" s="24"/>
      <c r="J11" s="85"/>
      <c r="K11" s="24"/>
      <c r="L11" s="24"/>
      <c r="M11" s="24"/>
      <c r="N11" s="24"/>
      <c r="O11" s="24"/>
      <c r="P11" s="24"/>
      <c r="Q11" s="24"/>
      <c r="R11" s="85"/>
      <c r="S11" s="24"/>
      <c r="T11" s="24"/>
      <c r="U11" s="24"/>
      <c r="V11" s="85"/>
      <c r="W11" s="24"/>
      <c r="X11" s="24"/>
      <c r="Y11" s="24"/>
      <c r="Z11" s="85"/>
      <c r="AA11" s="24"/>
      <c r="AB11" s="24"/>
      <c r="AC11" s="24"/>
      <c r="AD11" s="24"/>
      <c r="AE11" s="18">
        <f t="shared" si="1"/>
        <v>700</v>
      </c>
      <c r="AF11" s="18">
        <f t="shared" si="2"/>
        <v>0</v>
      </c>
      <c r="AG11" s="20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</row>
    <row r="12" ht="14.25" customHeight="1">
      <c r="A12" s="14">
        <v>9.0</v>
      </c>
      <c r="B12" s="21" t="s">
        <v>45</v>
      </c>
      <c r="C12" s="21" t="s">
        <v>46</v>
      </c>
      <c r="D12" s="21" t="s">
        <v>47</v>
      </c>
      <c r="E12" s="21" t="s">
        <v>48</v>
      </c>
      <c r="F12" s="22">
        <v>1500.0</v>
      </c>
      <c r="G12" s="24"/>
      <c r="H12" s="24"/>
      <c r="I12" s="24"/>
      <c r="J12" s="85"/>
      <c r="K12" s="24"/>
      <c r="L12" s="24"/>
      <c r="M12" s="24"/>
      <c r="N12" s="24"/>
      <c r="O12" s="24"/>
      <c r="P12" s="24"/>
      <c r="Q12" s="24"/>
      <c r="R12" s="85"/>
      <c r="S12" s="24"/>
      <c r="T12" s="24"/>
      <c r="U12" s="24"/>
      <c r="V12" s="85"/>
      <c r="W12" s="24"/>
      <c r="X12" s="24"/>
      <c r="Y12" s="24"/>
      <c r="Z12" s="85"/>
      <c r="AA12" s="24"/>
      <c r="AB12" s="24"/>
      <c r="AC12" s="24"/>
      <c r="AD12" s="24"/>
      <c r="AE12" s="18">
        <f t="shared" si="1"/>
        <v>1500</v>
      </c>
      <c r="AF12" s="18">
        <f t="shared" si="2"/>
        <v>0</v>
      </c>
      <c r="AG12" s="20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</row>
    <row r="13" ht="14.25" customHeight="1">
      <c r="A13" s="25">
        <v>10.0</v>
      </c>
      <c r="B13" s="26" t="s">
        <v>50</v>
      </c>
      <c r="C13" s="27" t="s">
        <v>51</v>
      </c>
      <c r="D13" s="27" t="s">
        <v>52</v>
      </c>
      <c r="E13" s="27" t="s">
        <v>53</v>
      </c>
      <c r="F13" s="28">
        <v>1500.0</v>
      </c>
      <c r="G13" s="353"/>
      <c r="H13" s="24"/>
      <c r="I13" s="24"/>
      <c r="J13" s="85"/>
      <c r="K13" s="354">
        <v>1484.53</v>
      </c>
      <c r="L13" s="24"/>
      <c r="M13" s="24"/>
      <c r="N13" s="24"/>
      <c r="O13" s="24"/>
      <c r="P13" s="24"/>
      <c r="Q13" s="24"/>
      <c r="R13" s="85"/>
      <c r="S13" s="353"/>
      <c r="T13" s="24"/>
      <c r="U13" s="24"/>
      <c r="V13" s="85"/>
      <c r="W13" s="24"/>
      <c r="X13" s="24"/>
      <c r="Y13" s="24"/>
      <c r="Z13" s="85"/>
      <c r="AA13" s="356">
        <v>500.0</v>
      </c>
      <c r="AB13" s="24"/>
      <c r="AC13" s="24"/>
      <c r="AD13" s="24"/>
      <c r="AE13" s="18">
        <f t="shared" si="1"/>
        <v>-484.53</v>
      </c>
      <c r="AF13" s="18">
        <f t="shared" si="2"/>
        <v>1984.53</v>
      </c>
      <c r="AG13" s="20"/>
      <c r="AJ13" s="45"/>
      <c r="AL13" s="46"/>
      <c r="AM13" s="46"/>
      <c r="AN13" s="46"/>
    </row>
    <row r="14" ht="14.25" customHeight="1">
      <c r="A14" s="25">
        <v>11.0</v>
      </c>
      <c r="B14" s="12"/>
      <c r="C14" s="27" t="s">
        <v>54</v>
      </c>
      <c r="D14" s="27" t="s">
        <v>17</v>
      </c>
      <c r="E14" s="27"/>
      <c r="F14" s="28">
        <v>500.0</v>
      </c>
      <c r="G14" s="353"/>
      <c r="H14" s="24"/>
      <c r="I14" s="24"/>
      <c r="J14" s="85"/>
      <c r="K14" s="24"/>
      <c r="L14" s="24"/>
      <c r="M14" s="24"/>
      <c r="N14" s="24"/>
      <c r="O14" s="24"/>
      <c r="P14" s="24"/>
      <c r="Q14" s="24"/>
      <c r="R14" s="85"/>
      <c r="S14" s="24"/>
      <c r="T14" s="24"/>
      <c r="U14" s="24"/>
      <c r="V14" s="85"/>
      <c r="W14" s="24"/>
      <c r="X14" s="24"/>
      <c r="Y14" s="24"/>
      <c r="Z14" s="85"/>
      <c r="AA14" s="24"/>
      <c r="AB14" s="24"/>
      <c r="AC14" s="24"/>
      <c r="AD14" s="24"/>
      <c r="AE14" s="18">
        <f t="shared" si="1"/>
        <v>500</v>
      </c>
      <c r="AF14" s="18">
        <f t="shared" si="2"/>
        <v>0</v>
      </c>
      <c r="AG14" s="20"/>
      <c r="AJ14" s="48" t="s">
        <v>55</v>
      </c>
      <c r="AK14" s="3"/>
      <c r="AL14" s="50"/>
      <c r="AM14" s="50"/>
      <c r="AN14" s="46"/>
    </row>
    <row r="15" ht="14.25" customHeight="1">
      <c r="A15" s="25">
        <v>12.0</v>
      </c>
      <c r="B15" s="27" t="s">
        <v>57</v>
      </c>
      <c r="C15" s="27" t="s">
        <v>51</v>
      </c>
      <c r="D15" s="27" t="s">
        <v>58</v>
      </c>
      <c r="E15" s="27" t="s">
        <v>59</v>
      </c>
      <c r="F15" s="28">
        <v>1500.0</v>
      </c>
      <c r="G15" s="356">
        <v>1500.0</v>
      </c>
      <c r="H15" s="24"/>
      <c r="I15" s="24"/>
      <c r="J15" s="85"/>
      <c r="K15" s="353"/>
      <c r="L15" s="356">
        <v>1500.0</v>
      </c>
      <c r="M15" s="353" t="s">
        <v>563</v>
      </c>
      <c r="N15" s="24"/>
      <c r="O15" s="353"/>
      <c r="P15" s="24"/>
      <c r="Q15" s="24"/>
      <c r="R15" s="85"/>
      <c r="S15" s="24"/>
      <c r="T15" s="24"/>
      <c r="U15" s="24"/>
      <c r="V15" s="85"/>
      <c r="W15" s="353"/>
      <c r="X15" s="24"/>
      <c r="Y15" s="24"/>
      <c r="Z15" s="85"/>
      <c r="AA15" s="24"/>
      <c r="AB15" s="24"/>
      <c r="AC15" s="24"/>
      <c r="AD15" s="24"/>
      <c r="AE15" s="18">
        <f t="shared" si="1"/>
        <v>-1500</v>
      </c>
      <c r="AF15" s="18">
        <f t="shared" si="2"/>
        <v>3000</v>
      </c>
      <c r="AG15" s="20"/>
      <c r="AJ15" s="52" t="s">
        <v>9</v>
      </c>
      <c r="AK15" s="54">
        <f>AL8+AL54</f>
        <v>82623.64</v>
      </c>
      <c r="AL15" s="50">
        <f>AA60+W60+S60+O60+K60+G60</f>
        <v>47540.83</v>
      </c>
      <c r="AM15" s="46"/>
      <c r="AN15" s="50"/>
    </row>
    <row r="16" ht="14.25" customHeight="1">
      <c r="A16" s="14">
        <v>13.0</v>
      </c>
      <c r="B16" s="55" t="s">
        <v>61</v>
      </c>
      <c r="C16" s="21" t="s">
        <v>63</v>
      </c>
      <c r="D16" s="21" t="s">
        <v>65</v>
      </c>
      <c r="E16" s="21" t="s">
        <v>66</v>
      </c>
      <c r="F16" s="357">
        <v>1500.0</v>
      </c>
      <c r="G16" s="356">
        <v>1369.44</v>
      </c>
      <c r="H16" s="24"/>
      <c r="I16" s="24"/>
      <c r="J16" s="85"/>
      <c r="K16" s="24"/>
      <c r="L16" s="24"/>
      <c r="M16" s="24"/>
      <c r="N16" s="24"/>
      <c r="O16" s="24"/>
      <c r="P16" s="24"/>
      <c r="Q16" s="24"/>
      <c r="R16" s="85"/>
      <c r="S16" s="354">
        <v>900.02</v>
      </c>
      <c r="T16" s="24"/>
      <c r="U16" s="24"/>
      <c r="V16" s="85"/>
      <c r="W16" s="24"/>
      <c r="X16" s="24"/>
      <c r="Y16" s="24"/>
      <c r="Z16" s="85"/>
      <c r="AA16" s="24"/>
      <c r="AB16" s="24"/>
      <c r="AC16" s="24"/>
      <c r="AD16" s="24"/>
      <c r="AE16" s="18">
        <f t="shared" si="1"/>
        <v>-769.46</v>
      </c>
      <c r="AF16" s="18">
        <f t="shared" si="2"/>
        <v>2269.46</v>
      </c>
      <c r="AG16" s="20"/>
      <c r="AJ16" s="52" t="s">
        <v>10</v>
      </c>
      <c r="AK16" s="56">
        <f>X45+T45+P45+L45+G45</f>
        <v>28093.56</v>
      </c>
      <c r="AL16" s="46"/>
      <c r="AM16" s="46"/>
      <c r="AN16" s="46"/>
      <c r="BF16" s="19"/>
    </row>
    <row r="17" ht="14.25" customHeight="1">
      <c r="A17" s="14"/>
      <c r="B17" s="55" t="s">
        <v>61</v>
      </c>
      <c r="C17" s="21" t="s">
        <v>63</v>
      </c>
      <c r="D17" s="21"/>
      <c r="E17" s="21" t="s">
        <v>481</v>
      </c>
      <c r="F17" s="357">
        <v>2500.0</v>
      </c>
      <c r="G17" s="353"/>
      <c r="H17" s="24"/>
      <c r="I17" s="24"/>
      <c r="J17" s="85"/>
      <c r="K17" s="354">
        <v>1500.0</v>
      </c>
      <c r="L17" s="24"/>
      <c r="M17" s="24"/>
      <c r="N17" s="24"/>
      <c r="O17" s="24"/>
      <c r="P17" s="24"/>
      <c r="Q17" s="24"/>
      <c r="R17" s="85"/>
      <c r="S17" s="353"/>
      <c r="T17" s="24"/>
      <c r="U17" s="24"/>
      <c r="V17" s="85"/>
      <c r="W17" s="24"/>
      <c r="X17" s="24"/>
      <c r="Y17" s="24"/>
      <c r="Z17" s="85"/>
      <c r="AA17" s="24"/>
      <c r="AB17" s="24"/>
      <c r="AC17" s="24"/>
      <c r="AD17" s="24"/>
      <c r="AE17" s="18">
        <f t="shared" si="1"/>
        <v>1000</v>
      </c>
      <c r="AF17" s="18">
        <f t="shared" si="2"/>
        <v>1500</v>
      </c>
      <c r="AG17" s="20"/>
      <c r="AJ17" s="52"/>
      <c r="AK17" s="56"/>
      <c r="AL17" s="46"/>
      <c r="AM17" s="46"/>
      <c r="AN17" s="46"/>
      <c r="BF17" s="19"/>
    </row>
    <row r="18" ht="14.25" customHeight="1">
      <c r="A18" s="14"/>
      <c r="B18" s="55" t="s">
        <v>61</v>
      </c>
      <c r="C18" s="21" t="s">
        <v>63</v>
      </c>
      <c r="D18" s="21" t="s">
        <v>17</v>
      </c>
      <c r="E18" s="21"/>
      <c r="F18" s="22">
        <v>300.0</v>
      </c>
      <c r="G18" s="356">
        <v>500.0</v>
      </c>
      <c r="H18" s="24"/>
      <c r="I18" s="24"/>
      <c r="J18" s="85"/>
      <c r="K18" s="24"/>
      <c r="L18" s="24"/>
      <c r="M18" s="24"/>
      <c r="N18" s="24"/>
      <c r="O18" s="353"/>
      <c r="P18" s="353"/>
      <c r="Q18" s="353"/>
      <c r="R18" s="85"/>
      <c r="S18" s="24"/>
      <c r="T18" s="24"/>
      <c r="U18" s="24"/>
      <c r="V18" s="85"/>
      <c r="W18" s="24"/>
      <c r="X18" s="24"/>
      <c r="Y18" s="24"/>
      <c r="Z18" s="85"/>
      <c r="AA18" s="24"/>
      <c r="AB18" s="24"/>
      <c r="AC18" s="24"/>
      <c r="AD18" s="24"/>
      <c r="AE18" s="18">
        <f t="shared" si="1"/>
        <v>-200</v>
      </c>
      <c r="AF18" s="18">
        <f t="shared" si="2"/>
        <v>500</v>
      </c>
      <c r="AG18" s="20"/>
      <c r="AJ18" s="52" t="s">
        <v>12</v>
      </c>
      <c r="AK18" s="24">
        <f>AL10+AL56</f>
        <v>2000</v>
      </c>
      <c r="BF18" s="19"/>
    </row>
    <row r="19" ht="14.25" customHeight="1">
      <c r="A19" s="14">
        <v>14.0</v>
      </c>
      <c r="B19" s="21" t="s">
        <v>68</v>
      </c>
      <c r="C19" s="21" t="s">
        <v>63</v>
      </c>
      <c r="D19" s="21" t="s">
        <v>69</v>
      </c>
      <c r="E19" s="21" t="s">
        <v>70</v>
      </c>
      <c r="F19" s="22">
        <v>2500.0</v>
      </c>
      <c r="G19" s="24"/>
      <c r="H19" s="24"/>
      <c r="I19" s="24"/>
      <c r="J19" s="85"/>
      <c r="K19" s="24"/>
      <c r="L19" s="24"/>
      <c r="M19" s="24"/>
      <c r="N19" s="24"/>
      <c r="O19" s="24"/>
      <c r="P19" s="24"/>
      <c r="Q19" s="24"/>
      <c r="R19" s="85"/>
      <c r="S19" s="24"/>
      <c r="T19" s="24"/>
      <c r="U19" s="24"/>
      <c r="V19" s="85"/>
      <c r="W19" s="24"/>
      <c r="X19" s="24"/>
      <c r="Y19" s="24"/>
      <c r="Z19" s="85"/>
      <c r="AA19" s="24"/>
      <c r="AB19" s="24"/>
      <c r="AC19" s="24"/>
      <c r="AD19" s="24"/>
      <c r="AE19" s="18">
        <f t="shared" si="1"/>
        <v>2500</v>
      </c>
      <c r="AF19" s="18">
        <f>SUM(I19:AD19)</f>
        <v>0</v>
      </c>
      <c r="AG19" s="20"/>
      <c r="BF19" s="19"/>
    </row>
    <row r="20" ht="14.25" customHeight="1">
      <c r="A20" s="14">
        <v>15.0</v>
      </c>
      <c r="B20" s="21" t="s">
        <v>71</v>
      </c>
      <c r="C20" s="21" t="s">
        <v>63</v>
      </c>
      <c r="D20" s="21" t="s">
        <v>58</v>
      </c>
      <c r="E20" s="21" t="s">
        <v>72</v>
      </c>
      <c r="F20" s="22">
        <v>4000.0</v>
      </c>
      <c r="H20" s="370">
        <v>2669.44</v>
      </c>
      <c r="I20" s="159" t="s">
        <v>584</v>
      </c>
      <c r="J20" s="85"/>
      <c r="K20" s="24"/>
      <c r="L20" s="24"/>
      <c r="M20" s="24"/>
      <c r="N20" s="24"/>
      <c r="O20" s="24"/>
      <c r="P20" s="24"/>
      <c r="Q20" s="24"/>
      <c r="R20" s="85"/>
      <c r="S20" s="24"/>
      <c r="T20" s="354">
        <v>1330.0</v>
      </c>
      <c r="U20" s="353" t="s">
        <v>585</v>
      </c>
      <c r="V20" s="85"/>
      <c r="W20" s="24"/>
      <c r="X20" s="24"/>
      <c r="Y20" s="24"/>
      <c r="Z20" s="85"/>
      <c r="AA20" s="24"/>
      <c r="AB20" s="24"/>
      <c r="AC20" s="24"/>
      <c r="AD20" s="24"/>
      <c r="AE20" s="18">
        <f>F20-(SUM(H20:AD20))</f>
        <v>0.56</v>
      </c>
      <c r="AF20" s="18">
        <f>SUM(H20:AD20)</f>
        <v>3999.44</v>
      </c>
      <c r="AG20" s="20"/>
      <c r="BF20" s="19"/>
    </row>
    <row r="21" ht="14.25" customHeight="1">
      <c r="A21" s="25">
        <v>16.0</v>
      </c>
      <c r="B21" s="26" t="s">
        <v>74</v>
      </c>
      <c r="C21" s="26" t="s">
        <v>75</v>
      </c>
      <c r="D21" s="27" t="s">
        <v>65</v>
      </c>
      <c r="E21" s="27" t="s">
        <v>76</v>
      </c>
      <c r="F21" s="28">
        <v>2500.0</v>
      </c>
      <c r="G21" s="354">
        <v>1376.65</v>
      </c>
      <c r="H21" s="24"/>
      <c r="I21" s="24"/>
      <c r="J21" s="85"/>
      <c r="K21" s="353"/>
      <c r="L21" s="24"/>
      <c r="M21" s="24"/>
      <c r="N21" s="24"/>
      <c r="O21" s="24"/>
      <c r="P21" s="24"/>
      <c r="Q21" s="24"/>
      <c r="R21" s="85"/>
      <c r="S21" s="353"/>
      <c r="T21" s="24"/>
      <c r="U21" s="24"/>
      <c r="V21" s="85"/>
      <c r="W21" s="24"/>
      <c r="X21" s="24"/>
      <c r="Y21" s="24"/>
      <c r="Z21" s="85"/>
      <c r="AA21" s="24"/>
      <c r="AB21" s="24"/>
      <c r="AC21" s="24"/>
      <c r="AD21" s="24"/>
      <c r="AE21" s="18">
        <f t="shared" ref="AE21:AE38" si="3">F21-(SUM(G21:AD21))</f>
        <v>1123.35</v>
      </c>
      <c r="AF21" s="18">
        <f t="shared" ref="AF21:AF38" si="4">SUM(G21:AD21)</f>
        <v>1376.65</v>
      </c>
      <c r="AG21" s="20"/>
    </row>
    <row r="22" ht="14.25" customHeight="1">
      <c r="A22" s="25">
        <v>17.0</v>
      </c>
      <c r="B22" s="44"/>
      <c r="C22" s="44"/>
      <c r="D22" s="27" t="s">
        <v>77</v>
      </c>
      <c r="E22" s="27"/>
      <c r="F22" s="57">
        <v>1000.0</v>
      </c>
      <c r="G22" s="354">
        <v>1000.0</v>
      </c>
      <c r="H22" s="24"/>
      <c r="I22" s="24"/>
      <c r="J22" s="85"/>
      <c r="K22" s="24"/>
      <c r="L22" s="24"/>
      <c r="M22" s="24"/>
      <c r="N22" s="24"/>
      <c r="O22" s="24"/>
      <c r="P22" s="24"/>
      <c r="Q22" s="24"/>
      <c r="R22" s="85"/>
      <c r="S22" s="24"/>
      <c r="T22" s="24"/>
      <c r="U22" s="24"/>
      <c r="V22" s="85"/>
      <c r="W22" s="24"/>
      <c r="X22" s="24"/>
      <c r="Y22" s="24"/>
      <c r="Z22" s="85"/>
      <c r="AA22" s="24"/>
      <c r="AB22" s="24"/>
      <c r="AC22" s="24"/>
      <c r="AD22" s="24"/>
      <c r="AE22" s="18">
        <f t="shared" si="3"/>
        <v>0</v>
      </c>
      <c r="AF22" s="18">
        <f t="shared" si="4"/>
        <v>1000</v>
      </c>
      <c r="AG22" s="20"/>
    </row>
    <row r="23" ht="14.25" customHeight="1">
      <c r="A23" s="25">
        <v>18.0</v>
      </c>
      <c r="B23" s="44"/>
      <c r="C23" s="44"/>
      <c r="D23" s="27" t="s">
        <v>78</v>
      </c>
      <c r="E23" s="27"/>
      <c r="F23" s="57"/>
      <c r="G23" s="24"/>
      <c r="H23" s="24"/>
      <c r="I23" s="24"/>
      <c r="J23" s="85"/>
      <c r="K23" s="24"/>
      <c r="L23" s="24"/>
      <c r="M23" s="24"/>
      <c r="N23" s="24"/>
      <c r="O23" s="24"/>
      <c r="P23" s="24"/>
      <c r="Q23" s="24"/>
      <c r="R23" s="85"/>
      <c r="S23" s="24"/>
      <c r="T23" s="24"/>
      <c r="U23" s="24"/>
      <c r="V23" s="85"/>
      <c r="W23" s="24"/>
      <c r="X23" s="24"/>
      <c r="Y23" s="24"/>
      <c r="Z23" s="85"/>
      <c r="AA23" s="24"/>
      <c r="AB23" s="24"/>
      <c r="AC23" s="24"/>
      <c r="AD23" s="24"/>
      <c r="AE23" s="18">
        <f t="shared" si="3"/>
        <v>0</v>
      </c>
      <c r="AF23" s="18">
        <f t="shared" si="4"/>
        <v>0</v>
      </c>
      <c r="AG23" s="20"/>
      <c r="AJ23" s="20">
        <f>G45+K45+O45+S45+W45+AA45</f>
        <v>35082.81</v>
      </c>
    </row>
    <row r="24" ht="14.25" customHeight="1">
      <c r="A24" s="25">
        <v>19.0</v>
      </c>
      <c r="B24" s="12"/>
      <c r="C24" s="12"/>
      <c r="D24" s="27" t="s">
        <v>81</v>
      </c>
      <c r="E24" s="27"/>
      <c r="F24" s="57"/>
      <c r="G24" s="24"/>
      <c r="H24" s="24"/>
      <c r="I24" s="24"/>
      <c r="J24" s="85"/>
      <c r="K24" s="24"/>
      <c r="L24" s="24"/>
      <c r="M24" s="24"/>
      <c r="N24" s="24"/>
      <c r="O24" s="24"/>
      <c r="P24" s="24"/>
      <c r="Q24" s="24"/>
      <c r="R24" s="85"/>
      <c r="S24" s="24"/>
      <c r="T24" s="24"/>
      <c r="U24" s="24"/>
      <c r="V24" s="85"/>
      <c r="W24" s="24"/>
      <c r="X24" s="24"/>
      <c r="Y24" s="24"/>
      <c r="Z24" s="85"/>
      <c r="AA24" s="24"/>
      <c r="AB24" s="24"/>
      <c r="AC24" s="24"/>
      <c r="AD24" s="24"/>
      <c r="AE24" s="18">
        <f t="shared" si="3"/>
        <v>0</v>
      </c>
      <c r="AF24" s="18">
        <f t="shared" si="4"/>
        <v>0</v>
      </c>
      <c r="AG24" s="20"/>
    </row>
    <row r="25" ht="14.25" customHeight="1">
      <c r="A25" s="25">
        <v>20.0</v>
      </c>
      <c r="B25" s="27" t="s">
        <v>82</v>
      </c>
      <c r="C25" s="27" t="s">
        <v>75</v>
      </c>
      <c r="D25" s="27" t="s">
        <v>65</v>
      </c>
      <c r="E25" s="27" t="s">
        <v>83</v>
      </c>
      <c r="F25" s="28">
        <v>1500.0</v>
      </c>
      <c r="G25" s="354">
        <v>1079.63</v>
      </c>
      <c r="H25" s="24"/>
      <c r="I25" s="24"/>
      <c r="J25" s="85"/>
      <c r="K25" s="353"/>
      <c r="L25" s="24"/>
      <c r="M25" s="24"/>
      <c r="N25" s="24"/>
      <c r="O25" s="24"/>
      <c r="P25" s="24"/>
      <c r="Q25" s="24"/>
      <c r="R25" s="85"/>
      <c r="S25" s="354">
        <v>420.0</v>
      </c>
      <c r="T25" s="24"/>
      <c r="U25" s="24"/>
      <c r="V25" s="85"/>
      <c r="W25" s="24"/>
      <c r="X25" s="24"/>
      <c r="Y25" s="24"/>
      <c r="Z25" s="85"/>
      <c r="AA25" s="24"/>
      <c r="AB25" s="24"/>
      <c r="AC25" s="24"/>
      <c r="AD25" s="24"/>
      <c r="AE25" s="18">
        <f t="shared" si="3"/>
        <v>0.37</v>
      </c>
      <c r="AF25" s="18">
        <f t="shared" si="4"/>
        <v>1499.63</v>
      </c>
      <c r="AG25" s="20"/>
    </row>
    <row r="26" ht="14.25" customHeight="1">
      <c r="A26" s="25">
        <v>21.0</v>
      </c>
      <c r="B26" s="27" t="s">
        <v>89</v>
      </c>
      <c r="C26" s="27" t="s">
        <v>75</v>
      </c>
      <c r="D26" s="27" t="s">
        <v>58</v>
      </c>
      <c r="E26" s="27" t="s">
        <v>90</v>
      </c>
      <c r="F26" s="28">
        <v>3000.0</v>
      </c>
      <c r="G26" s="354">
        <v>3000.0</v>
      </c>
      <c r="H26" s="24"/>
      <c r="I26" s="24"/>
      <c r="J26" s="85"/>
      <c r="K26" s="353"/>
      <c r="L26" s="24"/>
      <c r="M26" s="24"/>
      <c r="N26" s="24"/>
      <c r="O26" s="24"/>
      <c r="P26" s="24"/>
      <c r="Q26" s="24"/>
      <c r="R26" s="85"/>
      <c r="S26" s="354">
        <v>1000.0</v>
      </c>
      <c r="T26" s="24"/>
      <c r="U26" s="24"/>
      <c r="V26" s="85"/>
      <c r="W26" s="356">
        <v>500.0</v>
      </c>
      <c r="X26" s="24"/>
      <c r="Y26" s="24"/>
      <c r="Z26" s="85"/>
      <c r="AA26" s="24"/>
      <c r="AB26" s="24"/>
      <c r="AC26" s="24"/>
      <c r="AD26" s="24"/>
      <c r="AE26" s="18">
        <f t="shared" si="3"/>
        <v>-1500</v>
      </c>
      <c r="AF26" s="18">
        <f t="shared" si="4"/>
        <v>4500</v>
      </c>
      <c r="AG26" s="20"/>
    </row>
    <row r="27" ht="14.25" customHeight="1">
      <c r="A27" s="25">
        <v>22.0</v>
      </c>
      <c r="B27" s="27" t="s">
        <v>93</v>
      </c>
      <c r="C27" s="27" t="s">
        <v>75</v>
      </c>
      <c r="D27" s="27" t="s">
        <v>69</v>
      </c>
      <c r="E27" s="27" t="s">
        <v>94</v>
      </c>
      <c r="F27" s="28">
        <v>2500.0</v>
      </c>
      <c r="G27" s="354">
        <v>1214.43</v>
      </c>
      <c r="H27" s="24"/>
      <c r="I27" s="24"/>
      <c r="J27" s="85"/>
      <c r="K27" s="24"/>
      <c r="L27" s="24"/>
      <c r="M27" s="24"/>
      <c r="N27" s="24"/>
      <c r="O27" s="353"/>
      <c r="P27" s="24"/>
      <c r="Q27" s="24"/>
      <c r="R27" s="85"/>
      <c r="S27" s="353"/>
      <c r="T27" s="24"/>
      <c r="U27" s="24"/>
      <c r="V27" s="85"/>
      <c r="W27" s="24"/>
      <c r="X27" s="24"/>
      <c r="Y27" s="24"/>
      <c r="Z27" s="85"/>
      <c r="AA27" s="24"/>
      <c r="AB27" s="24"/>
      <c r="AC27" s="20"/>
      <c r="AE27" s="18">
        <f t="shared" si="3"/>
        <v>1285.57</v>
      </c>
      <c r="AF27" s="18">
        <f t="shared" si="4"/>
        <v>1214.43</v>
      </c>
      <c r="AG27" s="20"/>
    </row>
    <row r="28" ht="14.25" customHeight="1">
      <c r="A28" s="14">
        <v>23.0</v>
      </c>
      <c r="B28" s="21" t="s">
        <v>96</v>
      </c>
      <c r="C28" s="55" t="s">
        <v>98</v>
      </c>
      <c r="D28" s="21" t="s">
        <v>99</v>
      </c>
      <c r="F28" s="22">
        <v>2500.0</v>
      </c>
      <c r="G28" s="353"/>
      <c r="H28" s="353"/>
      <c r="I28" s="353"/>
      <c r="J28" s="85"/>
      <c r="K28" s="24"/>
      <c r="L28" s="353"/>
      <c r="M28" s="353"/>
      <c r="N28" s="24"/>
      <c r="O28" s="24"/>
      <c r="P28" s="24"/>
      <c r="Q28" s="24"/>
      <c r="R28" s="85"/>
      <c r="S28" s="353"/>
      <c r="T28" s="353"/>
      <c r="U28" s="353"/>
      <c r="V28" s="85"/>
      <c r="W28" s="353"/>
      <c r="X28" s="354">
        <v>500.0</v>
      </c>
      <c r="Y28" s="353" t="s">
        <v>592</v>
      </c>
      <c r="Z28" s="85"/>
      <c r="AA28" s="24"/>
      <c r="AB28" s="354">
        <v>500.0</v>
      </c>
      <c r="AC28" s="353" t="s">
        <v>593</v>
      </c>
      <c r="AD28" s="24"/>
      <c r="AE28" s="18">
        <f t="shared" si="3"/>
        <v>1500</v>
      </c>
      <c r="AF28" s="18">
        <f t="shared" si="4"/>
        <v>1000</v>
      </c>
      <c r="AG28" s="20"/>
    </row>
    <row r="29" ht="14.25" customHeight="1">
      <c r="A29" s="14">
        <v>24.0</v>
      </c>
      <c r="B29" s="21" t="s">
        <v>102</v>
      </c>
      <c r="C29" s="12"/>
      <c r="D29" s="21" t="s">
        <v>17</v>
      </c>
      <c r="E29" s="21"/>
      <c r="F29" s="22">
        <v>1000.0</v>
      </c>
      <c r="G29" s="24"/>
      <c r="H29" s="24"/>
      <c r="I29" s="24"/>
      <c r="J29" s="85"/>
      <c r="K29" s="24"/>
      <c r="L29" s="24"/>
      <c r="M29" s="24"/>
      <c r="N29" s="24"/>
      <c r="O29" s="24"/>
      <c r="P29" s="354">
        <v>300.0</v>
      </c>
      <c r="Q29" s="353" t="s">
        <v>595</v>
      </c>
      <c r="R29" s="85"/>
      <c r="S29" s="24"/>
      <c r="T29" s="353"/>
      <c r="U29" s="353"/>
      <c r="V29" s="85"/>
      <c r="W29" s="24"/>
      <c r="X29" s="354">
        <v>300.0</v>
      </c>
      <c r="Y29" s="353" t="s">
        <v>596</v>
      </c>
      <c r="Z29" s="85"/>
      <c r="AA29" s="24"/>
      <c r="AB29" s="24"/>
      <c r="AC29" s="24"/>
      <c r="AD29" s="24"/>
      <c r="AE29" s="18">
        <f t="shared" si="3"/>
        <v>400</v>
      </c>
      <c r="AF29" s="18">
        <f t="shared" si="4"/>
        <v>600</v>
      </c>
      <c r="AG29" s="20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</row>
    <row r="30" ht="14.25" customHeight="1">
      <c r="A30" s="25">
        <v>25.0</v>
      </c>
      <c r="B30" s="27" t="s">
        <v>104</v>
      </c>
      <c r="C30" s="27" t="s">
        <v>105</v>
      </c>
      <c r="D30" s="27" t="s">
        <v>20</v>
      </c>
      <c r="E30" s="27" t="s">
        <v>106</v>
      </c>
      <c r="F30" s="28">
        <v>2500.0</v>
      </c>
      <c r="G30" s="354">
        <v>2000.05</v>
      </c>
      <c r="H30" s="24"/>
      <c r="I30" s="24"/>
      <c r="J30" s="85"/>
      <c r="K30" s="24"/>
      <c r="L30" s="24"/>
      <c r="M30" s="24"/>
      <c r="N30" s="24"/>
      <c r="O30" s="24"/>
      <c r="P30" s="24"/>
      <c r="Q30" s="24"/>
      <c r="R30" s="226">
        <v>2000.0</v>
      </c>
      <c r="S30" s="353"/>
      <c r="T30" s="353"/>
      <c r="U30" s="353"/>
      <c r="V30" s="85"/>
      <c r="W30" s="353"/>
      <c r="X30" s="24"/>
      <c r="Y30" s="24"/>
      <c r="Z30" s="85"/>
      <c r="AA30" s="24"/>
      <c r="AB30" s="24"/>
      <c r="AC30" s="24"/>
      <c r="AD30" s="24"/>
      <c r="AE30" s="18">
        <f t="shared" si="3"/>
        <v>-1500.05</v>
      </c>
      <c r="AF30" s="18">
        <f t="shared" si="4"/>
        <v>4000.05</v>
      </c>
      <c r="AG30" s="20"/>
    </row>
    <row r="31" ht="14.25" customHeight="1">
      <c r="A31" s="25">
        <v>26.0</v>
      </c>
      <c r="B31" s="26" t="s">
        <v>107</v>
      </c>
      <c r="C31" s="26" t="s">
        <v>105</v>
      </c>
      <c r="D31" s="27" t="s">
        <v>109</v>
      </c>
      <c r="E31" s="27" t="s">
        <v>110</v>
      </c>
      <c r="F31" s="28">
        <v>1000.0</v>
      </c>
      <c r="G31" s="353"/>
      <c r="H31" s="24"/>
      <c r="I31" s="24"/>
      <c r="J31" s="85"/>
      <c r="K31" s="354">
        <v>1000.0</v>
      </c>
      <c r="L31" s="24"/>
      <c r="M31" s="24"/>
      <c r="N31" s="24"/>
      <c r="O31" s="24"/>
      <c r="P31" s="24"/>
      <c r="Q31" s="24"/>
      <c r="R31" s="85"/>
      <c r="S31" s="24"/>
      <c r="T31" s="24"/>
      <c r="U31" s="24"/>
      <c r="V31" s="85"/>
      <c r="W31" s="356">
        <v>300.0</v>
      </c>
      <c r="X31" s="24"/>
      <c r="Y31" s="24"/>
      <c r="Z31" s="85"/>
      <c r="AA31" s="24"/>
      <c r="AB31" s="24"/>
      <c r="AC31" s="24"/>
      <c r="AD31" s="24"/>
      <c r="AE31" s="18">
        <f t="shared" si="3"/>
        <v>-300</v>
      </c>
      <c r="AF31" s="18">
        <f t="shared" si="4"/>
        <v>1300</v>
      </c>
      <c r="AG31" s="20"/>
    </row>
    <row r="32" ht="14.25" customHeight="1">
      <c r="A32" s="25">
        <v>27.0</v>
      </c>
      <c r="B32" s="44"/>
      <c r="C32" s="44"/>
      <c r="D32" s="27" t="s">
        <v>111</v>
      </c>
      <c r="E32" s="27"/>
      <c r="F32" s="28">
        <v>500.0</v>
      </c>
      <c r="G32" s="354">
        <v>500.0</v>
      </c>
      <c r="H32" s="24"/>
      <c r="I32" s="24"/>
      <c r="J32" s="85"/>
      <c r="K32" s="353"/>
      <c r="L32" s="24"/>
      <c r="M32" s="24"/>
      <c r="N32" s="24"/>
      <c r="O32" s="24"/>
      <c r="P32" s="24"/>
      <c r="Q32" s="24"/>
      <c r="R32" s="85"/>
      <c r="S32" s="24"/>
      <c r="T32" s="24"/>
      <c r="U32" s="24"/>
      <c r="V32" s="85"/>
      <c r="W32" s="353"/>
      <c r="X32" s="24"/>
      <c r="Y32" s="24"/>
      <c r="Z32" s="85"/>
      <c r="AA32" s="24"/>
      <c r="AB32" s="24"/>
      <c r="AC32" s="24"/>
      <c r="AD32" s="24"/>
      <c r="AE32" s="18">
        <f t="shared" si="3"/>
        <v>0</v>
      </c>
      <c r="AF32" s="18">
        <f t="shared" si="4"/>
        <v>500</v>
      </c>
      <c r="AG32" s="20"/>
    </row>
    <row r="33" ht="14.25" customHeight="1">
      <c r="A33" s="25">
        <v>28.0</v>
      </c>
      <c r="B33" s="12"/>
      <c r="C33" s="12"/>
      <c r="D33" s="27" t="s">
        <v>111</v>
      </c>
      <c r="E33" s="27"/>
      <c r="F33" s="28">
        <v>500.0</v>
      </c>
      <c r="G33" s="24"/>
      <c r="H33" s="24"/>
      <c r="I33" s="24"/>
      <c r="J33" s="85"/>
      <c r="K33" s="24"/>
      <c r="L33" s="24"/>
      <c r="M33" s="24"/>
      <c r="N33" s="24"/>
      <c r="O33" s="24"/>
      <c r="P33" s="24"/>
      <c r="Q33" s="24"/>
      <c r="R33" s="85"/>
      <c r="S33" s="24"/>
      <c r="T33" s="24"/>
      <c r="U33" s="24"/>
      <c r="V33" s="85"/>
      <c r="W33" s="356">
        <v>500.0</v>
      </c>
      <c r="X33" s="24"/>
      <c r="Y33" s="24"/>
      <c r="Z33" s="85"/>
      <c r="AA33" s="24"/>
      <c r="AB33" s="24"/>
      <c r="AC33" s="24"/>
      <c r="AD33" s="24"/>
      <c r="AE33" s="18">
        <f t="shared" si="3"/>
        <v>0</v>
      </c>
      <c r="AF33" s="18">
        <f t="shared" si="4"/>
        <v>500</v>
      </c>
      <c r="AG33" s="20"/>
    </row>
    <row r="34" ht="14.25" customHeight="1">
      <c r="A34" s="25">
        <v>29.0</v>
      </c>
      <c r="B34" s="26" t="s">
        <v>114</v>
      </c>
      <c r="C34" s="27"/>
      <c r="D34" s="27"/>
      <c r="E34" s="27" t="s">
        <v>115</v>
      </c>
      <c r="F34" s="28">
        <v>800.0</v>
      </c>
      <c r="G34" s="354">
        <v>800.0</v>
      </c>
      <c r="H34" s="24"/>
      <c r="I34" s="24"/>
      <c r="J34" s="85"/>
      <c r="K34" s="24"/>
      <c r="L34" s="24"/>
      <c r="M34" s="24"/>
      <c r="N34" s="24"/>
      <c r="O34" s="24"/>
      <c r="P34" s="24"/>
      <c r="Q34" s="24"/>
      <c r="R34" s="85"/>
      <c r="S34" s="354">
        <v>700.0</v>
      </c>
      <c r="T34" s="24"/>
      <c r="U34" s="24"/>
      <c r="V34" s="85"/>
      <c r="W34" s="24"/>
      <c r="X34" s="24"/>
      <c r="Y34" s="24"/>
      <c r="Z34" s="85"/>
      <c r="AA34" s="24"/>
      <c r="AB34" s="24"/>
      <c r="AC34" s="24"/>
      <c r="AD34" s="24"/>
      <c r="AE34" s="18">
        <f t="shared" si="3"/>
        <v>-700</v>
      </c>
      <c r="AF34" s="18">
        <f t="shared" si="4"/>
        <v>1500</v>
      </c>
      <c r="AG34" s="20"/>
    </row>
    <row r="35" ht="14.25" customHeight="1">
      <c r="A35" s="25">
        <v>30.0</v>
      </c>
      <c r="B35" s="12"/>
      <c r="C35" s="27"/>
      <c r="D35" s="27" t="s">
        <v>17</v>
      </c>
      <c r="E35" s="27"/>
      <c r="F35" s="28">
        <v>500.0</v>
      </c>
      <c r="G35" s="24"/>
      <c r="H35" s="24"/>
      <c r="I35" s="24"/>
      <c r="J35" s="85"/>
      <c r="K35" s="24"/>
      <c r="L35" s="24"/>
      <c r="M35" s="24"/>
      <c r="N35" s="24"/>
      <c r="O35" s="24"/>
      <c r="P35" s="24"/>
      <c r="Q35" s="24"/>
      <c r="R35" s="85"/>
      <c r="S35" s="24"/>
      <c r="T35" s="24"/>
      <c r="U35" s="24"/>
      <c r="V35" s="85"/>
      <c r="W35" s="353"/>
      <c r="X35" s="24"/>
      <c r="Y35" s="24"/>
      <c r="Z35" s="85"/>
      <c r="AA35" s="353"/>
      <c r="AB35" s="24"/>
      <c r="AC35" s="24"/>
      <c r="AD35" s="24"/>
      <c r="AE35" s="18">
        <f t="shared" si="3"/>
        <v>500</v>
      </c>
      <c r="AF35" s="18">
        <f t="shared" si="4"/>
        <v>0</v>
      </c>
      <c r="AG35" s="20"/>
    </row>
    <row r="36" ht="14.25" customHeight="1">
      <c r="A36" s="25">
        <v>31.0</v>
      </c>
      <c r="B36" s="379" t="s">
        <v>602</v>
      </c>
      <c r="C36" s="355" t="s">
        <v>603</v>
      </c>
      <c r="D36" s="27"/>
      <c r="E36" s="27" t="s">
        <v>137</v>
      </c>
      <c r="F36" s="28">
        <v>1500.0</v>
      </c>
      <c r="G36" s="353"/>
      <c r="H36" s="24"/>
      <c r="I36" s="24"/>
      <c r="J36" s="85"/>
      <c r="K36" s="353"/>
      <c r="L36" s="24"/>
      <c r="M36" s="24"/>
      <c r="N36" s="24"/>
      <c r="O36" s="24"/>
      <c r="P36" s="354">
        <v>800.0</v>
      </c>
      <c r="Q36" s="353" t="s">
        <v>604</v>
      </c>
      <c r="R36" s="85"/>
      <c r="S36" s="24"/>
      <c r="T36" s="354">
        <v>700.0</v>
      </c>
      <c r="U36" s="353" t="s">
        <v>605</v>
      </c>
      <c r="V36" s="85"/>
      <c r="W36" s="353"/>
      <c r="X36" s="24"/>
      <c r="Y36" s="24"/>
      <c r="Z36" s="85"/>
      <c r="AA36" s="24"/>
      <c r="AB36" s="24"/>
      <c r="AC36" s="24"/>
      <c r="AD36" s="24"/>
      <c r="AE36" s="18">
        <f t="shared" si="3"/>
        <v>0</v>
      </c>
      <c r="AF36" s="18">
        <f t="shared" si="4"/>
        <v>1500</v>
      </c>
      <c r="AG36" s="20"/>
    </row>
    <row r="37" ht="14.25" customHeight="1">
      <c r="A37" s="25">
        <v>32.0</v>
      </c>
      <c r="B37" s="82" t="s">
        <v>142</v>
      </c>
      <c r="C37" s="27" t="s">
        <v>143</v>
      </c>
      <c r="D37" s="27" t="s">
        <v>20</v>
      </c>
      <c r="E37" s="27" t="s">
        <v>144</v>
      </c>
      <c r="F37" s="28">
        <v>1500.0</v>
      </c>
      <c r="G37" s="24"/>
      <c r="H37" s="24"/>
      <c r="I37" s="24"/>
      <c r="J37" s="85"/>
      <c r="K37" s="24"/>
      <c r="L37" s="24"/>
      <c r="M37" s="24"/>
      <c r="N37" s="24"/>
      <c r="O37" s="24"/>
      <c r="P37" s="24"/>
      <c r="Q37" s="24"/>
      <c r="R37" s="85"/>
      <c r="S37" s="24"/>
      <c r="T37" s="24"/>
      <c r="U37" s="24"/>
      <c r="V37" s="85"/>
      <c r="W37" s="24"/>
      <c r="X37" s="24"/>
      <c r="Y37" s="24"/>
      <c r="Z37" s="85"/>
      <c r="AA37" s="24"/>
      <c r="AB37" s="24"/>
      <c r="AC37" s="24"/>
      <c r="AD37" s="24"/>
      <c r="AE37" s="18">
        <f t="shared" si="3"/>
        <v>1500</v>
      </c>
      <c r="AF37" s="18">
        <f t="shared" si="4"/>
        <v>0</v>
      </c>
      <c r="AG37" s="20"/>
    </row>
    <row r="38" ht="14.25" customHeight="1">
      <c r="A38" s="25">
        <v>33.0</v>
      </c>
      <c r="B38" s="82" t="s">
        <v>145</v>
      </c>
      <c r="C38" s="27" t="s">
        <v>146</v>
      </c>
      <c r="D38" s="27" t="s">
        <v>43</v>
      </c>
      <c r="E38" s="355" t="s">
        <v>553</v>
      </c>
      <c r="F38" s="28">
        <v>700.0</v>
      </c>
      <c r="G38" s="354">
        <v>700.0</v>
      </c>
      <c r="H38" s="24"/>
      <c r="I38" s="24"/>
      <c r="J38" s="85"/>
      <c r="K38" s="24"/>
      <c r="L38" s="24"/>
      <c r="M38" s="24"/>
      <c r="N38" s="24"/>
      <c r="O38" s="24"/>
      <c r="P38" s="24"/>
      <c r="Q38" s="24"/>
      <c r="R38" s="85"/>
      <c r="S38" s="24"/>
      <c r="T38" s="24"/>
      <c r="U38" s="24"/>
      <c r="V38" s="85"/>
      <c r="W38" s="24"/>
      <c r="X38" s="24"/>
      <c r="Y38" s="24"/>
      <c r="Z38" s="85"/>
      <c r="AA38" s="24"/>
      <c r="AB38" s="24"/>
      <c r="AC38" s="24"/>
      <c r="AD38" s="24"/>
      <c r="AE38" s="18">
        <f t="shared" si="3"/>
        <v>0</v>
      </c>
      <c r="AF38" s="18">
        <f t="shared" si="4"/>
        <v>700</v>
      </c>
      <c r="AG38" s="20"/>
    </row>
    <row r="39" ht="14.25" customHeight="1">
      <c r="A39" s="25">
        <v>34.0</v>
      </c>
      <c r="B39" s="27" t="s">
        <v>118</v>
      </c>
      <c r="C39" s="27"/>
      <c r="D39" s="27" t="s">
        <v>119</v>
      </c>
      <c r="E39" s="27" t="s">
        <v>120</v>
      </c>
      <c r="F39" s="28">
        <v>3000.0</v>
      </c>
      <c r="G39" s="383">
        <v>1000.0</v>
      </c>
      <c r="H39" s="353"/>
      <c r="I39" s="353"/>
      <c r="J39" s="85"/>
      <c r="K39" s="24"/>
      <c r="L39" s="354">
        <v>1500.0</v>
      </c>
      <c r="M39" s="353" t="s">
        <v>619</v>
      </c>
      <c r="N39" s="24"/>
      <c r="P39" s="353"/>
      <c r="Q39" s="353"/>
      <c r="R39" s="85"/>
      <c r="S39" s="353"/>
      <c r="T39" s="354">
        <v>500.0</v>
      </c>
      <c r="U39" s="353" t="s">
        <v>620</v>
      </c>
      <c r="V39" s="85"/>
      <c r="W39" s="383">
        <v>1000.0</v>
      </c>
      <c r="X39" s="353"/>
      <c r="Y39" s="353"/>
      <c r="Z39" s="85"/>
      <c r="AA39" s="24"/>
      <c r="AB39" s="24"/>
      <c r="AC39" s="24"/>
      <c r="AD39" s="24"/>
      <c r="AE39" s="18">
        <f>F39-(SUM(H39:AD39))</f>
        <v>0</v>
      </c>
      <c r="AF39" s="18">
        <f>SUM(I39:AD39)</f>
        <v>3000</v>
      </c>
      <c r="AG39" s="20"/>
    </row>
    <row r="40" ht="14.25" customHeight="1">
      <c r="A40" s="25"/>
      <c r="B40" s="82" t="s">
        <v>155</v>
      </c>
      <c r="C40" s="27"/>
      <c r="D40" s="27" t="s">
        <v>20</v>
      </c>
      <c r="E40" s="27" t="s">
        <v>156</v>
      </c>
      <c r="F40" s="28">
        <v>1500.0</v>
      </c>
      <c r="G40" s="354">
        <v>1500.0</v>
      </c>
      <c r="H40" s="24"/>
      <c r="I40" s="24"/>
      <c r="J40" s="85"/>
      <c r="K40" s="24"/>
      <c r="L40" s="24"/>
      <c r="M40" s="24"/>
      <c r="N40" s="24"/>
      <c r="O40" s="24"/>
      <c r="P40" s="24"/>
      <c r="Q40" s="24"/>
      <c r="R40" s="85"/>
      <c r="S40" s="24"/>
      <c r="T40" s="24"/>
      <c r="U40" s="24"/>
      <c r="V40" s="85"/>
      <c r="W40" s="24"/>
      <c r="X40" s="24"/>
      <c r="Y40" s="24"/>
      <c r="Z40" s="85"/>
      <c r="AA40" s="24"/>
      <c r="AB40" s="24"/>
      <c r="AC40" s="24"/>
      <c r="AD40" s="24"/>
      <c r="AE40" s="18">
        <f t="shared" ref="AE40:AE44" si="5">F40-(SUM(G40:AD40))</f>
        <v>0</v>
      </c>
      <c r="AF40" s="18">
        <f t="shared" ref="AF40:AF44" si="6">SUM(G40:AD40)</f>
        <v>1500</v>
      </c>
      <c r="AG40" s="20"/>
    </row>
    <row r="41" ht="14.25" customHeight="1">
      <c r="A41" s="25"/>
      <c r="B41" s="82" t="s">
        <v>155</v>
      </c>
      <c r="C41" s="27"/>
      <c r="D41" s="27" t="s">
        <v>20</v>
      </c>
      <c r="E41" s="27" t="s">
        <v>159</v>
      </c>
      <c r="F41" s="28">
        <v>1500.0</v>
      </c>
      <c r="G41" s="353"/>
      <c r="H41" s="24"/>
      <c r="I41" s="24"/>
      <c r="J41" s="85"/>
      <c r="K41" s="24"/>
      <c r="L41" s="24"/>
      <c r="M41" s="24"/>
      <c r="N41" s="24"/>
      <c r="O41" s="24"/>
      <c r="P41" s="24"/>
      <c r="Q41" s="24"/>
      <c r="R41" s="85"/>
      <c r="S41" s="24"/>
      <c r="T41" s="24"/>
      <c r="U41" s="24"/>
      <c r="V41" s="85"/>
      <c r="W41" s="24"/>
      <c r="X41" s="24"/>
      <c r="Y41" s="24"/>
      <c r="Z41" s="85"/>
      <c r="AA41" s="24"/>
      <c r="AB41" s="24"/>
      <c r="AC41" s="24"/>
      <c r="AD41" s="24"/>
      <c r="AE41" s="18">
        <f t="shared" si="5"/>
        <v>1500</v>
      </c>
      <c r="AF41" s="18">
        <f t="shared" si="6"/>
        <v>0</v>
      </c>
      <c r="AG41" s="20"/>
    </row>
    <row r="42" ht="14.25" customHeight="1">
      <c r="A42" s="25"/>
      <c r="B42" s="27"/>
      <c r="C42" s="27"/>
      <c r="D42" s="27" t="s">
        <v>20</v>
      </c>
      <c r="E42" s="27" t="s">
        <v>164</v>
      </c>
      <c r="F42" s="28">
        <v>1500.0</v>
      </c>
      <c r="G42" s="24"/>
      <c r="H42" s="24"/>
      <c r="I42" s="24"/>
      <c r="J42" s="85"/>
      <c r="K42" s="24"/>
      <c r="L42" s="24"/>
      <c r="M42" s="24"/>
      <c r="N42" s="24"/>
      <c r="O42" s="24"/>
      <c r="P42" s="24"/>
      <c r="Q42" s="24"/>
      <c r="R42" s="85"/>
      <c r="S42" s="24"/>
      <c r="T42" s="24"/>
      <c r="U42" s="24"/>
      <c r="V42" s="85"/>
      <c r="W42" s="24"/>
      <c r="X42" s="24"/>
      <c r="Y42" s="24"/>
      <c r="Z42" s="85"/>
      <c r="AA42" s="24"/>
      <c r="AB42" s="24"/>
      <c r="AC42" s="24"/>
      <c r="AD42" s="24"/>
      <c r="AE42" s="18">
        <f t="shared" si="5"/>
        <v>1500</v>
      </c>
      <c r="AF42" s="18">
        <f t="shared" si="6"/>
        <v>0</v>
      </c>
      <c r="AG42" s="20"/>
    </row>
    <row r="43" ht="14.25" customHeight="1">
      <c r="A43" s="25"/>
      <c r="B43" s="27" t="s">
        <v>500</v>
      </c>
      <c r="C43" s="27"/>
      <c r="D43" s="27"/>
      <c r="E43" s="27" t="s">
        <v>33</v>
      </c>
      <c r="F43" s="28">
        <v>800.0</v>
      </c>
      <c r="G43" s="354">
        <v>800.0</v>
      </c>
      <c r="H43" s="24"/>
      <c r="I43" s="24"/>
      <c r="J43" s="85"/>
      <c r="K43" s="24"/>
      <c r="L43" s="24"/>
      <c r="M43" s="24"/>
      <c r="N43" s="24"/>
      <c r="O43" s="24"/>
      <c r="P43" s="24"/>
      <c r="Q43" s="24"/>
      <c r="R43" s="85"/>
      <c r="S43" s="24"/>
      <c r="T43" s="24"/>
      <c r="U43" s="24"/>
      <c r="V43" s="85"/>
      <c r="W43" s="24"/>
      <c r="X43" s="24"/>
      <c r="Y43" s="24"/>
      <c r="Z43" s="85"/>
      <c r="AA43" s="24"/>
      <c r="AB43" s="24"/>
      <c r="AC43" s="24"/>
      <c r="AD43" s="24"/>
      <c r="AE43" s="18">
        <f t="shared" si="5"/>
        <v>0</v>
      </c>
      <c r="AF43" s="18">
        <f t="shared" si="6"/>
        <v>800</v>
      </c>
      <c r="AG43" s="20"/>
    </row>
    <row r="44" ht="14.25" customHeight="1">
      <c r="A44" s="25"/>
      <c r="B44" s="355" t="s">
        <v>441</v>
      </c>
      <c r="C44" s="355" t="s">
        <v>241</v>
      </c>
      <c r="D44" s="27"/>
      <c r="E44" s="21" t="s">
        <v>100</v>
      </c>
      <c r="F44" s="362">
        <v>1500.0</v>
      </c>
      <c r="G44" s="353"/>
      <c r="H44" s="24"/>
      <c r="I44" s="24"/>
      <c r="J44" s="85"/>
      <c r="K44" s="24"/>
      <c r="L44" s="24"/>
      <c r="M44" s="24"/>
      <c r="N44" s="24"/>
      <c r="O44" s="24"/>
      <c r="P44" s="24"/>
      <c r="Q44" s="24"/>
      <c r="R44" s="85"/>
      <c r="S44" s="354">
        <v>1000.0</v>
      </c>
      <c r="T44" s="24"/>
      <c r="U44" s="24"/>
      <c r="V44" s="85"/>
      <c r="W44" s="353"/>
      <c r="X44" s="24"/>
      <c r="Y44" s="24"/>
      <c r="Z44" s="85"/>
      <c r="AA44" s="24"/>
      <c r="AB44" s="24"/>
      <c r="AC44" s="24"/>
      <c r="AD44" s="24"/>
      <c r="AE44" s="18">
        <f t="shared" si="5"/>
        <v>500</v>
      </c>
      <c r="AF44" s="18">
        <f t="shared" si="6"/>
        <v>1000</v>
      </c>
      <c r="AG44" s="20"/>
    </row>
    <row r="45" ht="14.25" customHeight="1">
      <c r="A45" s="68" t="s">
        <v>122</v>
      </c>
      <c r="B45" s="2"/>
      <c r="C45" s="2"/>
      <c r="D45" s="2"/>
      <c r="E45" s="3"/>
      <c r="F45" s="69">
        <f>SUM(F4:F44)</f>
        <v>59000</v>
      </c>
      <c r="G45" s="70">
        <f>SUM(G4:G43)</f>
        <v>20663.56</v>
      </c>
      <c r="H45" s="70">
        <f>SUM(H3:H43)</f>
        <v>2669.44</v>
      </c>
      <c r="I45" s="70"/>
      <c r="J45" s="70">
        <f t="shared" ref="J45:L45" si="7">SUM(J4:J43)</f>
        <v>0</v>
      </c>
      <c r="K45" s="70">
        <f t="shared" si="7"/>
        <v>5385.01</v>
      </c>
      <c r="L45" s="70">
        <f t="shared" si="7"/>
        <v>3000</v>
      </c>
      <c r="M45" s="70"/>
      <c r="N45" s="70">
        <f t="shared" ref="N45:P45" si="8">SUM(N4:N43)</f>
        <v>0</v>
      </c>
      <c r="O45" s="70">
        <f t="shared" si="8"/>
        <v>1069.72</v>
      </c>
      <c r="P45" s="70">
        <f t="shared" si="8"/>
        <v>1100</v>
      </c>
      <c r="Q45" s="70"/>
      <c r="R45" s="70">
        <f>SUM(R4:R43)</f>
        <v>2000</v>
      </c>
      <c r="S45" s="70">
        <f>SUM(S4:S44)</f>
        <v>4020.02</v>
      </c>
      <c r="T45" s="70">
        <f>SUM(T4:T43)</f>
        <v>2530</v>
      </c>
      <c r="U45" s="70"/>
      <c r="V45" s="70">
        <f>SUM(V4:V43)</f>
        <v>0</v>
      </c>
      <c r="W45" s="70">
        <f>SUM(W4:W44)</f>
        <v>3444.5</v>
      </c>
      <c r="X45" s="70">
        <f>SUM(X4:X43)</f>
        <v>800</v>
      </c>
      <c r="Y45" s="70"/>
      <c r="Z45" s="70">
        <f t="shared" ref="Z45:AB45" si="9">SUM(Z4:Z43)</f>
        <v>0</v>
      </c>
      <c r="AA45" s="70">
        <f t="shared" si="9"/>
        <v>500</v>
      </c>
      <c r="AB45" s="70">
        <f t="shared" si="9"/>
        <v>500</v>
      </c>
      <c r="AC45" s="70"/>
      <c r="AD45" s="70">
        <f>SUM(AD4:AD43)</f>
        <v>0</v>
      </c>
      <c r="AE45" s="70">
        <f>SUM(AE4:AE42)</f>
        <v>11817.75</v>
      </c>
      <c r="AF45" s="70">
        <f>SUM(AF4:AF39)</f>
        <v>43382.25</v>
      </c>
    </row>
    <row r="46" ht="14.25" customHeight="1">
      <c r="A46" s="73"/>
      <c r="B46" s="73"/>
      <c r="C46" s="73"/>
      <c r="D46" s="73"/>
      <c r="E46" s="73"/>
      <c r="F46" s="72"/>
      <c r="I46" s="34">
        <v>14.0</v>
      </c>
      <c r="K46" s="34">
        <v>3.0</v>
      </c>
      <c r="O46" s="34">
        <v>9.0</v>
      </c>
      <c r="S46" s="34">
        <v>6.0</v>
      </c>
      <c r="X46" s="34">
        <v>4.0</v>
      </c>
      <c r="AA46" s="34">
        <v>4.0</v>
      </c>
      <c r="AE46" s="20">
        <f>F45-AF45</f>
        <v>15617.75</v>
      </c>
      <c r="AF46" s="20">
        <f>G45+I45+K45+L45+O45+P45+R45+S45+T45+V45+W45+X45+Z45+AA45+AB45</f>
        <v>45012.81</v>
      </c>
    </row>
    <row r="47" ht="14.25" customHeight="1">
      <c r="A47" s="73"/>
      <c r="B47" s="73"/>
      <c r="C47" s="73"/>
      <c r="D47" s="73"/>
      <c r="E47" s="73"/>
      <c r="F47" s="72"/>
    </row>
    <row r="48" ht="14.25" customHeight="1">
      <c r="A48" s="77" t="s">
        <v>177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9"/>
    </row>
    <row r="49" ht="28.5" customHeight="1">
      <c r="A49" s="4" t="s">
        <v>2</v>
      </c>
      <c r="B49" s="5"/>
      <c r="C49" s="6" t="s">
        <v>3</v>
      </c>
      <c r="D49" s="6" t="s">
        <v>4</v>
      </c>
      <c r="E49" s="6" t="s">
        <v>5</v>
      </c>
      <c r="F49" s="7" t="s">
        <v>134</v>
      </c>
      <c r="G49" s="8">
        <f>G2</f>
        <v>46244</v>
      </c>
      <c r="H49" s="2"/>
      <c r="I49" s="2"/>
      <c r="J49" s="3"/>
      <c r="K49" s="8">
        <f>K2</f>
        <v>46245</v>
      </c>
      <c r="L49" s="2"/>
      <c r="M49" s="2"/>
      <c r="N49" s="3"/>
      <c r="O49" s="8">
        <f>O2</f>
        <v>46246</v>
      </c>
      <c r="P49" s="2"/>
      <c r="Q49" s="2"/>
      <c r="R49" s="3"/>
      <c r="S49" s="8">
        <f>S2</f>
        <v>46247</v>
      </c>
      <c r="T49" s="2"/>
      <c r="U49" s="2"/>
      <c r="V49" s="3"/>
      <c r="W49" s="8">
        <f>W2</f>
        <v>46248</v>
      </c>
      <c r="X49" s="2"/>
      <c r="Y49" s="2"/>
      <c r="Z49" s="3"/>
      <c r="AA49" s="8">
        <f>AA2</f>
        <v>46249</v>
      </c>
      <c r="AB49" s="2"/>
      <c r="AC49" s="2"/>
      <c r="AD49" s="3"/>
      <c r="AE49" s="9" t="s">
        <v>7</v>
      </c>
      <c r="AF49" s="7" t="s">
        <v>8</v>
      </c>
    </row>
    <row r="50" ht="14.25" customHeight="1">
      <c r="A50" s="10"/>
      <c r="B50" s="11"/>
      <c r="C50" s="12"/>
      <c r="D50" s="12"/>
      <c r="E50" s="12"/>
      <c r="F50" s="12"/>
      <c r="G50" s="13" t="s">
        <v>9</v>
      </c>
      <c r="H50" s="8" t="s">
        <v>10</v>
      </c>
      <c r="I50" s="3"/>
      <c r="J50" s="13" t="s">
        <v>12</v>
      </c>
      <c r="K50" s="13" t="s">
        <v>9</v>
      </c>
      <c r="L50" s="13" t="s">
        <v>10</v>
      </c>
      <c r="M50" s="13"/>
      <c r="N50" s="13" t="s">
        <v>12</v>
      </c>
      <c r="O50" s="13" t="s">
        <v>9</v>
      </c>
      <c r="P50" s="13" t="s">
        <v>10</v>
      </c>
      <c r="Q50" s="13"/>
      <c r="R50" s="13" t="s">
        <v>12</v>
      </c>
      <c r="S50" s="13" t="s">
        <v>9</v>
      </c>
      <c r="T50" s="13" t="s">
        <v>10</v>
      </c>
      <c r="U50" s="13"/>
      <c r="V50" s="13" t="s">
        <v>12</v>
      </c>
      <c r="W50" s="13" t="s">
        <v>9</v>
      </c>
      <c r="X50" s="13" t="s">
        <v>10</v>
      </c>
      <c r="Y50" s="13"/>
      <c r="Z50" s="13" t="s">
        <v>12</v>
      </c>
      <c r="AA50" s="13" t="s">
        <v>9</v>
      </c>
      <c r="AB50" s="13" t="s">
        <v>10</v>
      </c>
      <c r="AC50" s="13"/>
      <c r="AD50" s="13" t="s">
        <v>12</v>
      </c>
      <c r="AE50" s="12"/>
      <c r="AF50" s="12"/>
    </row>
    <row r="51" ht="14.25" customHeight="1">
      <c r="A51" s="25">
        <v>1.0</v>
      </c>
      <c r="B51" s="27" t="s">
        <v>138</v>
      </c>
      <c r="C51" s="27" t="s">
        <v>139</v>
      </c>
      <c r="D51" s="27" t="s">
        <v>140</v>
      </c>
      <c r="E51" s="27" t="s">
        <v>141</v>
      </c>
      <c r="F51" s="28">
        <v>2500.0</v>
      </c>
      <c r="G51" s="354">
        <v>1000.27</v>
      </c>
      <c r="H51" s="24"/>
      <c r="I51" s="24"/>
      <c r="J51" s="24"/>
      <c r="K51" s="24"/>
      <c r="L51" s="24"/>
      <c r="M51" s="24"/>
      <c r="N51" s="24"/>
      <c r="O51" s="353"/>
      <c r="P51" s="24"/>
      <c r="Q51" s="24"/>
      <c r="R51" s="24"/>
      <c r="S51" s="353"/>
      <c r="T51" s="24"/>
      <c r="U51" s="24"/>
      <c r="V51" s="24"/>
      <c r="W51" s="356">
        <v>1500.0</v>
      </c>
      <c r="X51" s="24"/>
      <c r="Y51" s="24"/>
      <c r="Z51" s="24"/>
      <c r="AA51" s="24"/>
      <c r="AB51" s="24"/>
      <c r="AC51" s="24"/>
      <c r="AD51" s="24"/>
      <c r="AE51" s="24">
        <f t="shared" ref="AE51:AE58" si="10">F51-(SUM(G51:AD51))</f>
        <v>-0.27</v>
      </c>
      <c r="AF51" s="24">
        <f t="shared" ref="AF51:AF58" si="11">SUM(G51:AD51)</f>
        <v>2500.27</v>
      </c>
    </row>
    <row r="52" ht="14.25" customHeight="1">
      <c r="A52" s="25">
        <v>2.0</v>
      </c>
      <c r="B52" s="27" t="s">
        <v>147</v>
      </c>
      <c r="C52" s="27" t="s">
        <v>139</v>
      </c>
      <c r="D52" s="27" t="s">
        <v>119</v>
      </c>
      <c r="E52" s="27" t="s">
        <v>148</v>
      </c>
      <c r="F52" s="28">
        <v>1500.0</v>
      </c>
      <c r="G52" s="24"/>
      <c r="H52" s="24"/>
      <c r="I52" s="24"/>
      <c r="J52" s="24"/>
      <c r="K52" s="353"/>
      <c r="L52" s="24"/>
      <c r="M52" s="24"/>
      <c r="N52" s="24"/>
      <c r="O52" s="354">
        <v>1500.0</v>
      </c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>
        <f t="shared" si="10"/>
        <v>0</v>
      </c>
      <c r="AF52" s="24">
        <f t="shared" si="11"/>
        <v>1500</v>
      </c>
      <c r="AG52" s="34">
        <v>8.0</v>
      </c>
      <c r="AI52" s="31" t="s">
        <v>22</v>
      </c>
      <c r="AJ52" s="2"/>
      <c r="AK52" s="2"/>
      <c r="AL52" s="3"/>
    </row>
    <row r="53" ht="14.25" customHeight="1">
      <c r="A53" s="84">
        <v>3.0</v>
      </c>
      <c r="B53" s="132" t="s">
        <v>157</v>
      </c>
      <c r="C53" s="132" t="s">
        <v>139</v>
      </c>
      <c r="D53" s="27" t="s">
        <v>158</v>
      </c>
      <c r="E53" s="27" t="s">
        <v>16</v>
      </c>
      <c r="F53" s="28">
        <v>2000.0</v>
      </c>
      <c r="G53" s="354">
        <v>1247.28</v>
      </c>
      <c r="H53" s="24"/>
      <c r="I53" s="24"/>
      <c r="J53" s="24"/>
      <c r="K53" s="353"/>
      <c r="L53" s="24"/>
      <c r="M53" s="24"/>
      <c r="N53" s="24"/>
      <c r="O53" s="353"/>
      <c r="P53" s="24"/>
      <c r="Q53" s="24"/>
      <c r="R53" s="24"/>
      <c r="S53" s="353"/>
      <c r="T53" s="353"/>
      <c r="U53" s="24"/>
      <c r="V53" s="24"/>
      <c r="W53" s="354">
        <v>700.0</v>
      </c>
      <c r="X53" s="24"/>
      <c r="Y53" s="24"/>
      <c r="Z53" s="24"/>
      <c r="AA53" s="24"/>
      <c r="AB53" s="24"/>
      <c r="AC53" s="24"/>
      <c r="AD53" s="24"/>
      <c r="AE53" s="24">
        <f t="shared" si="10"/>
        <v>52.72</v>
      </c>
      <c r="AF53" s="24">
        <f t="shared" si="11"/>
        <v>1947.28</v>
      </c>
      <c r="AI53" s="35" t="s">
        <v>25</v>
      </c>
      <c r="AJ53" s="35" t="s">
        <v>26</v>
      </c>
      <c r="AK53" s="35" t="s">
        <v>27</v>
      </c>
      <c r="AL53" s="35" t="s">
        <v>28</v>
      </c>
    </row>
    <row r="54" ht="14.25" customHeight="1">
      <c r="A54" s="12"/>
      <c r="B54" s="132" t="s">
        <v>157</v>
      </c>
      <c r="C54" s="132" t="s">
        <v>139</v>
      </c>
      <c r="D54" s="27" t="s">
        <v>17</v>
      </c>
      <c r="E54" s="27"/>
      <c r="F54" s="28">
        <v>300.0</v>
      </c>
      <c r="G54" s="353"/>
      <c r="H54" s="24"/>
      <c r="I54" s="24"/>
      <c r="J54" s="24"/>
      <c r="K54" s="354">
        <v>1144.5</v>
      </c>
      <c r="L54" s="24"/>
      <c r="M54" s="24"/>
      <c r="N54" s="24"/>
      <c r="O54" s="24"/>
      <c r="P54" s="24"/>
      <c r="Q54" s="24"/>
      <c r="R54" s="24"/>
      <c r="S54" s="353"/>
      <c r="T54" s="353"/>
      <c r="U54" s="24"/>
      <c r="V54" s="24"/>
      <c r="W54" s="353"/>
      <c r="X54" s="24"/>
      <c r="Y54" s="24"/>
      <c r="Z54" s="24"/>
      <c r="AA54" s="24"/>
      <c r="AB54" s="24"/>
      <c r="AC54" s="24"/>
      <c r="AD54" s="24"/>
      <c r="AE54" s="24">
        <f t="shared" si="10"/>
        <v>-844.5</v>
      </c>
      <c r="AF54" s="24">
        <f t="shared" si="11"/>
        <v>1144.5</v>
      </c>
      <c r="AI54" s="37" t="s">
        <v>9</v>
      </c>
      <c r="AJ54" s="85"/>
      <c r="AK54" s="85"/>
      <c r="AL54" s="24">
        <f>AA60+W60+S60+O60+K60+G60</f>
        <v>47540.83</v>
      </c>
    </row>
    <row r="55" ht="14.25" customHeight="1">
      <c r="A55" s="25">
        <v>4.0</v>
      </c>
      <c r="B55" s="27" t="s">
        <v>165</v>
      </c>
      <c r="C55" s="27" t="s">
        <v>166</v>
      </c>
      <c r="D55" s="27" t="s">
        <v>119</v>
      </c>
      <c r="E55" s="27" t="s">
        <v>167</v>
      </c>
      <c r="F55" s="28">
        <v>1500.0</v>
      </c>
      <c r="G55" s="353"/>
      <c r="H55" s="24"/>
      <c r="I55" s="24"/>
      <c r="J55" s="24"/>
      <c r="K55" s="354">
        <v>1465.97</v>
      </c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>
        <f t="shared" si="10"/>
        <v>34.03</v>
      </c>
      <c r="AF55" s="24">
        <f t="shared" si="11"/>
        <v>1465.97</v>
      </c>
      <c r="AI55" s="37" t="s">
        <v>10</v>
      </c>
      <c r="AJ55" s="85"/>
      <c r="AK55" s="85"/>
      <c r="AL55" s="24">
        <f>I59+L59+P59+T59+X59+AB59</f>
        <v>0</v>
      </c>
    </row>
    <row r="56" ht="14.25" customHeight="1">
      <c r="A56" s="25">
        <v>5.0</v>
      </c>
      <c r="B56" s="27" t="s">
        <v>168</v>
      </c>
      <c r="C56" s="27" t="s">
        <v>166</v>
      </c>
      <c r="D56" s="27" t="s">
        <v>119</v>
      </c>
      <c r="E56" s="27" t="s">
        <v>169</v>
      </c>
      <c r="F56" s="28">
        <v>1500.0</v>
      </c>
      <c r="G56" s="354">
        <v>1500.0</v>
      </c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354">
        <v>400.0</v>
      </c>
      <c r="AB56" s="24"/>
      <c r="AC56" s="24"/>
      <c r="AD56" s="24"/>
      <c r="AE56" s="24">
        <f t="shared" si="10"/>
        <v>-400</v>
      </c>
      <c r="AF56" s="24">
        <f t="shared" si="11"/>
        <v>1900</v>
      </c>
      <c r="AI56" s="37" t="s">
        <v>12</v>
      </c>
      <c r="AJ56" s="85"/>
      <c r="AK56" s="85"/>
      <c r="AL56" s="85"/>
    </row>
    <row r="57" ht="14.25" customHeight="1">
      <c r="A57" s="25">
        <v>6.0</v>
      </c>
      <c r="B57" s="27" t="s">
        <v>170</v>
      </c>
      <c r="C57" s="27" t="s">
        <v>171</v>
      </c>
      <c r="D57" s="27" t="s">
        <v>158</v>
      </c>
      <c r="E57" s="27" t="s">
        <v>172</v>
      </c>
      <c r="F57" s="28">
        <v>2000.0</v>
      </c>
      <c r="G57" s="353"/>
      <c r="H57" s="24"/>
      <c r="I57" s="24"/>
      <c r="J57" s="24"/>
      <c r="K57" s="354">
        <v>2000.0</v>
      </c>
      <c r="L57" s="24"/>
      <c r="M57" s="24"/>
      <c r="N57" s="24"/>
      <c r="O57" s="353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>
        <f t="shared" si="10"/>
        <v>0</v>
      </c>
      <c r="AF57" s="24">
        <f t="shared" si="11"/>
        <v>2000</v>
      </c>
    </row>
    <row r="58" ht="14.25" customHeight="1">
      <c r="A58" s="361">
        <v>7.0</v>
      </c>
      <c r="B58" s="355" t="s">
        <v>548</v>
      </c>
      <c r="C58" s="355" t="s">
        <v>166</v>
      </c>
      <c r="D58" s="27" t="s">
        <v>17</v>
      </c>
      <c r="E58" s="27"/>
      <c r="F58" s="362">
        <v>500.0</v>
      </c>
      <c r="G58" s="353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>
        <f t="shared" si="10"/>
        <v>500</v>
      </c>
      <c r="AF58" s="24">
        <f t="shared" si="11"/>
        <v>0</v>
      </c>
    </row>
    <row r="59" ht="14.25" customHeight="1">
      <c r="A59" s="68" t="s">
        <v>122</v>
      </c>
      <c r="B59" s="2"/>
      <c r="C59" s="2"/>
      <c r="D59" s="2"/>
      <c r="E59" s="3"/>
      <c r="F59" s="69">
        <f t="shared" ref="F59:G59" si="12">SUM(F51:F58)</f>
        <v>11800</v>
      </c>
      <c r="G59" s="86">
        <f t="shared" si="12"/>
        <v>3747.55</v>
      </c>
      <c r="H59" s="86"/>
      <c r="I59" s="86">
        <f>SUM(I51:I57)</f>
        <v>0</v>
      </c>
      <c r="J59" s="86"/>
      <c r="K59" s="86">
        <f t="shared" ref="K59:L59" si="13">SUM(K51:K57)</f>
        <v>4610.47</v>
      </c>
      <c r="L59" s="86">
        <f t="shared" si="13"/>
        <v>0</v>
      </c>
      <c r="M59" s="86"/>
      <c r="N59" s="86"/>
      <c r="O59" s="86">
        <f t="shared" ref="O59:P59" si="14">SUM(O51:O57)</f>
        <v>1500</v>
      </c>
      <c r="P59" s="86">
        <f t="shared" si="14"/>
        <v>0</v>
      </c>
      <c r="Q59" s="86"/>
      <c r="R59" s="86"/>
      <c r="S59" s="86">
        <f t="shared" ref="S59:T59" si="15">SUM(S51:S57)</f>
        <v>0</v>
      </c>
      <c r="T59" s="86">
        <f t="shared" si="15"/>
        <v>0</v>
      </c>
      <c r="U59" s="86"/>
      <c r="V59" s="86">
        <f t="shared" ref="V59:X59" si="16">SUM(V51:V57)</f>
        <v>0</v>
      </c>
      <c r="W59" s="86">
        <f t="shared" si="16"/>
        <v>2200</v>
      </c>
      <c r="X59" s="86">
        <f t="shared" si="16"/>
        <v>0</v>
      </c>
      <c r="Y59" s="86"/>
      <c r="Z59" s="86"/>
      <c r="AA59" s="86">
        <f t="shared" ref="AA59:AB59" si="17">SUM(AA51:AA57)</f>
        <v>400</v>
      </c>
      <c r="AB59" s="86">
        <f t="shared" si="17"/>
        <v>0</v>
      </c>
      <c r="AC59" s="86"/>
      <c r="AD59" s="86"/>
      <c r="AE59" s="70">
        <f t="shared" ref="AE59:AF59" si="18">SUM(AE51:AE57)</f>
        <v>-1158.02</v>
      </c>
      <c r="AF59" s="70">
        <f t="shared" si="18"/>
        <v>12458.02</v>
      </c>
    </row>
    <row r="60" ht="14.25" customHeight="1">
      <c r="A60" s="73"/>
      <c r="B60" s="73"/>
      <c r="C60" s="73"/>
      <c r="D60" s="73"/>
      <c r="E60" s="73"/>
      <c r="F60" s="72"/>
      <c r="G60" s="105">
        <f>G59+G45</f>
        <v>24411.11</v>
      </c>
      <c r="K60" s="105">
        <f>K59+K45</f>
        <v>9995.48</v>
      </c>
      <c r="O60" s="105">
        <f>O59+O45</f>
        <v>2569.72</v>
      </c>
      <c r="S60" s="105">
        <f>S59+S45</f>
        <v>4020.02</v>
      </c>
      <c r="W60" s="105">
        <f>W45+W59</f>
        <v>5644.5</v>
      </c>
      <c r="AA60" s="105">
        <f>AA45+AA59</f>
        <v>900</v>
      </c>
    </row>
    <row r="61" ht="14.25" customHeight="1">
      <c r="A61" s="73"/>
      <c r="B61" s="73"/>
      <c r="C61" s="73"/>
      <c r="D61" s="73"/>
      <c r="E61" s="73"/>
      <c r="F61" s="72"/>
    </row>
    <row r="62" ht="14.25" customHeight="1">
      <c r="A62" s="73"/>
      <c r="B62" s="73"/>
      <c r="C62" s="73"/>
      <c r="D62" s="73"/>
      <c r="E62" s="73"/>
      <c r="F62" s="72"/>
    </row>
    <row r="63" ht="14.25" customHeight="1">
      <c r="A63" s="1" t="s">
        <v>211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</row>
    <row r="64" ht="28.5" customHeight="1">
      <c r="A64" s="4" t="s">
        <v>2</v>
      </c>
      <c r="B64" s="5"/>
      <c r="C64" s="6" t="s">
        <v>3</v>
      </c>
      <c r="D64" s="6" t="s">
        <v>4</v>
      </c>
      <c r="E64" s="6" t="s">
        <v>5</v>
      </c>
      <c r="F64" s="7" t="s">
        <v>134</v>
      </c>
      <c r="G64" s="352">
        <v>46244.0</v>
      </c>
      <c r="H64" s="3"/>
      <c r="I64" s="352">
        <v>46245.0</v>
      </c>
      <c r="J64" s="3"/>
      <c r="K64" s="352">
        <v>46246.0</v>
      </c>
      <c r="L64" s="3"/>
      <c r="M64" s="352">
        <v>46247.0</v>
      </c>
      <c r="N64" s="3"/>
      <c r="O64" s="352">
        <v>46248.0</v>
      </c>
      <c r="P64" s="3"/>
      <c r="Q64" s="13"/>
      <c r="R64" s="7" t="s">
        <v>8</v>
      </c>
      <c r="V64" s="111"/>
      <c r="X64" s="111"/>
      <c r="Y64" s="111"/>
      <c r="Z64" s="111"/>
      <c r="AB64" s="111"/>
      <c r="AC64" s="111"/>
      <c r="AD64" s="111"/>
    </row>
    <row r="65" ht="14.25" customHeight="1">
      <c r="A65" s="10"/>
      <c r="B65" s="11"/>
      <c r="C65" s="12"/>
      <c r="D65" s="12"/>
      <c r="E65" s="12"/>
      <c r="F65" s="12"/>
      <c r="G65" s="13" t="s">
        <v>9</v>
      </c>
      <c r="H65" s="364" t="s">
        <v>10</v>
      </c>
      <c r="I65" s="13" t="s">
        <v>9</v>
      </c>
      <c r="J65" s="364" t="s">
        <v>10</v>
      </c>
      <c r="K65" s="13" t="s">
        <v>9</v>
      </c>
      <c r="L65" s="364" t="s">
        <v>10</v>
      </c>
      <c r="M65" s="364" t="s">
        <v>9</v>
      </c>
      <c r="N65" s="364" t="s">
        <v>556</v>
      </c>
      <c r="O65" s="13" t="s">
        <v>9</v>
      </c>
      <c r="P65" s="159" t="s">
        <v>10</v>
      </c>
      <c r="Q65" s="13"/>
      <c r="R65" s="12"/>
      <c r="V65" s="112"/>
      <c r="W65" s="112"/>
      <c r="X65" s="112"/>
      <c r="Y65" s="112"/>
      <c r="Z65" s="112"/>
      <c r="AA65" s="112"/>
      <c r="AB65" s="112"/>
      <c r="AC65" s="112"/>
      <c r="AD65" s="112"/>
    </row>
    <row r="66" ht="14.25" customHeight="1">
      <c r="A66" s="25">
        <v>1.0</v>
      </c>
      <c r="B66" s="89" t="s">
        <v>178</v>
      </c>
      <c r="C66" s="84" t="s">
        <v>179</v>
      </c>
      <c r="D66" s="27"/>
      <c r="E66" s="90" t="s">
        <v>180</v>
      </c>
      <c r="F66" s="28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24">
        <f t="shared" ref="R66:R73" si="19">SUM(G66:P66)</f>
        <v>0</v>
      </c>
      <c r="AA66" s="113"/>
    </row>
    <row r="67" ht="14.25" customHeight="1">
      <c r="A67" s="25">
        <v>2.0</v>
      </c>
      <c r="B67" s="89" t="s">
        <v>183</v>
      </c>
      <c r="C67" s="44"/>
      <c r="D67" s="27"/>
      <c r="E67" s="90" t="s">
        <v>184</v>
      </c>
      <c r="F67" s="28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24">
        <f t="shared" si="19"/>
        <v>0</v>
      </c>
      <c r="AA67" s="113"/>
      <c r="AB67" s="113"/>
      <c r="AC67" s="113"/>
      <c r="AD67" s="113"/>
      <c r="AE67" s="113"/>
    </row>
    <row r="68" ht="14.25" customHeight="1">
      <c r="A68" s="25">
        <v>3.0</v>
      </c>
      <c r="B68" s="89" t="s">
        <v>185</v>
      </c>
      <c r="C68" s="44"/>
      <c r="D68" s="27"/>
      <c r="E68" s="90" t="s">
        <v>186</v>
      </c>
      <c r="F68" s="28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24">
        <f t="shared" si="19"/>
        <v>0</v>
      </c>
      <c r="AA68" s="73"/>
      <c r="AB68" s="73"/>
      <c r="AC68" s="73"/>
      <c r="AD68" s="73"/>
      <c r="AE68" s="72"/>
    </row>
    <row r="69" ht="14.25" customHeight="1">
      <c r="A69" s="25">
        <v>4.0</v>
      </c>
      <c r="B69" s="89" t="s">
        <v>185</v>
      </c>
      <c r="C69" s="44"/>
      <c r="D69" s="27"/>
      <c r="E69" s="90" t="s">
        <v>186</v>
      </c>
      <c r="F69" s="28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24">
        <f t="shared" si="19"/>
        <v>0</v>
      </c>
      <c r="AA69" s="73"/>
      <c r="AB69" s="73"/>
      <c r="AC69" s="73"/>
      <c r="AD69" s="73"/>
      <c r="AE69" s="73"/>
    </row>
    <row r="70" ht="14.25" customHeight="1">
      <c r="A70" s="25">
        <v>5.0</v>
      </c>
      <c r="B70" s="89" t="s">
        <v>187</v>
      </c>
      <c r="C70" s="44"/>
      <c r="D70" s="27"/>
      <c r="E70" s="90" t="s">
        <v>188</v>
      </c>
      <c r="F70" s="28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24">
        <f t="shared" si="19"/>
        <v>0</v>
      </c>
      <c r="AA70" s="73"/>
      <c r="AB70" s="73"/>
      <c r="AC70" s="73"/>
      <c r="AD70" s="73"/>
      <c r="AE70" s="73"/>
    </row>
    <row r="71" ht="14.25" customHeight="1">
      <c r="A71" s="25">
        <v>6.0</v>
      </c>
      <c r="B71" s="89" t="s">
        <v>189</v>
      </c>
      <c r="C71" s="44"/>
      <c r="D71" s="27"/>
      <c r="E71" s="90" t="s">
        <v>190</v>
      </c>
      <c r="F71" s="28"/>
      <c r="G71" s="85"/>
      <c r="H71" s="24"/>
      <c r="I71" s="24"/>
      <c r="J71" s="85"/>
      <c r="K71" s="85"/>
      <c r="L71" s="85"/>
      <c r="M71" s="85"/>
      <c r="N71" s="85"/>
      <c r="O71" s="85"/>
      <c r="P71" s="85"/>
      <c r="Q71" s="85"/>
      <c r="R71" s="24">
        <f t="shared" si="19"/>
        <v>0</v>
      </c>
    </row>
    <row r="72" ht="14.25" customHeight="1">
      <c r="A72" s="25">
        <v>7.0</v>
      </c>
      <c r="B72" s="89" t="s">
        <v>191</v>
      </c>
      <c r="C72" s="12"/>
      <c r="D72" s="27"/>
      <c r="E72" s="90" t="s">
        <v>192</v>
      </c>
      <c r="F72" s="28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24">
        <f t="shared" si="19"/>
        <v>0</v>
      </c>
    </row>
    <row r="73" ht="14.25" customHeight="1">
      <c r="A73" s="361">
        <v>8.0</v>
      </c>
      <c r="B73" s="365" t="s">
        <v>557</v>
      </c>
      <c r="C73" s="361" t="s">
        <v>558</v>
      </c>
      <c r="D73" s="27"/>
      <c r="E73" s="366" t="s">
        <v>559</v>
      </c>
      <c r="F73" s="28"/>
      <c r="G73" s="226"/>
      <c r="H73" s="226"/>
      <c r="I73" s="372"/>
      <c r="J73" s="372"/>
      <c r="K73" s="226"/>
      <c r="L73" s="226"/>
      <c r="M73" s="85"/>
      <c r="N73" s="85"/>
      <c r="O73" s="226"/>
      <c r="P73" s="226"/>
      <c r="Q73" s="85"/>
      <c r="R73" s="24">
        <f t="shared" si="19"/>
        <v>0</v>
      </c>
    </row>
    <row r="74" ht="14.25" customHeight="1">
      <c r="A74" s="68" t="s">
        <v>122</v>
      </c>
      <c r="B74" s="2"/>
      <c r="C74" s="2"/>
      <c r="D74" s="2"/>
      <c r="E74" s="3"/>
      <c r="F74" s="93"/>
      <c r="G74" s="85">
        <f t="shared" ref="G74:L74" si="20">SUM(G66:G73)</f>
        <v>0</v>
      </c>
      <c r="H74" s="85">
        <f t="shared" si="20"/>
        <v>0</v>
      </c>
      <c r="I74" s="24">
        <f t="shared" si="20"/>
        <v>0</v>
      </c>
      <c r="J74" s="85">
        <f t="shared" si="20"/>
        <v>0</v>
      </c>
      <c r="K74" s="85">
        <f t="shared" si="20"/>
        <v>0</v>
      </c>
      <c r="L74" s="85">
        <f t="shared" si="20"/>
        <v>0</v>
      </c>
      <c r="M74" s="85"/>
      <c r="N74" s="85">
        <f>SUM(N66:N72)</f>
        <v>0</v>
      </c>
      <c r="O74" s="85">
        <f t="shared" ref="O74:P74" si="21">SUM(O66:O73)</f>
        <v>0</v>
      </c>
      <c r="P74" s="85">
        <f t="shared" si="21"/>
        <v>0</v>
      </c>
      <c r="Q74" s="85"/>
      <c r="R74" s="24">
        <f>SUM(R66:R73)</f>
        <v>0</v>
      </c>
    </row>
    <row r="75" ht="14.25" customHeight="1">
      <c r="A75" s="73"/>
      <c r="B75" s="73"/>
      <c r="C75" s="73"/>
      <c r="D75" s="73"/>
      <c r="E75" s="73"/>
      <c r="F75" s="72"/>
    </row>
    <row r="76" ht="14.25" customHeight="1">
      <c r="A76" s="73"/>
      <c r="B76" s="73"/>
      <c r="C76" s="73"/>
      <c r="D76" s="73"/>
      <c r="E76" s="73"/>
      <c r="F76" s="72"/>
    </row>
    <row r="77" ht="14.25" customHeight="1">
      <c r="A77" s="367" t="s">
        <v>652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3"/>
      <c r="W77" s="20"/>
      <c r="Z77" s="20"/>
    </row>
    <row r="78" ht="14.25" customHeight="1">
      <c r="A78" s="4" t="s">
        <v>220</v>
      </c>
      <c r="B78" s="5"/>
      <c r="C78" s="352">
        <v>46244.0</v>
      </c>
      <c r="D78" s="3"/>
      <c r="E78" s="352">
        <v>46245.0</v>
      </c>
      <c r="F78" s="3"/>
      <c r="G78" s="352">
        <v>46246.0</v>
      </c>
      <c r="H78" s="3"/>
      <c r="I78" s="352">
        <v>46247.0</v>
      </c>
      <c r="J78" s="3"/>
      <c r="K78" s="352">
        <v>46248.0</v>
      </c>
      <c r="L78" s="3"/>
      <c r="M78" s="352">
        <v>46249.0</v>
      </c>
      <c r="N78" s="3"/>
      <c r="O78" s="352">
        <v>46250.0</v>
      </c>
      <c r="P78" s="3"/>
      <c r="Q78" s="352">
        <v>46251.0</v>
      </c>
      <c r="R78" s="3"/>
      <c r="S78" s="368"/>
      <c r="T78" s="11"/>
      <c r="U78" s="369"/>
      <c r="V78" s="3"/>
      <c r="W78" s="20"/>
    </row>
    <row r="79" ht="14.25" customHeight="1">
      <c r="A79" s="10"/>
      <c r="B79" s="11"/>
      <c r="C79" s="13" t="s">
        <v>26</v>
      </c>
      <c r="D79" s="13" t="s">
        <v>197</v>
      </c>
      <c r="E79" s="13" t="s">
        <v>26</v>
      </c>
      <c r="F79" s="13" t="s">
        <v>197</v>
      </c>
      <c r="G79" s="13" t="s">
        <v>26</v>
      </c>
      <c r="H79" s="364" t="s">
        <v>564</v>
      </c>
      <c r="I79" s="13" t="s">
        <v>197</v>
      </c>
      <c r="J79" s="13" t="s">
        <v>26</v>
      </c>
      <c r="K79" s="13" t="s">
        <v>197</v>
      </c>
      <c r="L79" s="13" t="s">
        <v>26</v>
      </c>
      <c r="M79" s="364" t="s">
        <v>26</v>
      </c>
      <c r="N79" s="13" t="s">
        <v>197</v>
      </c>
      <c r="O79" s="13" t="s">
        <v>26</v>
      </c>
      <c r="P79" s="13" t="s">
        <v>197</v>
      </c>
      <c r="Q79" s="13"/>
      <c r="R79" s="13" t="s">
        <v>26</v>
      </c>
      <c r="S79" s="13" t="s">
        <v>197</v>
      </c>
      <c r="T79" s="120" t="s">
        <v>224</v>
      </c>
      <c r="U79" s="120"/>
      <c r="V79" s="104">
        <v>27.0</v>
      </c>
      <c r="W79" s="20"/>
      <c r="Z79" s="20"/>
    </row>
    <row r="80" ht="14.25" customHeight="1">
      <c r="A80" s="25">
        <v>1.0</v>
      </c>
      <c r="B80" s="37" t="s">
        <v>225</v>
      </c>
      <c r="C80" s="376">
        <v>910.0</v>
      </c>
      <c r="D80" s="377" t="s">
        <v>654</v>
      </c>
      <c r="E80" s="355">
        <v>230.0</v>
      </c>
      <c r="F80" s="355" t="s">
        <v>655</v>
      </c>
      <c r="G80" s="355">
        <v>980.0</v>
      </c>
      <c r="H80" s="355" t="s">
        <v>656</v>
      </c>
      <c r="I80" s="355"/>
      <c r="J80" s="355"/>
      <c r="K80" s="355" t="s">
        <v>657</v>
      </c>
      <c r="L80" s="355">
        <v>920.0</v>
      </c>
      <c r="M80" s="355">
        <v>40.0</v>
      </c>
      <c r="N80" s="355" t="s">
        <v>658</v>
      </c>
      <c r="O80" s="355"/>
      <c r="P80" s="27"/>
      <c r="Q80" s="27"/>
      <c r="R80" s="27"/>
      <c r="S80" s="27"/>
      <c r="T80" s="27">
        <f t="shared" ref="T80:T89" si="22">M80+J80+L80+O80+G80+E80+C80</f>
        <v>3080</v>
      </c>
      <c r="U80" s="27"/>
      <c r="V80" s="131"/>
      <c r="W80" s="20"/>
      <c r="Z80" s="20"/>
    </row>
    <row r="81" ht="14.25" customHeight="1">
      <c r="A81" s="25">
        <v>2.0</v>
      </c>
      <c r="B81" s="37" t="s">
        <v>235</v>
      </c>
      <c r="C81" s="355"/>
      <c r="D81" s="355"/>
      <c r="E81" s="27"/>
      <c r="F81" s="27"/>
      <c r="G81" s="355"/>
      <c r="H81" s="355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>
        <f t="shared" si="22"/>
        <v>0</v>
      </c>
      <c r="U81" s="27"/>
      <c r="V81" s="44"/>
      <c r="W81" s="20"/>
      <c r="Z81" s="20"/>
    </row>
    <row r="82" ht="14.25" customHeight="1">
      <c r="A82" s="25">
        <v>3.0</v>
      </c>
      <c r="B82" s="37" t="s">
        <v>241</v>
      </c>
      <c r="C82" s="27"/>
      <c r="D82" s="27"/>
      <c r="E82" s="355">
        <v>3801.29</v>
      </c>
      <c r="F82" s="355" t="s">
        <v>659</v>
      </c>
      <c r="G82" s="355">
        <v>3000.0</v>
      </c>
      <c r="H82" s="355" t="s">
        <v>660</v>
      </c>
      <c r="I82" s="27"/>
      <c r="J82" s="27"/>
      <c r="K82" s="355"/>
      <c r="L82" s="355"/>
      <c r="M82" s="355"/>
      <c r="N82" s="355"/>
      <c r="O82" s="27"/>
      <c r="P82" s="27"/>
      <c r="Q82" s="27"/>
      <c r="R82" s="27"/>
      <c r="S82" s="27"/>
      <c r="T82" s="27">
        <f t="shared" si="22"/>
        <v>6801.29</v>
      </c>
      <c r="U82" s="27"/>
      <c r="V82" s="44"/>
      <c r="W82" s="20"/>
      <c r="Z82" s="20"/>
    </row>
    <row r="83" ht="14.25" customHeight="1">
      <c r="A83" s="25">
        <v>4.0</v>
      </c>
      <c r="B83" s="37" t="s">
        <v>253</v>
      </c>
      <c r="C83" s="355"/>
      <c r="D83" s="355"/>
      <c r="E83" s="355">
        <v>120.0</v>
      </c>
      <c r="F83" s="355" t="s">
        <v>661</v>
      </c>
      <c r="G83" s="355"/>
      <c r="H83" s="355"/>
      <c r="I83" s="355" t="s">
        <v>662</v>
      </c>
      <c r="J83" s="355">
        <v>120.0</v>
      </c>
      <c r="K83" s="355" t="s">
        <v>663</v>
      </c>
      <c r="L83" s="355">
        <v>100.0</v>
      </c>
      <c r="M83" s="27"/>
      <c r="N83" s="27"/>
      <c r="O83" s="27"/>
      <c r="P83" s="27"/>
      <c r="Q83" s="27"/>
      <c r="R83" s="27"/>
      <c r="S83" s="27"/>
      <c r="T83" s="27">
        <f t="shared" si="22"/>
        <v>340</v>
      </c>
      <c r="U83" s="27"/>
      <c r="V83" s="44"/>
      <c r="W83" s="20"/>
      <c r="Z83" s="20"/>
    </row>
    <row r="84" ht="14.25" customHeight="1">
      <c r="A84" s="25">
        <v>5.0</v>
      </c>
      <c r="B84" s="37" t="s">
        <v>257</v>
      </c>
      <c r="C84" s="355"/>
      <c r="D84" s="355"/>
      <c r="E84" s="27"/>
      <c r="F84" s="27"/>
      <c r="G84" s="355">
        <v>200.0</v>
      </c>
      <c r="H84" s="355" t="s">
        <v>664</v>
      </c>
      <c r="I84" s="355"/>
      <c r="J84" s="355"/>
      <c r="K84" s="355"/>
      <c r="L84" s="355"/>
      <c r="M84" s="27"/>
      <c r="N84" s="27"/>
      <c r="O84" s="27"/>
      <c r="P84" s="27"/>
      <c r="Q84" s="27"/>
      <c r="R84" s="27"/>
      <c r="S84" s="27"/>
      <c r="T84" s="27">
        <f t="shared" si="22"/>
        <v>200</v>
      </c>
      <c r="U84" s="27"/>
      <c r="V84" s="44"/>
      <c r="W84" s="20"/>
      <c r="Z84" s="20"/>
    </row>
    <row r="85" ht="14.25" customHeight="1">
      <c r="A85" s="25">
        <v>6.0</v>
      </c>
      <c r="B85" s="405" t="s">
        <v>665</v>
      </c>
      <c r="C85" s="27"/>
      <c r="D85" s="27"/>
      <c r="E85" s="27"/>
      <c r="F85" s="27"/>
      <c r="G85" s="355">
        <v>300.0</v>
      </c>
      <c r="H85" s="355" t="s">
        <v>666</v>
      </c>
      <c r="I85" s="27"/>
      <c r="J85" s="27"/>
      <c r="K85" s="355" t="s">
        <v>667</v>
      </c>
      <c r="L85" s="355">
        <v>260.0</v>
      </c>
      <c r="M85" s="27"/>
      <c r="N85" s="27"/>
      <c r="O85" s="27"/>
      <c r="P85" s="27"/>
      <c r="Q85" s="27"/>
      <c r="R85" s="27"/>
      <c r="S85" s="27"/>
      <c r="T85" s="27">
        <f t="shared" si="22"/>
        <v>560</v>
      </c>
      <c r="U85" s="27"/>
      <c r="V85" s="44"/>
      <c r="W85" s="20"/>
      <c r="Z85" s="20"/>
    </row>
    <row r="86" ht="14.25" customHeight="1">
      <c r="A86" s="25">
        <v>7.0</v>
      </c>
      <c r="B86" s="139" t="s">
        <v>273</v>
      </c>
      <c r="C86" s="355">
        <v>800.48</v>
      </c>
      <c r="D86" s="355" t="s">
        <v>668</v>
      </c>
      <c r="E86" s="355"/>
      <c r="F86" s="355"/>
      <c r="G86" s="355">
        <v>800.0</v>
      </c>
      <c r="H86" s="355" t="s">
        <v>669</v>
      </c>
      <c r="I86" s="355"/>
      <c r="J86" s="355"/>
      <c r="K86" s="355" t="s">
        <v>670</v>
      </c>
      <c r="L86" s="355">
        <v>800.0</v>
      </c>
      <c r="M86" s="355">
        <v>500.0</v>
      </c>
      <c r="N86" s="355" t="s">
        <v>671</v>
      </c>
      <c r="O86" s="355"/>
      <c r="P86" s="27"/>
      <c r="Q86" s="27"/>
      <c r="R86" s="27"/>
      <c r="S86" s="27"/>
      <c r="T86" s="27">
        <f t="shared" si="22"/>
        <v>2900.48</v>
      </c>
      <c r="U86" s="27"/>
      <c r="V86" s="44"/>
      <c r="W86" s="20"/>
      <c r="Z86" s="20"/>
    </row>
    <row r="87" ht="14.25" customHeight="1">
      <c r="A87" s="25">
        <v>8.0</v>
      </c>
      <c r="B87" s="406" t="s">
        <v>672</v>
      </c>
      <c r="C87" s="355"/>
      <c r="D87" s="355"/>
      <c r="E87" s="355">
        <v>200.0</v>
      </c>
      <c r="F87" s="355" t="s">
        <v>673</v>
      </c>
      <c r="G87" s="355"/>
      <c r="H87" s="355"/>
      <c r="I87" s="355"/>
      <c r="J87" s="355"/>
      <c r="K87" s="355"/>
      <c r="L87" s="355"/>
      <c r="M87" s="27"/>
      <c r="N87" s="27"/>
      <c r="O87" s="27"/>
      <c r="P87" s="27"/>
      <c r="Q87" s="27"/>
      <c r="R87" s="27"/>
      <c r="S87" s="27"/>
      <c r="T87" s="27">
        <f t="shared" si="22"/>
        <v>200</v>
      </c>
      <c r="U87" s="27"/>
      <c r="V87" s="44"/>
      <c r="W87" s="20"/>
      <c r="Z87" s="20"/>
    </row>
    <row r="88" ht="14.25" customHeight="1">
      <c r="A88" s="25">
        <v>9.0</v>
      </c>
      <c r="B88" s="139" t="s">
        <v>295</v>
      </c>
      <c r="C88" s="73"/>
      <c r="D88" s="27"/>
      <c r="E88" s="27"/>
      <c r="F88" s="27"/>
      <c r="G88" s="27"/>
      <c r="H88" s="27"/>
      <c r="I88" s="27"/>
      <c r="J88" s="27"/>
      <c r="K88" s="159"/>
      <c r="L88" s="159"/>
      <c r="M88" s="27"/>
      <c r="N88" s="27"/>
      <c r="O88" s="27"/>
      <c r="P88" s="27"/>
      <c r="Q88" s="27"/>
      <c r="R88" s="27"/>
      <c r="S88" s="27"/>
      <c r="T88" s="27">
        <f t="shared" si="22"/>
        <v>0</v>
      </c>
      <c r="U88" s="27"/>
      <c r="V88" s="44"/>
      <c r="W88" s="20"/>
      <c r="Z88" s="20"/>
    </row>
    <row r="89" ht="14.25" customHeight="1">
      <c r="A89" s="25">
        <v>10.0</v>
      </c>
      <c r="B89" s="139" t="s">
        <v>300</v>
      </c>
      <c r="C89" s="407">
        <v>430.0</v>
      </c>
      <c r="D89" s="355" t="s">
        <v>674</v>
      </c>
      <c r="E89" s="355"/>
      <c r="F89" s="355"/>
      <c r="G89" s="407">
        <v>60.0</v>
      </c>
      <c r="H89" s="355" t="s">
        <v>675</v>
      </c>
      <c r="I89" s="355"/>
      <c r="J89" s="355"/>
      <c r="K89" s="355"/>
      <c r="L89" s="355"/>
      <c r="M89" s="355">
        <v>415.0</v>
      </c>
      <c r="N89" s="355" t="s">
        <v>676</v>
      </c>
      <c r="O89" s="355"/>
      <c r="P89" s="27"/>
      <c r="Q89" s="27"/>
      <c r="R89" s="27"/>
      <c r="S89" s="27"/>
      <c r="T89" s="27">
        <f t="shared" si="22"/>
        <v>905</v>
      </c>
      <c r="U89" s="27"/>
      <c r="V89" s="12"/>
      <c r="W89" s="20"/>
      <c r="Z89" s="20"/>
    </row>
    <row r="90" ht="14.25" customHeight="1">
      <c r="A90" s="150" t="s">
        <v>122</v>
      </c>
      <c r="B90" s="5"/>
      <c r="C90" s="151">
        <f>SUM(C80:C89)</f>
        <v>2140.48</v>
      </c>
      <c r="D90" s="151"/>
      <c r="E90" s="151">
        <f>SUM(E80:E89)</f>
        <v>4351.29</v>
      </c>
      <c r="F90" s="151"/>
      <c r="G90" s="151">
        <f>SUM(G80:G89)</f>
        <v>5340</v>
      </c>
      <c r="H90" s="151"/>
      <c r="I90" s="151"/>
      <c r="J90" s="151">
        <f>SUM(J80:J89)</f>
        <v>120</v>
      </c>
      <c r="K90" s="151"/>
      <c r="L90" s="151">
        <f t="shared" ref="L90:M90" si="23">SUM(L80:L89)</f>
        <v>2080</v>
      </c>
      <c r="M90" s="151">
        <f t="shared" si="23"/>
        <v>955</v>
      </c>
      <c r="N90" s="151"/>
      <c r="O90" s="151">
        <f>SUM(O80:O89)</f>
        <v>0</v>
      </c>
      <c r="P90" s="151"/>
      <c r="Q90" s="151"/>
      <c r="R90" s="151">
        <f>SUM(R80:R89)</f>
        <v>0</v>
      </c>
      <c r="S90" s="151"/>
      <c r="T90" s="135">
        <f>SUM(T80:T89)</f>
        <v>14986.77</v>
      </c>
      <c r="U90" s="135"/>
      <c r="V90" s="158">
        <f>T90*V79</f>
        <v>404642.79</v>
      </c>
      <c r="W90" s="20"/>
      <c r="Z90" s="20"/>
    </row>
    <row r="91" ht="14.25" customHeight="1">
      <c r="A91" s="10"/>
      <c r="B91" s="11"/>
      <c r="C91" s="86">
        <f>C90*27</f>
        <v>57792.96</v>
      </c>
      <c r="D91" s="371">
        <v>57793.06</v>
      </c>
      <c r="E91" s="86">
        <f>E90*27</f>
        <v>117484.83</v>
      </c>
      <c r="F91" s="371">
        <v>117485.36</v>
      </c>
      <c r="G91" s="86">
        <f>G90*27</f>
        <v>144180</v>
      </c>
      <c r="H91" s="371">
        <v>144180.64</v>
      </c>
      <c r="I91" s="371">
        <v>3240.0</v>
      </c>
      <c r="J91" s="86">
        <f>J90*27</f>
        <v>3240</v>
      </c>
      <c r="K91" s="371">
        <v>56160.36</v>
      </c>
      <c r="L91" s="86">
        <f>L90*27</f>
        <v>56160</v>
      </c>
      <c r="M91" s="86">
        <f>M90*27</f>
        <v>25785</v>
      </c>
      <c r="N91" s="371">
        <v>25785.2</v>
      </c>
      <c r="O91" s="86">
        <f>O90*27</f>
        <v>0</v>
      </c>
      <c r="P91" s="41"/>
      <c r="Q91" s="41"/>
      <c r="R91" s="86">
        <f>R90*27</f>
        <v>0</v>
      </c>
      <c r="S91" s="136"/>
      <c r="T91" s="24">
        <f>M91+J91+L91+O91+G91+E91+C91</f>
        <v>404642.79</v>
      </c>
      <c r="U91" s="24"/>
      <c r="V91" s="85"/>
      <c r="W91" s="20"/>
      <c r="Z91" s="20"/>
    </row>
    <row r="92" ht="14.25" customHeight="1"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158"/>
      <c r="S92" s="164" t="s">
        <v>314</v>
      </c>
      <c r="T92" s="47">
        <f>N91+K91+I91+H91+F91+D91</f>
        <v>404644.62</v>
      </c>
      <c r="U92" s="47"/>
      <c r="V92" s="85"/>
      <c r="W92" s="20"/>
      <c r="Z92" s="20"/>
    </row>
    <row r="93" ht="14.25" customHeight="1">
      <c r="A93" s="73"/>
      <c r="B93" s="73"/>
      <c r="C93" s="73"/>
      <c r="D93" s="73"/>
      <c r="E93" s="73"/>
      <c r="F93" s="72"/>
      <c r="W93" s="20"/>
      <c r="Z93" s="20"/>
    </row>
    <row r="94" ht="14.25" customHeight="1">
      <c r="A94" s="73"/>
      <c r="B94" s="73"/>
      <c r="C94" s="73"/>
      <c r="D94" s="73"/>
      <c r="E94" s="73"/>
      <c r="F94" s="72"/>
      <c r="W94" s="20"/>
      <c r="Z94" s="20"/>
    </row>
    <row r="95" ht="14.25" customHeight="1">
      <c r="A95" s="73"/>
      <c r="B95" s="73"/>
      <c r="C95" s="73"/>
      <c r="D95" s="73"/>
      <c r="E95" s="73"/>
      <c r="F95" s="72"/>
      <c r="W95" s="20"/>
      <c r="Z95" s="20"/>
    </row>
    <row r="96" ht="14.25" customHeight="1">
      <c r="A96" s="73"/>
      <c r="B96" s="373" t="s">
        <v>677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3"/>
      <c r="W96" s="20"/>
      <c r="Z96" s="20"/>
    </row>
    <row r="97" ht="14.25" customHeight="1">
      <c r="A97" s="73"/>
      <c r="B97" s="374">
        <v>46244.0</v>
      </c>
      <c r="C97" s="5"/>
      <c r="D97" s="374">
        <v>46245.0</v>
      </c>
      <c r="E97" s="5"/>
      <c r="F97" s="374">
        <v>46246.0</v>
      </c>
      <c r="G97" s="5"/>
      <c r="H97" s="374">
        <v>46247.0</v>
      </c>
      <c r="I97" s="5"/>
      <c r="J97" s="374">
        <v>46248.0</v>
      </c>
      <c r="K97" s="5"/>
      <c r="L97" s="374">
        <v>46249.0</v>
      </c>
      <c r="M97" s="5"/>
      <c r="N97" s="375" t="s">
        <v>597</v>
      </c>
      <c r="O97" s="5"/>
      <c r="P97" s="170"/>
      <c r="Q97" s="5"/>
      <c r="S97" s="84"/>
      <c r="W97" s="20"/>
      <c r="Z97" s="20"/>
    </row>
    <row r="98" ht="14.25" customHeight="1">
      <c r="A98" s="73"/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S98" s="44"/>
      <c r="W98" s="20"/>
      <c r="Z98" s="20"/>
    </row>
    <row r="99" ht="14.25" customHeight="1">
      <c r="A99" s="73"/>
      <c r="B99" s="178" t="s">
        <v>322</v>
      </c>
      <c r="C99" s="178" t="s">
        <v>332</v>
      </c>
      <c r="D99" s="178" t="s">
        <v>322</v>
      </c>
      <c r="E99" s="178" t="s">
        <v>332</v>
      </c>
      <c r="F99" s="178" t="s">
        <v>322</v>
      </c>
      <c r="G99" s="178" t="s">
        <v>332</v>
      </c>
      <c r="H99" s="378" t="s">
        <v>322</v>
      </c>
      <c r="I99" s="378" t="s">
        <v>332</v>
      </c>
      <c r="J99" s="178" t="s">
        <v>332</v>
      </c>
      <c r="K99" s="178" t="s">
        <v>322</v>
      </c>
      <c r="L99" s="178" t="s">
        <v>332</v>
      </c>
      <c r="M99" s="178"/>
      <c r="P99" s="178"/>
      <c r="Q99" s="178"/>
      <c r="R99" s="178"/>
      <c r="S99" s="44"/>
    </row>
    <row r="100" ht="14.25" customHeight="1">
      <c r="A100" s="73"/>
      <c r="B100" s="353">
        <v>2669.44</v>
      </c>
      <c r="C100" s="380" t="s">
        <v>584</v>
      </c>
      <c r="D100" s="353">
        <v>300.0</v>
      </c>
      <c r="E100" s="398" t="s">
        <v>595</v>
      </c>
      <c r="F100" s="353">
        <v>800.0</v>
      </c>
      <c r="G100" s="353" t="s">
        <v>604</v>
      </c>
      <c r="H100" s="381">
        <v>500.0</v>
      </c>
      <c r="I100" s="353" t="s">
        <v>620</v>
      </c>
      <c r="J100" s="382" t="s">
        <v>678</v>
      </c>
      <c r="K100" s="353">
        <v>500.0</v>
      </c>
      <c r="L100" s="353" t="s">
        <v>679</v>
      </c>
      <c r="M100" s="353">
        <v>500.0</v>
      </c>
      <c r="P100" s="85"/>
      <c r="Q100" s="85"/>
      <c r="R100" s="85"/>
      <c r="S100" s="44"/>
    </row>
    <row r="101" ht="14.25" customHeight="1">
      <c r="A101" s="73"/>
      <c r="B101" s="353"/>
      <c r="C101" s="380"/>
      <c r="D101" s="353">
        <v>1500.0</v>
      </c>
      <c r="E101" s="398" t="s">
        <v>619</v>
      </c>
      <c r="F101" s="353"/>
      <c r="G101" s="353"/>
      <c r="H101" s="381">
        <v>700.0</v>
      </c>
      <c r="I101" s="226" t="s">
        <v>680</v>
      </c>
      <c r="J101" s="226" t="s">
        <v>681</v>
      </c>
      <c r="K101" s="353">
        <v>300.0</v>
      </c>
      <c r="L101" s="24"/>
      <c r="M101" s="24"/>
      <c r="P101" s="85"/>
      <c r="Q101" s="85"/>
      <c r="R101" s="85"/>
      <c r="S101" s="44"/>
    </row>
    <row r="102" ht="14.25" customHeight="1">
      <c r="A102" s="73"/>
      <c r="B102" s="353"/>
      <c r="C102" s="353"/>
      <c r="D102" s="24"/>
      <c r="E102" s="132"/>
      <c r="F102" s="24"/>
      <c r="G102" s="24"/>
      <c r="H102" s="381">
        <v>1330.0</v>
      </c>
      <c r="I102" s="226" t="s">
        <v>682</v>
      </c>
      <c r="J102" s="85"/>
      <c r="K102" s="85"/>
      <c r="L102" s="85"/>
      <c r="M102" s="85"/>
      <c r="P102" s="85"/>
      <c r="Q102" s="85"/>
      <c r="R102" s="85"/>
      <c r="S102" s="44"/>
    </row>
    <row r="103" ht="14.25" customHeight="1">
      <c r="A103" s="73"/>
      <c r="B103" s="85"/>
      <c r="C103" s="85"/>
      <c r="D103" s="85"/>
      <c r="E103" s="85"/>
      <c r="F103" s="24"/>
      <c r="G103" s="24"/>
      <c r="H103" s="381"/>
      <c r="I103" s="226"/>
      <c r="J103" s="85"/>
      <c r="K103" s="85"/>
      <c r="L103" s="85"/>
      <c r="M103" s="85"/>
      <c r="P103" s="85"/>
      <c r="Q103" s="85"/>
      <c r="R103" s="85"/>
      <c r="S103" s="12"/>
    </row>
    <row r="104" ht="14.25" customHeight="1">
      <c r="A104" s="73"/>
      <c r="B104" s="191">
        <f>SUM(B100:B103)</f>
        <v>2669.44</v>
      </c>
      <c r="C104" s="193"/>
      <c r="D104" s="191">
        <f>SUM(D100:D103)</f>
        <v>1800</v>
      </c>
      <c r="E104" s="193"/>
      <c r="F104" s="191">
        <f>SUM(F100:F103)</f>
        <v>800</v>
      </c>
      <c r="G104" s="193"/>
      <c r="H104" s="191">
        <f>SUM(H100:H103)</f>
        <v>2530</v>
      </c>
      <c r="I104" s="191"/>
      <c r="J104" s="193"/>
      <c r="K104" s="191">
        <f>SUM(K100:K103)</f>
        <v>800</v>
      </c>
      <c r="L104" s="193"/>
      <c r="M104" s="191">
        <f>SUM(M100:M103)</f>
        <v>500</v>
      </c>
      <c r="N104" s="384">
        <f>SUM(B104:M104)</f>
        <v>9099.44</v>
      </c>
      <c r="O104" s="3"/>
      <c r="P104" s="201"/>
      <c r="Q104" s="201"/>
      <c r="R104" s="201"/>
      <c r="S104" s="158"/>
    </row>
    <row r="105" ht="14.25" customHeight="1">
      <c r="A105" s="73"/>
      <c r="B105" s="73"/>
      <c r="C105" s="73"/>
      <c r="D105" s="73"/>
      <c r="E105" s="73"/>
      <c r="F105" s="72"/>
    </row>
    <row r="106" ht="14.25" customHeight="1">
      <c r="A106" s="73"/>
      <c r="B106" s="73"/>
      <c r="C106" s="73"/>
      <c r="D106" s="73"/>
      <c r="E106" s="73"/>
      <c r="F106" s="72"/>
    </row>
    <row r="107" ht="14.25" customHeight="1">
      <c r="A107" s="73"/>
      <c r="B107" s="73"/>
      <c r="C107" s="73"/>
      <c r="D107" s="73"/>
      <c r="E107" s="73"/>
      <c r="F107" s="72"/>
      <c r="W107" s="20"/>
    </row>
    <row r="108" ht="14.25" customHeight="1">
      <c r="A108" s="73"/>
      <c r="B108" s="73"/>
      <c r="C108" s="73"/>
      <c r="D108" s="73"/>
      <c r="E108" s="73"/>
      <c r="F108" s="72"/>
      <c r="W108" s="20"/>
    </row>
    <row r="109" ht="14.25" customHeight="1">
      <c r="A109" s="73"/>
      <c r="B109" s="385" t="s">
        <v>683</v>
      </c>
      <c r="C109" s="2"/>
      <c r="D109" s="2"/>
      <c r="E109" s="2"/>
      <c r="F109" s="3"/>
    </row>
    <row r="110" ht="14.25" customHeight="1">
      <c r="A110" s="73"/>
      <c r="B110" s="167" t="s">
        <v>317</v>
      </c>
      <c r="C110" s="165"/>
      <c r="D110" s="2"/>
      <c r="E110" s="2"/>
      <c r="F110" s="3"/>
    </row>
    <row r="111" ht="42.75" customHeight="1">
      <c r="A111" s="73"/>
      <c r="B111" s="400" t="s">
        <v>684</v>
      </c>
      <c r="C111" s="161">
        <f>G60+K60+O60+S60+W60+AA60</f>
        <v>47540.83</v>
      </c>
      <c r="D111" s="132"/>
      <c r="E111" s="132"/>
      <c r="F111" s="28"/>
      <c r="G111" s="72"/>
      <c r="L111" s="73"/>
      <c r="M111" s="73"/>
      <c r="N111" s="73"/>
    </row>
    <row r="112" ht="42.75" customHeight="1">
      <c r="A112" s="73"/>
      <c r="B112" s="12"/>
      <c r="C112" s="12"/>
      <c r="D112" s="132"/>
      <c r="E112" s="132"/>
      <c r="F112" s="28"/>
      <c r="G112" s="72"/>
      <c r="H112" s="386"/>
      <c r="I112" s="387" t="s">
        <v>634</v>
      </c>
      <c r="J112" s="3"/>
      <c r="L112" s="185" t="s">
        <v>337</v>
      </c>
      <c r="M112" s="2"/>
      <c r="N112" s="2"/>
      <c r="O112" s="3"/>
    </row>
    <row r="113" ht="14.25" customHeight="1">
      <c r="A113" s="73"/>
      <c r="B113" s="174" t="s">
        <v>339</v>
      </c>
      <c r="C113" s="175"/>
      <c r="D113" s="140"/>
      <c r="E113" s="57"/>
      <c r="F113" s="28"/>
      <c r="H113" s="388"/>
      <c r="I113" s="194" t="s">
        <v>344</v>
      </c>
      <c r="J113" s="197">
        <f>C119+C120</f>
        <v>413744.06</v>
      </c>
      <c r="L113" s="132" t="s">
        <v>350</v>
      </c>
      <c r="M113" s="132"/>
      <c r="N113" s="202">
        <f>C120+C121</f>
        <v>404644.62</v>
      </c>
      <c r="O113" s="132"/>
      <c r="AB113" s="73"/>
      <c r="AC113" s="73"/>
    </row>
    <row r="114" ht="15.0" customHeight="1">
      <c r="A114" s="73"/>
      <c r="B114" s="192" t="s">
        <v>326</v>
      </c>
      <c r="C114" s="148"/>
      <c r="D114" s="148"/>
      <c r="E114" s="5"/>
      <c r="F114" s="196">
        <f>C113+C111</f>
        <v>47540.83</v>
      </c>
      <c r="H114" s="389"/>
      <c r="I114" s="390" t="s">
        <v>92</v>
      </c>
      <c r="J114" s="391">
        <v>54000.22</v>
      </c>
      <c r="L114" s="53" t="s">
        <v>354</v>
      </c>
      <c r="M114" s="53"/>
      <c r="N114" s="24" t="str">
        <f>#REF!+N113</f>
        <v>#REF!</v>
      </c>
      <c r="O114" s="85"/>
      <c r="AB114" s="73"/>
      <c r="AC114" s="73"/>
    </row>
    <row r="115" ht="15.0" customHeight="1">
      <c r="A115" s="73"/>
      <c r="B115" s="10"/>
      <c r="C115" s="156"/>
      <c r="D115" s="156"/>
      <c r="E115" s="11"/>
      <c r="F115" s="12"/>
      <c r="H115" s="389"/>
      <c r="I115" s="208" t="s">
        <v>210</v>
      </c>
      <c r="J115" s="200">
        <f>SUM(J113:J114)</f>
        <v>467744.28</v>
      </c>
      <c r="L115" s="73"/>
      <c r="M115" s="73"/>
      <c r="N115" s="73"/>
      <c r="AB115" s="73"/>
      <c r="AC115" s="73"/>
    </row>
    <row r="116" ht="14.25" customHeight="1">
      <c r="A116" s="73"/>
      <c r="B116" s="73"/>
      <c r="C116" s="73"/>
      <c r="D116" s="73"/>
      <c r="E116" s="73"/>
      <c r="F116" s="72"/>
      <c r="I116" s="12"/>
      <c r="J116" s="12"/>
      <c r="L116" s="73"/>
      <c r="M116" s="73"/>
      <c r="N116" s="73"/>
      <c r="AB116" s="73"/>
      <c r="AC116" s="73"/>
    </row>
    <row r="117" ht="14.25" customHeight="1">
      <c r="A117" s="73"/>
      <c r="B117" s="392" t="s">
        <v>685</v>
      </c>
      <c r="C117" s="2"/>
      <c r="D117" s="2"/>
      <c r="E117" s="2"/>
      <c r="F117" s="3"/>
      <c r="J117" s="20"/>
      <c r="L117" s="73"/>
      <c r="M117" s="73"/>
      <c r="N117" s="73"/>
      <c r="AB117" s="73"/>
      <c r="AC117" s="73"/>
    </row>
    <row r="118" ht="14.25" customHeight="1">
      <c r="A118" s="73"/>
      <c r="B118" s="199" t="s">
        <v>347</v>
      </c>
      <c r="C118" s="199" t="s">
        <v>322</v>
      </c>
      <c r="D118" s="195" t="s">
        <v>362</v>
      </c>
      <c r="E118" s="2"/>
      <c r="F118" s="3"/>
      <c r="J118" s="20"/>
      <c r="AB118" s="73"/>
      <c r="AC118" s="73"/>
    </row>
    <row r="119" ht="14.25" customHeight="1">
      <c r="A119" s="73"/>
      <c r="B119" s="393" t="s">
        <v>686</v>
      </c>
      <c r="C119" s="175">
        <f>N104</f>
        <v>9099.44</v>
      </c>
      <c r="D119" s="394" t="str">
        <f>TEXTJOIN(",",true,C100:C103,E100:E103,G100:G103,I100:I103,J100:J103,L100:L103)</f>
        <v>A10829,A10853,A10854,A10856,A10874,A10881,A10882,A10928,A10929,A10943</v>
      </c>
      <c r="E119" s="394" t="str">
        <f t="shared" ref="E119:E121" si="24">IF(D119="", "0 FACTURAS", (LEN(D119) - LEN(SUBSTITUTE(D119, ",", "")) + 1) &amp; " FACTURAS")</f>
        <v>10 FACTURAS</v>
      </c>
      <c r="F119" s="28"/>
    </row>
    <row r="120" ht="117.0" customHeight="1">
      <c r="A120" s="73"/>
      <c r="B120" s="395" t="s">
        <v>687</v>
      </c>
      <c r="C120" s="358">
        <f>T92</f>
        <v>404644.62</v>
      </c>
      <c r="D120" s="396" t="str">
        <f>TEXTJOIN(",",true,D80:D89,F80:F89,H80:H89,I80:I89,K80:K89,N80:N89)</f>
        <v>A10826,A10825,A10832,A10843,A10841,A10849,A10844,A10842,A10861, A10864,A10855,A10858,A10863,A10860,A10859,A10875,A10930,A10933,A10932,A10927,A10941,A10940,A10944,A10945</v>
      </c>
      <c r="E120" s="394" t="str">
        <f t="shared" si="24"/>
        <v>24 FACTURAS</v>
      </c>
      <c r="F120" s="28"/>
    </row>
    <row r="121" ht="14.25" customHeight="1">
      <c r="A121" s="73"/>
      <c r="B121" s="397" t="s">
        <v>327</v>
      </c>
      <c r="C121" s="175">
        <f>R74</f>
        <v>0</v>
      </c>
      <c r="D121" s="376" t="str">
        <f>TEXTJOIN(",",TRUE,G66:G73,I66:I73,K66:K73,M66:M73,O66:O73)</f>
        <v/>
      </c>
      <c r="E121" s="394" t="str">
        <f t="shared" si="24"/>
        <v>0 FACTURAS</v>
      </c>
      <c r="F121" s="28"/>
      <c r="L121" s="217"/>
      <c r="M121" s="217"/>
      <c r="AB121" s="215"/>
      <c r="AC121" s="215"/>
    </row>
    <row r="122" ht="14.25" customHeight="1">
      <c r="A122" s="73"/>
      <c r="B122" s="232" t="s">
        <v>326</v>
      </c>
      <c r="C122" s="190">
        <f>C119+C120+C121</f>
        <v>413744.06</v>
      </c>
      <c r="D122" s="209"/>
      <c r="E122" s="3"/>
      <c r="F122" s="28"/>
      <c r="L122" s="217"/>
      <c r="M122" s="217"/>
      <c r="AB122" s="215"/>
      <c r="AC122" s="215"/>
    </row>
    <row r="123" ht="14.25" customHeight="1">
      <c r="A123" s="73"/>
      <c r="B123" s="73"/>
      <c r="C123" s="73"/>
      <c r="D123" s="73"/>
      <c r="E123" s="73"/>
      <c r="F123" s="72"/>
    </row>
    <row r="124" ht="14.25" customHeight="1">
      <c r="A124" s="73"/>
      <c r="B124" s="73"/>
      <c r="C124" s="73"/>
      <c r="D124" s="73"/>
      <c r="E124" s="73"/>
      <c r="F124" s="72"/>
    </row>
    <row r="125" ht="14.25" customHeight="1">
      <c r="A125" s="73"/>
      <c r="B125" s="73"/>
      <c r="C125" s="73"/>
      <c r="D125" s="73"/>
      <c r="E125" s="73"/>
      <c r="F125" s="72"/>
    </row>
    <row r="126" ht="14.25" customHeight="1">
      <c r="A126" s="73"/>
      <c r="B126" s="401" t="s">
        <v>688</v>
      </c>
      <c r="C126" s="78"/>
      <c r="D126" s="78"/>
      <c r="E126" s="78"/>
      <c r="F126" s="78"/>
      <c r="G126" s="78"/>
      <c r="H126" s="78"/>
      <c r="I126" s="79"/>
    </row>
    <row r="127" ht="14.25" customHeight="1">
      <c r="A127" s="73"/>
      <c r="B127" s="251" t="s">
        <v>402</v>
      </c>
      <c r="C127" s="251" t="s">
        <v>3</v>
      </c>
      <c r="D127" s="251" t="s">
        <v>403</v>
      </c>
      <c r="E127" s="252" t="s">
        <v>404</v>
      </c>
      <c r="F127" s="251" t="s">
        <v>405</v>
      </c>
      <c r="G127" s="251" t="s">
        <v>8</v>
      </c>
      <c r="H127" s="251"/>
      <c r="I127" s="251" t="s">
        <v>406</v>
      </c>
    </row>
    <row r="128" ht="14.25" customHeight="1">
      <c r="A128" s="73"/>
      <c r="B128" s="359" t="str">
        <f>IFERROR(__xludf.DUMMYFUNCTION("IFERROR(FILTER({B3:F43, AF3:AF43, AE3:AE43; B51:F102, AF51:AF102, AE51:AE102}, {AE3:AE43; AE51:AE102} &lt; 0), ""Sin excedidos"")"),"JUAN CARLOS NAZAR CHAVEZ")</f>
        <v>JUAN CARLOS NAZAR CHAVEZ</v>
      </c>
      <c r="C128" s="140" t="str">
        <f>IFERROR(__xludf.DUMMYFUNCTION("""COMPUTED_VALUE"""),"MAQUINARIA ")</f>
        <v>MAQUINARIA </v>
      </c>
      <c r="D128" s="140" t="str">
        <f>IFERROR(__xludf.DUMMYFUNCTION("""COMPUTED_VALUE"""),"DODGE RAM 700")</f>
        <v>DODGE RAM 700</v>
      </c>
      <c r="E128" s="140" t="str">
        <f>IFERROR(__xludf.DUMMYFUNCTION("""COMPUTED_VALUE"""),"PCW9238")</f>
        <v>PCW9238</v>
      </c>
      <c r="F128" s="54">
        <f>IFERROR(__xludf.DUMMYFUNCTION("""COMPUTED_VALUE"""),1500.0)</f>
        <v>1500</v>
      </c>
      <c r="G128" s="256">
        <f>IFERROR(__xludf.DUMMYFUNCTION("""COMPUTED_VALUE"""),2037.58)</f>
        <v>2037.58</v>
      </c>
      <c r="H128" s="257">
        <f>IFERROR(__xludf.DUMMYFUNCTION("""COMPUTED_VALUE"""),-537.5799999999999)</f>
        <v>-537.58</v>
      </c>
    </row>
    <row r="129" ht="14.25" customHeight="1">
      <c r="A129" s="73"/>
      <c r="B129" s="359" t="str">
        <f>IFERROR(__xludf.DUMMYFUNCTION("""COMPUTED_VALUE"""),"DIEGO CARREOLA")</f>
        <v>DIEGO CARREOLA</v>
      </c>
      <c r="C129" s="140" t="str">
        <f>IFERROR(__xludf.DUMMYFUNCTION("""COMPUTED_VALUE"""),"BACHEO TOLUCA Y C. VICENTE LOMBARDO")</f>
        <v>BACHEO TOLUCA Y C. VICENTE LOMBARDO</v>
      </c>
      <c r="D129" s="140" t="str">
        <f>IFERROR(__xludf.DUMMYFUNCTION("""COMPUTED_VALUE""")," MITSUBISHI L1200")</f>
        <v> MITSUBISHI L1200</v>
      </c>
      <c r="E129" s="140" t="str">
        <f>IFERROR(__xludf.DUMMYFUNCTION("""COMPUTED_VALUE"""),"NYZ829C")</f>
        <v>NYZ829C</v>
      </c>
      <c r="F129" s="54">
        <f>IFERROR(__xludf.DUMMYFUNCTION("""COMPUTED_VALUE"""),1500.0)</f>
        <v>1500</v>
      </c>
      <c r="G129" s="256">
        <f>IFERROR(__xludf.DUMMYFUNCTION("""COMPUTED_VALUE"""),1984.53)</f>
        <v>1984.53</v>
      </c>
      <c r="H129" s="257">
        <f>IFERROR(__xludf.DUMMYFUNCTION("""COMPUTED_VALUE"""),-484.53)</f>
        <v>-484.53</v>
      </c>
      <c r="I129" s="399"/>
    </row>
    <row r="130" ht="14.25" customHeight="1">
      <c r="A130" s="73"/>
      <c r="B130" s="359" t="str">
        <f>IFERROR(__xludf.DUMMYFUNCTION("""COMPUTED_VALUE"""),"TOMAS ARANDA PROSPERO")</f>
        <v>TOMAS ARANDA PROSPERO</v>
      </c>
      <c r="C130" s="140" t="str">
        <f>IFERROR(__xludf.DUMMYFUNCTION("""COMPUTED_VALUE"""),"BACHEO TOLUCA Y C. VICENTE LOMBARDO")</f>
        <v>BACHEO TOLUCA Y C. VICENTE LOMBARDO</v>
      </c>
      <c r="D130" s="140" t="str">
        <f>IFERROR(__xludf.DUMMYFUNCTION("""COMPUTED_VALUE"""),"DODGE RAM 4000 (3/2)")</f>
        <v>DODGE RAM 4000 (3/2)</v>
      </c>
      <c r="E130" s="140" t="str">
        <f>IFERROR(__xludf.DUMMYFUNCTION("""COMPUTED_VALUE"""),"LF05470")</f>
        <v>LF05470</v>
      </c>
      <c r="F130" s="54">
        <f>IFERROR(__xludf.DUMMYFUNCTION("""COMPUTED_VALUE"""),1500.0)</f>
        <v>1500</v>
      </c>
      <c r="G130" s="256">
        <f>IFERROR(__xludf.DUMMYFUNCTION("""COMPUTED_VALUE"""),3000.0)</f>
        <v>3000</v>
      </c>
      <c r="H130" s="257">
        <f>IFERROR(__xludf.DUMMYFUNCTION("""COMPUTED_VALUE"""),-1500.0)</f>
        <v>-1500</v>
      </c>
      <c r="I130" s="257"/>
    </row>
    <row r="131" ht="15.0" customHeight="1">
      <c r="A131" s="73"/>
      <c r="B131" s="360" t="str">
        <f>IFERROR(__xludf.DUMMYFUNCTION("""COMPUTED_VALUE"""),"JAVIER PEREZ DÍAZ")</f>
        <v>JAVIER PEREZ DÍAZ</v>
      </c>
      <c r="C131" s="27" t="str">
        <f>IFERROR(__xludf.DUMMYFUNCTION("""COMPUTED_VALUE"""),"OBRA MÉXICO TOLUCA")</f>
        <v>OBRA MÉXICO TOLUCA</v>
      </c>
      <c r="D131" s="27" t="str">
        <f>IFERROR(__xludf.DUMMYFUNCTION("""COMPUTED_VALUE"""),"MITSUBISHI 1200")</f>
        <v>MITSUBISHI 1200</v>
      </c>
      <c r="E131" s="27" t="str">
        <f>IFERROR(__xludf.DUMMYFUNCTION("""COMPUTED_VALUE"""),"MHL758A")</f>
        <v>MHL758A</v>
      </c>
      <c r="F131" s="28">
        <f>IFERROR(__xludf.DUMMYFUNCTION("""COMPUTED_VALUE"""),1500.0)</f>
        <v>1500</v>
      </c>
      <c r="G131" s="256">
        <f>IFERROR(__xludf.DUMMYFUNCTION("""COMPUTED_VALUE"""),2269.46)</f>
        <v>2269.46</v>
      </c>
      <c r="H131" s="264">
        <f>IFERROR(__xludf.DUMMYFUNCTION("""COMPUTED_VALUE"""),-769.46)</f>
        <v>-769.46</v>
      </c>
      <c r="I131" s="264"/>
    </row>
    <row r="132" ht="14.25" customHeight="1">
      <c r="A132" s="73"/>
      <c r="B132" s="359" t="str">
        <f>IFERROR(__xludf.DUMMYFUNCTION("""COMPUTED_VALUE"""),"JAVIER PEREZ DÍAZ")</f>
        <v>JAVIER PEREZ DÍAZ</v>
      </c>
      <c r="C132" s="140" t="str">
        <f>IFERROR(__xludf.DUMMYFUNCTION("""COMPUTED_VALUE"""),"OBRA MÉXICO TOLUCA")</f>
        <v>OBRA MÉXICO TOLUCA</v>
      </c>
      <c r="D132" s="140" t="str">
        <f>IFERROR(__xludf.DUMMYFUNCTION("""COMPUTED_VALUE"""),"EQUIPO MENOR ")</f>
        <v>EQUIPO MENOR </v>
      </c>
      <c r="E132" s="140"/>
      <c r="F132" s="54">
        <f>IFERROR(__xludf.DUMMYFUNCTION("""COMPUTED_VALUE"""),300.0)</f>
        <v>300</v>
      </c>
      <c r="G132" s="256">
        <f>IFERROR(__xludf.DUMMYFUNCTION("""COMPUTED_VALUE"""),500.0)</f>
        <v>500</v>
      </c>
      <c r="H132" s="257">
        <f>IFERROR(__xludf.DUMMYFUNCTION("""COMPUTED_VALUE"""),-200.0)</f>
        <v>-200</v>
      </c>
      <c r="I132" s="257"/>
    </row>
    <row r="133" ht="14.25" customHeight="1">
      <c r="A133" s="73"/>
      <c r="B133" s="359" t="str">
        <f>IFERROR(__xludf.DUMMYFUNCTION("""COMPUTED_VALUE"""),"CARMELO ALVAREZ ANICETO")</f>
        <v>CARMELO ALVAREZ ANICETO</v>
      </c>
      <c r="C133" s="140" t="str">
        <f>IFERROR(__xludf.DUMMYFUNCTION("""COMPUTED_VALUE"""),"LERMA TENANGO ")</f>
        <v>LERMA TENANGO </v>
      </c>
      <c r="D133" s="140" t="str">
        <f>IFERROR(__xludf.DUMMYFUNCTION("""COMPUTED_VALUE"""),"DODGE RAM 4000 (3/2)")</f>
        <v>DODGE RAM 4000 (3/2)</v>
      </c>
      <c r="E133" s="140" t="str">
        <f>IFERROR(__xludf.DUMMYFUNCTION("""COMPUTED_VALUE"""),"LH49746")</f>
        <v>LH49746</v>
      </c>
      <c r="F133" s="54">
        <f>IFERROR(__xludf.DUMMYFUNCTION("""COMPUTED_VALUE"""),3000.0)</f>
        <v>3000</v>
      </c>
      <c r="G133" s="256">
        <f>IFERROR(__xludf.DUMMYFUNCTION("""COMPUTED_VALUE"""),4500.0)</f>
        <v>4500</v>
      </c>
      <c r="H133" s="257">
        <f>IFERROR(__xludf.DUMMYFUNCTION("""COMPUTED_VALUE"""),-1500.0)</f>
        <v>-1500</v>
      </c>
      <c r="I133" s="257"/>
    </row>
    <row r="134" ht="14.25" customHeight="1">
      <c r="A134" s="73"/>
      <c r="B134" s="359" t="str">
        <f>IFERROR(__xludf.DUMMYFUNCTION("""COMPUTED_VALUE"""),"CLEMENTE SANABRIA")</f>
        <v>CLEMENTE SANABRIA</v>
      </c>
      <c r="C134" s="140" t="str">
        <f>IFERROR(__xludf.DUMMYFUNCTION("""COMPUTED_VALUE"""),"TRANSPORTES FLOTILLA ")</f>
        <v>TRANSPORTES FLOTILLA </v>
      </c>
      <c r="D134" s="140" t="str">
        <f>IFERROR(__xludf.DUMMYFUNCTION("""COMPUTED_VALUE"""),"RAM 1200")</f>
        <v>RAM 1200</v>
      </c>
      <c r="E134" s="140" t="str">
        <f>IFERROR(__xludf.DUMMYFUNCTION("""COMPUTED_VALUE"""),"LHB184D")</f>
        <v>LHB184D</v>
      </c>
      <c r="F134" s="54">
        <f>IFERROR(__xludf.DUMMYFUNCTION("""COMPUTED_VALUE"""),2500.0)</f>
        <v>2500</v>
      </c>
      <c r="G134" s="256">
        <f>IFERROR(__xludf.DUMMYFUNCTION("""COMPUTED_VALUE"""),4000.05)</f>
        <v>4000.05</v>
      </c>
      <c r="H134" s="257">
        <f>IFERROR(__xludf.DUMMYFUNCTION("""COMPUTED_VALUE"""),-1500.0500000000002)</f>
        <v>-1500.05</v>
      </c>
      <c r="I134" s="257"/>
    </row>
    <row r="135" ht="14.25" customHeight="1">
      <c r="A135" s="73"/>
      <c r="B135" s="359" t="str">
        <f>IFERROR(__xludf.DUMMYFUNCTION("""COMPUTED_VALUE"""),"BRYAN GABRIEL CHAVEZ ALVAREZ")</f>
        <v>BRYAN GABRIEL CHAVEZ ALVAREZ</v>
      </c>
      <c r="C135" s="140" t="str">
        <f>IFERROR(__xludf.DUMMYFUNCTION("""COMPUTED_VALUE"""),"TRANSPORTES FLOTILLA ")</f>
        <v>TRANSPORTES FLOTILLA </v>
      </c>
      <c r="D135" s="140" t="str">
        <f>IFERROR(__xludf.DUMMYFUNCTION("""COMPUTED_VALUE"""),"CHEVROLET TORNADO")</f>
        <v>CHEVROLET TORNADO</v>
      </c>
      <c r="E135" s="140" t="str">
        <f>IFERROR(__xludf.DUMMYFUNCTION("""COMPUTED_VALUE"""),"NUZ948C")</f>
        <v>NUZ948C</v>
      </c>
      <c r="F135" s="54">
        <f>IFERROR(__xludf.DUMMYFUNCTION("""COMPUTED_VALUE"""),1000.0)</f>
        <v>1000</v>
      </c>
      <c r="G135" s="256">
        <f>IFERROR(__xludf.DUMMYFUNCTION("""COMPUTED_VALUE"""),1300.0)</f>
        <v>1300</v>
      </c>
      <c r="H135" s="257">
        <f>IFERROR(__xludf.DUMMYFUNCTION("""COMPUTED_VALUE"""),-300.0)</f>
        <v>-300</v>
      </c>
      <c r="I135" s="257"/>
    </row>
    <row r="136" ht="14.25" customHeight="1">
      <c r="A136" s="73"/>
      <c r="B136" s="359" t="str">
        <f>IFERROR(__xludf.DUMMYFUNCTION("""COMPUTED_VALUE"""),"ROBERTO ORTEGA")</f>
        <v>ROBERTO ORTEGA</v>
      </c>
      <c r="C136" s="140"/>
      <c r="D136" s="140"/>
      <c r="E136" s="140" t="str">
        <f>IFERROR(__xludf.DUMMYFUNCTION("""COMPUTED_VALUE"""),"MNX601B")</f>
        <v>MNX601B</v>
      </c>
      <c r="F136" s="54">
        <f>IFERROR(__xludf.DUMMYFUNCTION("""COMPUTED_VALUE"""),800.0)</f>
        <v>800</v>
      </c>
      <c r="G136" s="256">
        <f>IFERROR(__xludf.DUMMYFUNCTION("""COMPUTED_VALUE"""),1500.0)</f>
        <v>1500</v>
      </c>
      <c r="H136" s="257">
        <f>IFERROR(__xludf.DUMMYFUNCTION("""COMPUTED_VALUE"""),-700.0)</f>
        <v>-700</v>
      </c>
      <c r="I136" s="257"/>
    </row>
    <row r="137" ht="14.25" customHeight="1">
      <c r="A137" s="73"/>
      <c r="B137" s="359" t="str">
        <f>IFERROR(__xludf.DUMMYFUNCTION("""COMPUTED_VALUE"""),"CARLOS REYES TRUJANO")</f>
        <v>CARLOS REYES TRUJANO</v>
      </c>
      <c r="C137" s="140" t="str">
        <f>IFERROR(__xludf.DUMMYFUNCTION("""COMPUTED_VALUE"""),"MINA TABERNILLAS")</f>
        <v>MINA TABERNILLAS</v>
      </c>
      <c r="D137" s="140" t="str">
        <f>IFERROR(__xludf.DUMMYFUNCTION("""COMPUTED_VALUE"""),"TOYOTA TACOMA")</f>
        <v>TOYOTA TACOMA</v>
      </c>
      <c r="E137" s="140" t="str">
        <f>IFERROR(__xludf.DUMMYFUNCTION("""COMPUTED_VALUE"""),"33K849")</f>
        <v>33K849</v>
      </c>
      <c r="F137" s="54">
        <f>IFERROR(__xludf.DUMMYFUNCTION("""COMPUTED_VALUE"""),2500.0)</f>
        <v>2500</v>
      </c>
      <c r="G137" s="256">
        <f>IFERROR(__xludf.DUMMYFUNCTION("""COMPUTED_VALUE"""),2500.27)</f>
        <v>2500.27</v>
      </c>
      <c r="H137" s="257">
        <f>IFERROR(__xludf.DUMMYFUNCTION("""COMPUTED_VALUE"""),-0.2699999999999818)</f>
        <v>-0.27</v>
      </c>
      <c r="I137" s="257"/>
    </row>
    <row r="138" ht="14.25" customHeight="1">
      <c r="A138" s="73"/>
      <c r="B138" s="359" t="str">
        <f>IFERROR(__xludf.DUMMYFUNCTION("""COMPUTED_VALUE"""),"ARMANDO COLIN MORENO")</f>
        <v>ARMANDO COLIN MORENO</v>
      </c>
      <c r="C138" s="140" t="str">
        <f>IFERROR(__xludf.DUMMYFUNCTION("""COMPUTED_VALUE"""),"MINA TABERNILLAS")</f>
        <v>MINA TABERNILLAS</v>
      </c>
      <c r="D138" s="140" t="str">
        <f>IFERROR(__xludf.DUMMYFUNCTION("""COMPUTED_VALUE"""),"EQUIPO MENOR ")</f>
        <v>EQUIPO MENOR </v>
      </c>
      <c r="E138" s="140"/>
      <c r="F138" s="54">
        <f>IFERROR(__xludf.DUMMYFUNCTION("""COMPUTED_VALUE"""),300.0)</f>
        <v>300</v>
      </c>
      <c r="G138" s="256">
        <f>IFERROR(__xludf.DUMMYFUNCTION("""COMPUTED_VALUE"""),1144.5)</f>
        <v>1144.5</v>
      </c>
      <c r="H138" s="257">
        <f>IFERROR(__xludf.DUMMYFUNCTION("""COMPUTED_VALUE"""),-844.5)</f>
        <v>-844.5</v>
      </c>
      <c r="I138" s="257"/>
    </row>
    <row r="139" ht="14.25" customHeight="1">
      <c r="A139" s="73"/>
      <c r="B139" s="359" t="str">
        <f>IFERROR(__xludf.DUMMYFUNCTION("""COMPUTED_VALUE"""),"ISAAC GONZALEZ GONZALEZ")</f>
        <v>ISAAC GONZALEZ GONZALEZ</v>
      </c>
      <c r="C139" s="268" t="str">
        <f>IFERROR(__xludf.DUMMYFUNCTION("""COMPUTED_VALUE"""),"MINA ZUMPAHUACAN")</f>
        <v>MINA ZUMPAHUACAN</v>
      </c>
      <c r="D139" s="140" t="str">
        <f>IFERROR(__xludf.DUMMYFUNCTION("""COMPUTED_VALUE"""),"MITSUBISHI L200")</f>
        <v>MITSUBISHI L200</v>
      </c>
      <c r="E139" s="140" t="str">
        <f>IFERROR(__xludf.DUMMYFUNCTION("""COMPUTED_VALUE"""),"NYZ839C")</f>
        <v>NYZ839C</v>
      </c>
      <c r="F139" s="54">
        <f>IFERROR(__xludf.DUMMYFUNCTION("""COMPUTED_VALUE"""),1500.0)</f>
        <v>1500</v>
      </c>
      <c r="G139" s="256">
        <f>IFERROR(__xludf.DUMMYFUNCTION("""COMPUTED_VALUE"""),1900.0)</f>
        <v>1900</v>
      </c>
      <c r="H139" s="257">
        <f>IFERROR(__xludf.DUMMYFUNCTION("""COMPUTED_VALUE"""),-400.0)</f>
        <v>-400</v>
      </c>
      <c r="I139" s="257"/>
    </row>
    <row r="140" ht="14.25" hidden="1" customHeight="1">
      <c r="A140" s="73"/>
      <c r="B140" s="359"/>
      <c r="C140" s="268"/>
      <c r="D140" s="140"/>
      <c r="E140" s="140"/>
      <c r="F140" s="54">
        <f>IFERROR(__xludf.DUMMYFUNCTION("""COMPUTED_VALUE"""),11800.0)</f>
        <v>11800</v>
      </c>
      <c r="G140" s="256">
        <f>IFERROR(__xludf.DUMMYFUNCTION("""COMPUTED_VALUE"""),12458.02)</f>
        <v>12458.02</v>
      </c>
      <c r="H140" s="257">
        <f>IFERROR(__xludf.DUMMYFUNCTION("""COMPUTED_VALUE"""),-1158.02)</f>
        <v>-1158.02</v>
      </c>
      <c r="I140" s="257"/>
    </row>
    <row r="141" ht="14.25" hidden="1" customHeight="1">
      <c r="A141" s="73"/>
      <c r="B141" s="359"/>
      <c r="C141" s="140"/>
      <c r="D141" s="140"/>
      <c r="E141" s="140"/>
      <c r="F141" s="54"/>
      <c r="G141" s="256"/>
      <c r="H141" s="257"/>
      <c r="I141" s="257"/>
    </row>
    <row r="142" ht="14.25" hidden="1" customHeight="1">
      <c r="A142" s="73"/>
      <c r="B142" s="359"/>
      <c r="C142" s="140"/>
      <c r="D142" s="140"/>
      <c r="E142" s="140"/>
      <c r="F142" s="54"/>
      <c r="G142" s="256"/>
      <c r="H142" s="257"/>
      <c r="I142" s="257"/>
    </row>
    <row r="143" ht="14.25" hidden="1" customHeight="1">
      <c r="A143" s="73"/>
      <c r="B143" s="359"/>
      <c r="C143" s="140"/>
      <c r="D143" s="140"/>
      <c r="E143" s="140"/>
      <c r="F143" s="54"/>
      <c r="G143" s="256"/>
      <c r="H143" s="257"/>
      <c r="I143" s="257"/>
    </row>
    <row r="144" ht="14.25" hidden="1" customHeight="1">
      <c r="A144" s="73"/>
      <c r="B144" s="359"/>
      <c r="C144" s="140"/>
      <c r="D144" s="140"/>
      <c r="E144" s="140"/>
      <c r="F144" s="54"/>
      <c r="G144" s="256"/>
      <c r="H144" s="257"/>
      <c r="I144" s="257"/>
    </row>
    <row r="145" ht="14.25" customHeight="1">
      <c r="A145" s="73"/>
      <c r="B145" s="272" t="s">
        <v>210</v>
      </c>
      <c r="C145" s="2"/>
      <c r="D145" s="2"/>
      <c r="E145" s="2"/>
      <c r="F145" s="2"/>
      <c r="G145" s="3"/>
      <c r="H145" s="274">
        <f>SUM(H128:H141)</f>
        <v>-9894.41</v>
      </c>
      <c r="I145" s="274">
        <f>SUM(I129:I144)</f>
        <v>0</v>
      </c>
    </row>
    <row r="146" ht="14.25" customHeight="1">
      <c r="A146" s="73"/>
      <c r="B146" s="275"/>
      <c r="C146" s="73"/>
      <c r="D146" s="73"/>
      <c r="E146" s="73"/>
      <c r="F146" s="72"/>
    </row>
    <row r="147" ht="14.25" customHeight="1">
      <c r="A147" s="73"/>
      <c r="B147" s="275"/>
      <c r="C147" s="73"/>
    </row>
    <row r="148" ht="14.25" customHeight="1">
      <c r="A148" s="73"/>
      <c r="B148" s="387" t="s">
        <v>689</v>
      </c>
      <c r="C148" s="3"/>
      <c r="E148" s="387" t="s">
        <v>690</v>
      </c>
      <c r="F148" s="3"/>
    </row>
    <row r="149" ht="14.25" customHeight="1">
      <c r="A149" s="73"/>
      <c r="B149" s="194" t="s">
        <v>9</v>
      </c>
      <c r="C149" s="197">
        <f>C111</f>
        <v>47540.83</v>
      </c>
      <c r="E149" s="402" t="s">
        <v>651</v>
      </c>
      <c r="F149" s="403">
        <f>C121</f>
        <v>0</v>
      </c>
    </row>
    <row r="150" ht="14.25" customHeight="1">
      <c r="A150" s="73"/>
      <c r="B150" s="194" t="s">
        <v>344</v>
      </c>
      <c r="C150" s="197">
        <f>C120+C119</f>
        <v>413744.06</v>
      </c>
      <c r="E150" s="12"/>
      <c r="F150" s="12"/>
    </row>
    <row r="151" ht="14.25" customHeight="1">
      <c r="A151" s="73"/>
      <c r="B151" s="208" t="s">
        <v>210</v>
      </c>
      <c r="C151" s="200">
        <f>SUM(C149:C150)</f>
        <v>461284.89</v>
      </c>
      <c r="E151" s="208" t="s">
        <v>210</v>
      </c>
      <c r="F151" s="200">
        <f>SUM(F149:F150)</f>
        <v>0</v>
      </c>
    </row>
    <row r="152" ht="14.25" customHeight="1">
      <c r="A152" s="73"/>
      <c r="B152" s="12"/>
      <c r="C152" s="12"/>
      <c r="E152" s="12"/>
      <c r="F152" s="12"/>
    </row>
    <row r="153" ht="14.25" customHeight="1">
      <c r="A153" s="73"/>
      <c r="B153" s="73"/>
      <c r="C153" s="73"/>
      <c r="F153" s="20"/>
      <c r="L153" s="34">
        <f>SUM(L148:L152)</f>
        <v>0</v>
      </c>
    </row>
    <row r="154" ht="14.25" customHeight="1">
      <c r="A154" s="73"/>
      <c r="B154" s="404"/>
      <c r="C154" s="148"/>
      <c r="D154" s="5"/>
      <c r="F154" s="20"/>
    </row>
    <row r="155" ht="14.25" customHeight="1">
      <c r="A155" s="73"/>
      <c r="B155" s="133"/>
      <c r="D155" s="269"/>
    </row>
    <row r="156" ht="14.25" customHeight="1">
      <c r="A156" s="73"/>
      <c r="B156" s="10"/>
      <c r="C156" s="156"/>
      <c r="D156" s="11"/>
      <c r="E156" s="73"/>
      <c r="F156" s="72"/>
    </row>
    <row r="157" ht="14.25" customHeight="1">
      <c r="A157" s="73"/>
      <c r="B157" s="73"/>
      <c r="C157" s="73"/>
      <c r="D157" s="73"/>
      <c r="E157" s="73"/>
      <c r="F157" s="72"/>
    </row>
    <row r="158" ht="14.25" customHeight="1">
      <c r="A158" s="73"/>
      <c r="B158" s="73"/>
      <c r="C158" s="73"/>
      <c r="D158" s="73"/>
      <c r="E158" s="73"/>
      <c r="F158" s="72"/>
    </row>
    <row r="159" ht="14.25" customHeight="1">
      <c r="A159" s="73"/>
      <c r="B159" s="73"/>
      <c r="C159" s="73"/>
      <c r="D159" s="73"/>
      <c r="E159" s="73"/>
      <c r="F159" s="72"/>
    </row>
    <row r="160" ht="14.25" customHeight="1">
      <c r="A160" s="73"/>
      <c r="B160" s="73"/>
      <c r="C160" s="73"/>
      <c r="D160" s="73"/>
      <c r="E160" s="73"/>
      <c r="F160" s="72"/>
    </row>
    <row r="161" ht="14.25" customHeight="1">
      <c r="A161" s="73"/>
      <c r="B161" s="73"/>
      <c r="C161" s="73"/>
      <c r="D161" s="73"/>
      <c r="E161" s="73"/>
      <c r="F161" s="72"/>
    </row>
    <row r="162" ht="14.25" customHeight="1">
      <c r="A162" s="73"/>
      <c r="B162" s="73"/>
      <c r="C162" s="73"/>
      <c r="D162" s="73"/>
      <c r="E162" s="73"/>
      <c r="F162" s="72"/>
    </row>
    <row r="163" ht="14.25" customHeight="1">
      <c r="A163" s="73"/>
      <c r="B163" s="73"/>
      <c r="C163" s="73"/>
      <c r="D163" s="73"/>
      <c r="E163" s="73"/>
      <c r="F163" s="72"/>
    </row>
    <row r="164" ht="14.25" customHeight="1">
      <c r="A164" s="73"/>
      <c r="B164" s="73"/>
      <c r="C164" s="73"/>
      <c r="D164" s="73"/>
      <c r="E164" s="73"/>
      <c r="F164" s="72"/>
    </row>
    <row r="165" ht="14.25" customHeight="1">
      <c r="A165" s="73"/>
      <c r="B165" s="73"/>
      <c r="C165" s="73"/>
      <c r="D165" s="73"/>
      <c r="E165" s="73"/>
      <c r="F165" s="72"/>
    </row>
    <row r="166" ht="14.25" customHeight="1">
      <c r="A166" s="73"/>
      <c r="B166" s="73"/>
      <c r="C166" s="73"/>
      <c r="D166" s="73"/>
      <c r="E166" s="73"/>
      <c r="F166" s="72"/>
    </row>
    <row r="167" ht="14.25" customHeight="1">
      <c r="A167" s="73"/>
      <c r="B167" s="73"/>
      <c r="C167" s="73"/>
      <c r="D167" s="73"/>
      <c r="E167" s="73"/>
      <c r="F167" s="72"/>
    </row>
    <row r="168" ht="14.25" customHeight="1">
      <c r="A168" s="73"/>
      <c r="B168" s="73"/>
      <c r="C168" s="73"/>
      <c r="D168" s="73"/>
      <c r="E168" s="73"/>
      <c r="F168" s="72"/>
    </row>
    <row r="169" ht="14.25" customHeight="1">
      <c r="A169" s="73"/>
      <c r="B169" s="73"/>
      <c r="C169" s="73"/>
      <c r="D169" s="73"/>
      <c r="E169" s="73"/>
      <c r="F169" s="72"/>
    </row>
    <row r="170" ht="14.25" customHeight="1">
      <c r="A170" s="73"/>
      <c r="B170" s="321" t="s">
        <v>547</v>
      </c>
      <c r="C170" s="322"/>
      <c r="D170" s="322"/>
      <c r="E170" s="322"/>
      <c r="F170" s="322"/>
      <c r="G170" s="323"/>
    </row>
    <row r="171" ht="14.25" customHeight="1">
      <c r="A171" s="73"/>
      <c r="B171" s="324"/>
      <c r="C171" s="325"/>
      <c r="D171" s="325"/>
      <c r="E171" s="325"/>
      <c r="F171" s="325"/>
      <c r="G171" s="326"/>
    </row>
    <row r="172" ht="14.25" customHeight="1">
      <c r="A172" s="73"/>
      <c r="B172" s="327" t="s">
        <v>479</v>
      </c>
      <c r="C172" s="78"/>
      <c r="D172" s="78"/>
      <c r="E172" s="78"/>
      <c r="F172" s="78"/>
      <c r="G172" s="79"/>
    </row>
    <row r="173" ht="14.25" customHeight="1">
      <c r="A173" s="73"/>
      <c r="B173" s="4" t="s">
        <v>2</v>
      </c>
      <c r="C173" s="5"/>
      <c r="D173" s="6" t="s">
        <v>3</v>
      </c>
      <c r="E173" s="6" t="s">
        <v>4</v>
      </c>
      <c r="F173" s="6" t="s">
        <v>5</v>
      </c>
      <c r="G173" s="328" t="s">
        <v>6</v>
      </c>
    </row>
    <row r="174" ht="14.25" customHeight="1">
      <c r="A174" s="73"/>
      <c r="B174" s="10"/>
      <c r="C174" s="11"/>
      <c r="D174" s="12"/>
      <c r="E174" s="12"/>
      <c r="F174" s="12"/>
      <c r="G174" s="88"/>
    </row>
    <row r="175" ht="14.25" customHeight="1">
      <c r="A175" s="73"/>
      <c r="B175" s="329">
        <v>1.0</v>
      </c>
      <c r="C175" s="15" t="s">
        <v>13</v>
      </c>
      <c r="D175" s="15" t="s">
        <v>14</v>
      </c>
      <c r="E175" s="16" t="s">
        <v>15</v>
      </c>
      <c r="F175" s="16" t="s">
        <v>16</v>
      </c>
      <c r="G175" s="330">
        <v>1200.0</v>
      </c>
    </row>
    <row r="176" ht="14.25" customHeight="1">
      <c r="A176" s="73"/>
      <c r="B176" s="329">
        <v>2.0</v>
      </c>
      <c r="C176" s="12"/>
      <c r="D176" s="12"/>
      <c r="E176" s="16" t="s">
        <v>17</v>
      </c>
      <c r="F176" s="16"/>
      <c r="G176" s="330">
        <v>500.0</v>
      </c>
    </row>
    <row r="177" ht="14.25" customHeight="1">
      <c r="A177" s="73"/>
      <c r="B177" s="52">
        <v>3.0</v>
      </c>
      <c r="C177" s="307" t="s">
        <v>18</v>
      </c>
      <c r="D177" s="307" t="s">
        <v>19</v>
      </c>
      <c r="E177" s="140" t="s">
        <v>20</v>
      </c>
      <c r="F177" s="140" t="s">
        <v>21</v>
      </c>
      <c r="G177" s="331">
        <v>2500.0</v>
      </c>
    </row>
    <row r="178" ht="14.25" customHeight="1">
      <c r="A178" s="73"/>
      <c r="B178" s="52">
        <v>4.0</v>
      </c>
      <c r="C178" s="12"/>
      <c r="D178" s="12"/>
      <c r="E178" s="140" t="s">
        <v>17</v>
      </c>
      <c r="F178" s="140"/>
      <c r="G178" s="331">
        <v>500.0</v>
      </c>
    </row>
    <row r="179" ht="14.25" customHeight="1">
      <c r="A179" s="73"/>
      <c r="B179" s="52">
        <v>5.0</v>
      </c>
      <c r="C179" s="140" t="s">
        <v>30</v>
      </c>
      <c r="D179" s="140" t="s">
        <v>19</v>
      </c>
      <c r="E179" s="140" t="s">
        <v>31</v>
      </c>
      <c r="F179" s="140" t="s">
        <v>32</v>
      </c>
      <c r="G179" s="331">
        <v>1500.0</v>
      </c>
      <c r="X179" s="20"/>
      <c r="Y179" s="20"/>
    </row>
    <row r="180" ht="14.25" customHeight="1">
      <c r="A180" s="73"/>
      <c r="B180" s="52">
        <v>6.0</v>
      </c>
      <c r="C180" s="140" t="s">
        <v>35</v>
      </c>
      <c r="D180" s="140" t="s">
        <v>19</v>
      </c>
      <c r="E180" s="140" t="s">
        <v>31</v>
      </c>
      <c r="F180" s="140" t="s">
        <v>36</v>
      </c>
      <c r="G180" s="331">
        <v>1500.0</v>
      </c>
    </row>
    <row r="181" ht="14.25" customHeight="1">
      <c r="A181" s="73"/>
      <c r="B181" s="52">
        <v>7.0</v>
      </c>
      <c r="C181" s="140" t="s">
        <v>39</v>
      </c>
      <c r="D181" s="140" t="s">
        <v>19</v>
      </c>
      <c r="E181" s="140"/>
      <c r="F181" s="140"/>
      <c r="G181" s="331">
        <v>1500.0</v>
      </c>
    </row>
    <row r="182" ht="14.25" customHeight="1">
      <c r="A182" s="73"/>
      <c r="B182" s="329">
        <v>8.0</v>
      </c>
      <c r="C182" s="16" t="s">
        <v>41</v>
      </c>
      <c r="D182" s="16" t="s">
        <v>42</v>
      </c>
      <c r="E182" s="16" t="s">
        <v>43</v>
      </c>
      <c r="F182" s="16" t="s">
        <v>44</v>
      </c>
      <c r="G182" s="330">
        <v>700.0</v>
      </c>
    </row>
    <row r="183" ht="14.25" customHeight="1">
      <c r="A183" s="73"/>
      <c r="B183" s="329">
        <v>9.0</v>
      </c>
      <c r="C183" s="16" t="s">
        <v>45</v>
      </c>
      <c r="D183" s="16" t="s">
        <v>46</v>
      </c>
      <c r="E183" s="16" t="s">
        <v>47</v>
      </c>
      <c r="F183" s="16" t="s">
        <v>48</v>
      </c>
      <c r="G183" s="330">
        <v>1500.0</v>
      </c>
    </row>
    <row r="184" ht="14.25" customHeight="1">
      <c r="A184" s="73"/>
      <c r="B184" s="52">
        <v>10.0</v>
      </c>
      <c r="C184" s="307" t="s">
        <v>50</v>
      </c>
      <c r="D184" s="140" t="s">
        <v>51</v>
      </c>
      <c r="E184" s="140" t="s">
        <v>52</v>
      </c>
      <c r="F184" s="140" t="s">
        <v>53</v>
      </c>
      <c r="G184" s="331">
        <v>1500.0</v>
      </c>
    </row>
    <row r="185" ht="14.25" customHeight="1">
      <c r="A185" s="73"/>
      <c r="B185" s="52">
        <v>11.0</v>
      </c>
      <c r="C185" s="12"/>
      <c r="D185" s="140" t="s">
        <v>54</v>
      </c>
      <c r="E185" s="140" t="s">
        <v>17</v>
      </c>
      <c r="F185" s="140"/>
      <c r="G185" s="54">
        <v>500.0</v>
      </c>
    </row>
    <row r="186" ht="14.25" customHeight="1">
      <c r="A186" s="73"/>
      <c r="B186" s="52">
        <v>12.0</v>
      </c>
      <c r="C186" s="140" t="s">
        <v>57</v>
      </c>
      <c r="D186" s="140" t="s">
        <v>51</v>
      </c>
      <c r="E186" s="140" t="s">
        <v>58</v>
      </c>
      <c r="F186" s="140" t="s">
        <v>59</v>
      </c>
      <c r="G186" s="54">
        <v>1500.0</v>
      </c>
    </row>
    <row r="187" ht="14.25" customHeight="1">
      <c r="A187" s="73"/>
      <c r="B187" s="329">
        <v>13.0</v>
      </c>
      <c r="C187" s="15" t="s">
        <v>61</v>
      </c>
      <c r="D187" s="16" t="s">
        <v>63</v>
      </c>
      <c r="E187" s="16" t="s">
        <v>65</v>
      </c>
      <c r="F187" s="16" t="s">
        <v>66</v>
      </c>
      <c r="G187" s="17">
        <v>2500.0</v>
      </c>
    </row>
    <row r="188" ht="14.25" customHeight="1">
      <c r="A188" s="73"/>
      <c r="B188" s="329">
        <v>14.0</v>
      </c>
      <c r="C188" s="12"/>
      <c r="D188" s="16" t="s">
        <v>63</v>
      </c>
      <c r="E188" s="16" t="s">
        <v>17</v>
      </c>
      <c r="F188" s="16"/>
      <c r="G188" s="17">
        <v>300.0</v>
      </c>
    </row>
    <row r="189" ht="14.25" customHeight="1">
      <c r="A189" s="73"/>
      <c r="B189" s="329">
        <v>15.0</v>
      </c>
      <c r="C189" s="16" t="s">
        <v>68</v>
      </c>
      <c r="D189" s="16" t="s">
        <v>63</v>
      </c>
      <c r="E189" s="16" t="s">
        <v>69</v>
      </c>
      <c r="F189" s="16" t="s">
        <v>70</v>
      </c>
      <c r="G189" s="17">
        <v>2500.0</v>
      </c>
    </row>
    <row r="190" ht="14.25" customHeight="1">
      <c r="A190" s="73"/>
      <c r="B190" s="329">
        <v>16.0</v>
      </c>
      <c r="C190" s="16" t="s">
        <v>71</v>
      </c>
      <c r="D190" s="16" t="s">
        <v>63</v>
      </c>
      <c r="E190" s="16" t="s">
        <v>58</v>
      </c>
      <c r="F190" s="16" t="s">
        <v>72</v>
      </c>
      <c r="G190" s="17">
        <v>4000.0</v>
      </c>
    </row>
    <row r="191" ht="14.25" customHeight="1">
      <c r="A191" s="73"/>
      <c r="B191" s="52">
        <v>17.0</v>
      </c>
      <c r="C191" s="307" t="s">
        <v>74</v>
      </c>
      <c r="D191" s="307" t="s">
        <v>75</v>
      </c>
      <c r="E191" s="140" t="s">
        <v>65</v>
      </c>
      <c r="F191" s="140" t="s">
        <v>76</v>
      </c>
      <c r="G191" s="54">
        <v>2500.0</v>
      </c>
    </row>
    <row r="192" ht="14.25" customHeight="1">
      <c r="A192" s="73"/>
      <c r="B192" s="52">
        <v>18.0</v>
      </c>
      <c r="C192" s="44"/>
      <c r="D192" s="44"/>
      <c r="E192" s="140" t="s">
        <v>77</v>
      </c>
      <c r="F192" s="140"/>
      <c r="G192" s="184">
        <v>1000.0</v>
      </c>
    </row>
    <row r="193" ht="14.25" customHeight="1">
      <c r="A193" s="73"/>
      <c r="B193" s="52">
        <v>19.0</v>
      </c>
      <c r="C193" s="44"/>
      <c r="D193" s="44"/>
      <c r="E193" s="140" t="s">
        <v>78</v>
      </c>
      <c r="F193" s="140"/>
      <c r="G193" s="184"/>
    </row>
    <row r="194" ht="14.25" customHeight="1">
      <c r="A194" s="73"/>
      <c r="B194" s="52">
        <v>20.0</v>
      </c>
      <c r="C194" s="12"/>
      <c r="D194" s="12"/>
      <c r="E194" s="140" t="s">
        <v>81</v>
      </c>
      <c r="F194" s="140"/>
      <c r="G194" s="184"/>
    </row>
    <row r="195" ht="14.25" customHeight="1">
      <c r="A195" s="73"/>
      <c r="B195" s="52">
        <v>21.0</v>
      </c>
      <c r="C195" s="140" t="s">
        <v>82</v>
      </c>
      <c r="D195" s="140" t="s">
        <v>75</v>
      </c>
      <c r="E195" s="140" t="s">
        <v>65</v>
      </c>
      <c r="F195" s="140" t="s">
        <v>83</v>
      </c>
      <c r="G195" s="54">
        <v>1500.0</v>
      </c>
    </row>
    <row r="196" ht="14.25" customHeight="1">
      <c r="A196" s="73"/>
      <c r="B196" s="52">
        <v>22.0</v>
      </c>
      <c r="C196" s="140" t="s">
        <v>89</v>
      </c>
      <c r="D196" s="140" t="s">
        <v>75</v>
      </c>
      <c r="E196" s="140" t="s">
        <v>58</v>
      </c>
      <c r="F196" s="140" t="s">
        <v>90</v>
      </c>
      <c r="G196" s="54">
        <v>3000.0</v>
      </c>
    </row>
    <row r="197" ht="14.25" customHeight="1">
      <c r="A197" s="73"/>
      <c r="B197" s="52">
        <v>23.0</v>
      </c>
      <c r="C197" s="140" t="s">
        <v>93</v>
      </c>
      <c r="D197" s="140" t="s">
        <v>75</v>
      </c>
      <c r="E197" s="140" t="s">
        <v>69</v>
      </c>
      <c r="F197" s="140" t="s">
        <v>94</v>
      </c>
      <c r="G197" s="54">
        <v>2500.0</v>
      </c>
    </row>
    <row r="198" ht="14.25" customHeight="1">
      <c r="A198" s="73"/>
      <c r="B198" s="329">
        <v>24.0</v>
      </c>
      <c r="C198" s="16" t="s">
        <v>96</v>
      </c>
      <c r="D198" s="15" t="s">
        <v>98</v>
      </c>
      <c r="E198" s="16" t="s">
        <v>99</v>
      </c>
      <c r="F198" s="16" t="s">
        <v>100</v>
      </c>
      <c r="G198" s="17">
        <v>2500.0</v>
      </c>
    </row>
    <row r="199" ht="14.25" customHeight="1">
      <c r="A199" s="73"/>
      <c r="B199" s="329">
        <v>25.0</v>
      </c>
      <c r="C199" s="16" t="s">
        <v>102</v>
      </c>
      <c r="D199" s="12"/>
      <c r="E199" s="16" t="s">
        <v>17</v>
      </c>
      <c r="F199" s="16"/>
      <c r="G199" s="17">
        <v>1000.0</v>
      </c>
    </row>
    <row r="200" ht="14.25" customHeight="1">
      <c r="A200" s="73"/>
      <c r="B200" s="52">
        <v>26.0</v>
      </c>
      <c r="C200" s="140" t="s">
        <v>104</v>
      </c>
      <c r="D200" s="140" t="s">
        <v>105</v>
      </c>
      <c r="E200" s="140" t="s">
        <v>20</v>
      </c>
      <c r="F200" s="140" t="s">
        <v>106</v>
      </c>
      <c r="G200" s="54">
        <v>2500.0</v>
      </c>
    </row>
    <row r="201" ht="14.25" customHeight="1">
      <c r="A201" s="73"/>
      <c r="B201" s="52">
        <v>27.0</v>
      </c>
      <c r="C201" s="307" t="s">
        <v>107</v>
      </c>
      <c r="D201" s="307" t="s">
        <v>105</v>
      </c>
      <c r="E201" s="140" t="s">
        <v>109</v>
      </c>
      <c r="F201" s="140" t="s">
        <v>110</v>
      </c>
      <c r="G201" s="54">
        <v>1000.0</v>
      </c>
    </row>
    <row r="202" ht="14.25" customHeight="1">
      <c r="A202" s="73"/>
      <c r="B202" s="52">
        <v>28.0</v>
      </c>
      <c r="C202" s="44"/>
      <c r="D202" s="44"/>
      <c r="E202" s="140" t="s">
        <v>111</v>
      </c>
      <c r="F202" s="140"/>
      <c r="G202" s="54">
        <v>500.0</v>
      </c>
    </row>
    <row r="203" ht="14.25" customHeight="1">
      <c r="A203" s="73"/>
      <c r="B203" s="52">
        <v>29.0</v>
      </c>
      <c r="C203" s="12"/>
      <c r="D203" s="12"/>
      <c r="E203" s="140" t="s">
        <v>111</v>
      </c>
      <c r="F203" s="140"/>
      <c r="G203" s="54">
        <v>500.0</v>
      </c>
    </row>
    <row r="204" ht="14.25" customHeight="1">
      <c r="A204" s="73"/>
      <c r="B204" s="52">
        <v>30.0</v>
      </c>
      <c r="C204" s="307" t="s">
        <v>114</v>
      </c>
      <c r="D204" s="140"/>
      <c r="E204" s="140"/>
      <c r="F204" s="140" t="s">
        <v>115</v>
      </c>
      <c r="G204" s="54">
        <v>800.0</v>
      </c>
    </row>
    <row r="205" ht="14.25" customHeight="1">
      <c r="A205" s="73"/>
      <c r="B205" s="52">
        <v>31.0</v>
      </c>
      <c r="C205" s="12"/>
      <c r="D205" s="140"/>
      <c r="E205" s="140" t="s">
        <v>17</v>
      </c>
      <c r="F205" s="140"/>
      <c r="G205" s="54">
        <v>500.0</v>
      </c>
    </row>
    <row r="206" ht="14.25" customHeight="1">
      <c r="A206" s="73"/>
      <c r="B206" s="52">
        <v>32.0</v>
      </c>
      <c r="C206" s="363" t="s">
        <v>135</v>
      </c>
      <c r="D206" s="140" t="s">
        <v>136</v>
      </c>
      <c r="E206" s="140"/>
      <c r="F206" s="140" t="s">
        <v>137</v>
      </c>
      <c r="G206" s="54">
        <v>1500.0</v>
      </c>
    </row>
    <row r="207" ht="14.25" customHeight="1">
      <c r="A207" s="73"/>
      <c r="B207" s="52">
        <v>33.0</v>
      </c>
      <c r="C207" s="363" t="s">
        <v>142</v>
      </c>
      <c r="D207" s="140" t="s">
        <v>143</v>
      </c>
      <c r="E207" s="140" t="s">
        <v>20</v>
      </c>
      <c r="F207" s="140" t="s">
        <v>144</v>
      </c>
      <c r="G207" s="54">
        <v>1500.0</v>
      </c>
    </row>
    <row r="208" ht="14.25" customHeight="1">
      <c r="A208" s="73"/>
      <c r="B208" s="52">
        <v>34.0</v>
      </c>
      <c r="C208" s="363" t="s">
        <v>145</v>
      </c>
      <c r="D208" s="140" t="s">
        <v>146</v>
      </c>
      <c r="E208" s="140" t="s">
        <v>43</v>
      </c>
      <c r="F208" s="140"/>
      <c r="G208" s="54">
        <v>700.0</v>
      </c>
    </row>
    <row r="209" ht="14.25" customHeight="1">
      <c r="A209" s="73"/>
      <c r="B209" s="52">
        <v>35.0</v>
      </c>
      <c r="C209" s="140" t="s">
        <v>118</v>
      </c>
      <c r="D209" s="140"/>
      <c r="E209" s="140" t="s">
        <v>119</v>
      </c>
      <c r="F209" s="140" t="s">
        <v>120</v>
      </c>
      <c r="G209" s="54">
        <v>3000.0</v>
      </c>
    </row>
    <row r="210" ht="14.25" customHeight="1">
      <c r="A210" s="73"/>
      <c r="B210" s="52">
        <v>36.0</v>
      </c>
      <c r="C210" s="363" t="s">
        <v>155</v>
      </c>
      <c r="D210" s="140"/>
      <c r="E210" s="140" t="s">
        <v>20</v>
      </c>
      <c r="F210" s="140" t="s">
        <v>156</v>
      </c>
      <c r="G210" s="54">
        <v>1500.0</v>
      </c>
    </row>
    <row r="211" ht="14.25" customHeight="1">
      <c r="A211" s="73"/>
      <c r="B211" s="339" t="s">
        <v>122</v>
      </c>
      <c r="C211" s="2"/>
      <c r="D211" s="2"/>
      <c r="E211" s="2"/>
      <c r="F211" s="3"/>
      <c r="G211" s="340">
        <f>SUM(G175:G210)</f>
        <v>52200</v>
      </c>
    </row>
    <row r="212" ht="14.25" customHeight="1">
      <c r="A212" s="73"/>
      <c r="B212" s="341" t="s">
        <v>490</v>
      </c>
      <c r="C212" s="2"/>
      <c r="D212" s="2"/>
      <c r="E212" s="2"/>
      <c r="F212" s="2"/>
      <c r="G212" s="3"/>
    </row>
    <row r="213" ht="14.25" customHeight="1">
      <c r="A213" s="73"/>
      <c r="B213" s="4" t="s">
        <v>2</v>
      </c>
      <c r="C213" s="5"/>
      <c r="D213" s="6" t="s">
        <v>3</v>
      </c>
      <c r="E213" s="6" t="s">
        <v>4</v>
      </c>
      <c r="F213" s="6" t="s">
        <v>5</v>
      </c>
      <c r="G213" s="7" t="s">
        <v>134</v>
      </c>
    </row>
    <row r="214" ht="14.25" customHeight="1">
      <c r="A214" s="73"/>
      <c r="B214" s="10"/>
      <c r="C214" s="11"/>
      <c r="D214" s="12"/>
      <c r="E214" s="12"/>
      <c r="F214" s="12"/>
      <c r="G214" s="12"/>
    </row>
    <row r="215" ht="14.25" customHeight="1">
      <c r="A215" s="73"/>
      <c r="B215" s="52">
        <v>1.0</v>
      </c>
      <c r="C215" s="140" t="s">
        <v>138</v>
      </c>
      <c r="D215" s="140" t="s">
        <v>139</v>
      </c>
      <c r="E215" s="140" t="s">
        <v>140</v>
      </c>
      <c r="F215" s="140" t="s">
        <v>141</v>
      </c>
      <c r="G215" s="54">
        <v>2500.0</v>
      </c>
    </row>
    <row r="216" ht="14.25" customHeight="1">
      <c r="A216" s="73"/>
      <c r="B216" s="52">
        <v>2.0</v>
      </c>
      <c r="C216" s="140" t="s">
        <v>147</v>
      </c>
      <c r="D216" s="140" t="s">
        <v>139</v>
      </c>
      <c r="E216" s="140" t="s">
        <v>119</v>
      </c>
      <c r="F216" s="140" t="s">
        <v>148</v>
      </c>
      <c r="G216" s="54">
        <v>1500.0</v>
      </c>
    </row>
    <row r="217" ht="14.25" customHeight="1">
      <c r="A217" s="73"/>
      <c r="B217" s="343">
        <v>3.0</v>
      </c>
      <c r="C217" s="307" t="s">
        <v>157</v>
      </c>
      <c r="D217" s="307" t="s">
        <v>139</v>
      </c>
      <c r="E217" s="140" t="s">
        <v>158</v>
      </c>
      <c r="F217" s="140" t="s">
        <v>16</v>
      </c>
      <c r="G217" s="54">
        <v>2000.0</v>
      </c>
    </row>
    <row r="218" ht="14.25" customHeight="1">
      <c r="A218" s="73"/>
      <c r="B218" s="12"/>
      <c r="C218" s="12"/>
      <c r="D218" s="12"/>
      <c r="E218" s="140" t="s">
        <v>17</v>
      </c>
      <c r="F218" s="140"/>
      <c r="G218" s="54"/>
    </row>
    <row r="219" ht="14.25" customHeight="1">
      <c r="A219" s="73"/>
      <c r="B219" s="52">
        <v>4.0</v>
      </c>
      <c r="C219" s="140" t="s">
        <v>165</v>
      </c>
      <c r="D219" s="140" t="s">
        <v>166</v>
      </c>
      <c r="E219" s="140" t="s">
        <v>119</v>
      </c>
      <c r="F219" s="140" t="s">
        <v>167</v>
      </c>
      <c r="G219" s="54">
        <v>1500.0</v>
      </c>
    </row>
    <row r="220" ht="14.25" customHeight="1">
      <c r="A220" s="73"/>
      <c r="B220" s="52">
        <v>5.0</v>
      </c>
      <c r="C220" s="140" t="s">
        <v>168</v>
      </c>
      <c r="D220" s="140" t="s">
        <v>166</v>
      </c>
      <c r="E220" s="140" t="s">
        <v>119</v>
      </c>
      <c r="F220" s="140" t="s">
        <v>169</v>
      </c>
      <c r="G220" s="54">
        <v>1500.0</v>
      </c>
    </row>
    <row r="221" ht="14.25" customHeight="1">
      <c r="A221" s="73"/>
      <c r="B221" s="52">
        <v>6.0</v>
      </c>
      <c r="C221" s="140" t="s">
        <v>170</v>
      </c>
      <c r="D221" s="140" t="s">
        <v>171</v>
      </c>
      <c r="E221" s="140" t="s">
        <v>158</v>
      </c>
      <c r="F221" s="140" t="s">
        <v>172</v>
      </c>
      <c r="G221" s="54">
        <v>2000.0</v>
      </c>
    </row>
    <row r="222" ht="14.25" customHeight="1">
      <c r="A222" s="73"/>
      <c r="B222" s="339" t="s">
        <v>122</v>
      </c>
      <c r="C222" s="2"/>
      <c r="D222" s="2"/>
      <c r="E222" s="2"/>
      <c r="F222" s="3"/>
      <c r="G222" s="236">
        <f>SUM(G215:G221)</f>
        <v>11000</v>
      </c>
    </row>
    <row r="223" ht="14.25" customHeight="1">
      <c r="A223" s="73"/>
      <c r="B223" s="73"/>
      <c r="C223" s="73"/>
      <c r="D223" s="73"/>
      <c r="E223" s="73"/>
      <c r="F223" s="72"/>
    </row>
    <row r="224" ht="14.25" customHeight="1">
      <c r="A224" s="73"/>
      <c r="B224" s="73"/>
      <c r="C224" s="73"/>
      <c r="D224" s="73"/>
      <c r="E224" s="73"/>
      <c r="F224" s="72"/>
    </row>
    <row r="225" ht="14.25" customHeight="1">
      <c r="A225" s="73"/>
      <c r="B225" s="73"/>
      <c r="C225" s="73"/>
      <c r="D225" s="73"/>
      <c r="E225" s="73"/>
      <c r="F225" s="72"/>
    </row>
    <row r="226" ht="14.25" customHeight="1">
      <c r="A226" s="73"/>
      <c r="B226" s="73"/>
      <c r="C226" s="73"/>
      <c r="D226" s="73"/>
      <c r="E226" s="73"/>
      <c r="F226" s="72"/>
    </row>
    <row r="227" ht="14.25" customHeight="1">
      <c r="A227" s="73"/>
      <c r="B227" s="73"/>
      <c r="C227" s="73"/>
      <c r="D227" s="73"/>
      <c r="E227" s="73"/>
      <c r="F227" s="72"/>
    </row>
    <row r="228" ht="14.25" customHeight="1">
      <c r="A228" s="73"/>
      <c r="B228" s="73"/>
      <c r="C228" s="73"/>
      <c r="D228" s="73"/>
      <c r="E228" s="73"/>
      <c r="F228" s="72"/>
    </row>
    <row r="229" ht="14.25" customHeight="1">
      <c r="A229" s="73"/>
      <c r="B229" s="73"/>
      <c r="C229" s="73"/>
      <c r="D229" s="73"/>
      <c r="E229" s="73"/>
      <c r="F229" s="72"/>
    </row>
    <row r="230" ht="14.25" customHeight="1">
      <c r="A230" s="73"/>
      <c r="B230" s="73"/>
      <c r="C230" s="73"/>
      <c r="D230" s="73"/>
      <c r="E230" s="73"/>
      <c r="F230" s="72"/>
    </row>
    <row r="231" ht="14.25" customHeight="1">
      <c r="A231" s="73"/>
      <c r="B231" s="73"/>
      <c r="C231" s="73"/>
      <c r="D231" s="73"/>
      <c r="E231" s="73"/>
      <c r="F231" s="72"/>
    </row>
    <row r="232" ht="14.25" customHeight="1">
      <c r="A232" s="73"/>
      <c r="B232" s="73"/>
      <c r="C232" s="73"/>
      <c r="D232" s="73"/>
      <c r="E232" s="73"/>
      <c r="F232" s="72"/>
    </row>
    <row r="233" ht="14.25" customHeight="1">
      <c r="A233" s="73"/>
      <c r="B233" s="73"/>
      <c r="C233" s="73"/>
      <c r="D233" s="73"/>
      <c r="E233" s="73"/>
      <c r="F233" s="72"/>
    </row>
    <row r="234" ht="14.25" customHeight="1">
      <c r="A234" s="73"/>
      <c r="B234" s="73"/>
      <c r="C234" s="73"/>
      <c r="D234" s="73"/>
      <c r="E234" s="73"/>
      <c r="F234" s="72"/>
    </row>
    <row r="235" ht="14.25" customHeight="1">
      <c r="A235" s="73"/>
      <c r="B235" s="73"/>
      <c r="C235" s="73"/>
      <c r="D235" s="73"/>
      <c r="E235" s="73"/>
      <c r="F235" s="72"/>
    </row>
    <row r="236" ht="14.25" customHeight="1">
      <c r="A236" s="73"/>
      <c r="B236" s="73"/>
      <c r="C236" s="73"/>
      <c r="D236" s="73"/>
      <c r="E236" s="73"/>
      <c r="F236" s="72"/>
    </row>
    <row r="237" ht="14.25" customHeight="1">
      <c r="A237" s="73"/>
      <c r="B237" s="73"/>
      <c r="C237" s="73"/>
      <c r="D237" s="73"/>
      <c r="E237" s="73"/>
      <c r="F237" s="72"/>
    </row>
    <row r="238" ht="14.25" customHeight="1">
      <c r="A238" s="73"/>
      <c r="B238" s="73"/>
      <c r="C238" s="73"/>
      <c r="D238" s="73"/>
      <c r="E238" s="73"/>
      <c r="F238" s="72"/>
    </row>
    <row r="239" ht="14.25" customHeight="1">
      <c r="A239" s="73"/>
      <c r="B239" s="73"/>
      <c r="C239" s="73"/>
      <c r="D239" s="73"/>
      <c r="E239" s="73"/>
      <c r="F239" s="72"/>
    </row>
    <row r="240" ht="14.25" customHeight="1">
      <c r="A240" s="73"/>
      <c r="B240" s="73"/>
      <c r="C240" s="73"/>
      <c r="D240" s="73"/>
      <c r="E240" s="73"/>
      <c r="F240" s="72"/>
    </row>
    <row r="241" ht="14.25" customHeight="1">
      <c r="A241" s="73"/>
      <c r="B241" s="73"/>
      <c r="C241" s="73"/>
      <c r="D241" s="73"/>
      <c r="E241" s="73"/>
      <c r="F241" s="72"/>
    </row>
    <row r="242" ht="14.25" customHeight="1">
      <c r="A242" s="73"/>
      <c r="B242" s="73"/>
      <c r="C242" s="73"/>
      <c r="D242" s="73"/>
      <c r="E242" s="73"/>
      <c r="F242" s="72"/>
    </row>
    <row r="243" ht="14.25" customHeight="1">
      <c r="A243" s="73"/>
      <c r="B243" s="73"/>
      <c r="C243" s="73"/>
      <c r="D243" s="73"/>
      <c r="E243" s="73"/>
      <c r="F243" s="72"/>
    </row>
    <row r="244" ht="14.25" customHeight="1">
      <c r="A244" s="73"/>
      <c r="B244" s="73"/>
      <c r="C244" s="73"/>
      <c r="D244" s="73"/>
      <c r="E244" s="73"/>
      <c r="F244" s="72"/>
    </row>
    <row r="245" ht="14.25" customHeight="1">
      <c r="A245" s="73"/>
      <c r="B245" s="73"/>
      <c r="C245" s="73"/>
      <c r="D245" s="73"/>
      <c r="E245" s="73"/>
      <c r="F245" s="72"/>
    </row>
    <row r="246" ht="14.25" customHeight="1">
      <c r="A246" s="73"/>
      <c r="B246" s="73"/>
      <c r="C246" s="73"/>
      <c r="D246" s="73"/>
      <c r="E246" s="73"/>
      <c r="F246" s="72"/>
    </row>
    <row r="247" ht="14.25" customHeight="1">
      <c r="A247" s="73"/>
      <c r="B247" s="73"/>
      <c r="C247" s="73"/>
      <c r="D247" s="73"/>
      <c r="E247" s="73"/>
      <c r="F247" s="72"/>
    </row>
    <row r="248" ht="14.25" customHeight="1">
      <c r="A248" s="73"/>
      <c r="B248" s="73"/>
      <c r="C248" s="73"/>
      <c r="D248" s="73"/>
      <c r="E248" s="73"/>
      <c r="F248" s="72"/>
    </row>
    <row r="249" ht="14.25" customHeight="1">
      <c r="A249" s="73"/>
      <c r="B249" s="73"/>
      <c r="C249" s="73"/>
      <c r="D249" s="73"/>
      <c r="E249" s="73"/>
      <c r="F249" s="72"/>
    </row>
    <row r="250" ht="14.25" customHeight="1">
      <c r="A250" s="73"/>
      <c r="B250" s="73"/>
      <c r="C250" s="73"/>
      <c r="D250" s="73"/>
      <c r="E250" s="73"/>
      <c r="F250" s="72"/>
    </row>
    <row r="251" ht="14.25" customHeight="1">
      <c r="A251" s="73"/>
      <c r="B251" s="73"/>
      <c r="C251" s="73"/>
      <c r="D251" s="73"/>
      <c r="E251" s="73"/>
      <c r="F251" s="72"/>
    </row>
    <row r="252" ht="14.25" customHeight="1">
      <c r="A252" s="73"/>
      <c r="B252" s="73"/>
      <c r="C252" s="73"/>
      <c r="D252" s="73"/>
      <c r="E252" s="73"/>
      <c r="F252" s="72"/>
    </row>
    <row r="253" ht="14.25" customHeight="1">
      <c r="A253" s="73"/>
      <c r="B253" s="73"/>
      <c r="C253" s="73"/>
      <c r="D253" s="73"/>
      <c r="E253" s="73"/>
      <c r="F253" s="72"/>
    </row>
    <row r="254" ht="14.25" customHeight="1">
      <c r="A254" s="73"/>
      <c r="B254" s="73"/>
      <c r="C254" s="73"/>
      <c r="D254" s="73"/>
      <c r="E254" s="73"/>
      <c r="F254" s="72"/>
    </row>
    <row r="255" ht="14.25" customHeight="1">
      <c r="A255" s="73"/>
      <c r="B255" s="73"/>
      <c r="C255" s="73"/>
      <c r="D255" s="73"/>
      <c r="E255" s="73"/>
      <c r="F255" s="72"/>
    </row>
    <row r="256" ht="14.25" customHeight="1">
      <c r="A256" s="73"/>
      <c r="B256" s="73"/>
      <c r="C256" s="73"/>
      <c r="D256" s="73"/>
      <c r="E256" s="73"/>
      <c r="F256" s="72"/>
    </row>
    <row r="257" ht="14.25" customHeight="1">
      <c r="A257" s="73"/>
      <c r="B257" s="73"/>
      <c r="C257" s="73"/>
      <c r="D257" s="73"/>
      <c r="E257" s="73"/>
      <c r="F257" s="72"/>
    </row>
    <row r="258" ht="14.25" customHeight="1">
      <c r="A258" s="73"/>
      <c r="B258" s="73"/>
      <c r="C258" s="73"/>
      <c r="D258" s="73"/>
      <c r="E258" s="73"/>
      <c r="F258" s="72"/>
    </row>
    <row r="259" ht="14.25" customHeight="1">
      <c r="A259" s="73"/>
      <c r="B259" s="73"/>
      <c r="C259" s="73"/>
      <c r="D259" s="73"/>
      <c r="E259" s="73"/>
      <c r="F259" s="72"/>
    </row>
    <row r="260" ht="14.25" customHeight="1">
      <c r="A260" s="73"/>
      <c r="B260" s="73"/>
      <c r="C260" s="73"/>
      <c r="D260" s="73"/>
      <c r="E260" s="73"/>
      <c r="F260" s="72"/>
    </row>
    <row r="261" ht="14.25" customHeight="1">
      <c r="A261" s="73"/>
      <c r="B261" s="73"/>
      <c r="C261" s="73"/>
      <c r="D261" s="73"/>
      <c r="E261" s="73"/>
      <c r="F261" s="72"/>
    </row>
    <row r="262" ht="14.25" customHeight="1">
      <c r="A262" s="73"/>
      <c r="B262" s="73"/>
      <c r="C262" s="73"/>
      <c r="D262" s="73"/>
      <c r="E262" s="73"/>
      <c r="F262" s="72"/>
    </row>
    <row r="263" ht="14.25" customHeight="1">
      <c r="A263" s="73"/>
      <c r="B263" s="73"/>
      <c r="C263" s="73"/>
      <c r="D263" s="73"/>
      <c r="E263" s="73"/>
      <c r="F263" s="72"/>
    </row>
    <row r="264" ht="14.25" customHeight="1">
      <c r="A264" s="73"/>
      <c r="B264" s="73"/>
      <c r="C264" s="73"/>
      <c r="D264" s="73"/>
      <c r="E264" s="73"/>
      <c r="F264" s="72"/>
    </row>
    <row r="265" ht="14.25" customHeight="1">
      <c r="A265" s="73"/>
      <c r="B265" s="73"/>
      <c r="C265" s="73"/>
      <c r="D265" s="73"/>
      <c r="E265" s="73"/>
      <c r="F265" s="72"/>
    </row>
    <row r="266" ht="14.25" customHeight="1">
      <c r="A266" s="73"/>
      <c r="B266" s="73"/>
      <c r="C266" s="73"/>
      <c r="D266" s="73"/>
      <c r="E266" s="73"/>
      <c r="F266" s="72"/>
    </row>
    <row r="267" ht="14.25" customHeight="1">
      <c r="A267" s="73"/>
      <c r="B267" s="73"/>
      <c r="C267" s="73"/>
      <c r="D267" s="73"/>
      <c r="E267" s="73"/>
      <c r="F267" s="72"/>
    </row>
    <row r="268" ht="14.25" customHeight="1">
      <c r="A268" s="73"/>
      <c r="B268" s="73"/>
      <c r="C268" s="73"/>
      <c r="D268" s="73"/>
      <c r="E268" s="73"/>
      <c r="F268" s="72"/>
    </row>
    <row r="269" ht="14.25" customHeight="1">
      <c r="A269" s="73"/>
      <c r="B269" s="73"/>
      <c r="C269" s="73"/>
      <c r="D269" s="73"/>
      <c r="E269" s="73"/>
      <c r="F269" s="72"/>
    </row>
    <row r="270" ht="14.25" customHeight="1">
      <c r="A270" s="73"/>
      <c r="B270" s="73"/>
      <c r="C270" s="73"/>
      <c r="D270" s="73"/>
      <c r="E270" s="73"/>
      <c r="F270" s="72"/>
    </row>
    <row r="271" ht="14.25" customHeight="1">
      <c r="A271" s="73"/>
      <c r="B271" s="73"/>
      <c r="C271" s="73"/>
      <c r="D271" s="73"/>
      <c r="E271" s="73"/>
      <c r="F271" s="72"/>
    </row>
    <row r="272" ht="14.25" customHeight="1">
      <c r="A272" s="73"/>
      <c r="B272" s="73"/>
      <c r="C272" s="73"/>
      <c r="D272" s="73"/>
      <c r="E272" s="73"/>
      <c r="F272" s="72"/>
    </row>
    <row r="273" ht="14.25" customHeight="1">
      <c r="A273" s="73"/>
      <c r="B273" s="73"/>
      <c r="C273" s="73"/>
      <c r="D273" s="73"/>
      <c r="E273" s="73"/>
      <c r="F273" s="72"/>
    </row>
    <row r="274" ht="14.25" customHeight="1">
      <c r="A274" s="73"/>
      <c r="B274" s="73"/>
      <c r="C274" s="73"/>
      <c r="D274" s="73"/>
      <c r="E274" s="73"/>
      <c r="F274" s="72"/>
    </row>
    <row r="275" ht="14.25" customHeight="1">
      <c r="A275" s="73"/>
      <c r="B275" s="73"/>
      <c r="C275" s="73"/>
      <c r="D275" s="73"/>
      <c r="E275" s="73"/>
      <c r="F275" s="72"/>
    </row>
    <row r="276" ht="14.25" customHeight="1">
      <c r="A276" s="73"/>
      <c r="B276" s="73"/>
      <c r="C276" s="73"/>
      <c r="D276" s="73"/>
      <c r="E276" s="73"/>
      <c r="F276" s="72"/>
    </row>
    <row r="277" ht="14.25" customHeight="1">
      <c r="A277" s="73"/>
      <c r="B277" s="73"/>
      <c r="C277" s="73"/>
      <c r="D277" s="73"/>
      <c r="E277" s="73"/>
      <c r="F277" s="72"/>
    </row>
    <row r="278" ht="14.25" customHeight="1">
      <c r="A278" s="73"/>
      <c r="B278" s="73"/>
      <c r="C278" s="73"/>
      <c r="D278" s="73"/>
      <c r="E278" s="73"/>
      <c r="F278" s="72"/>
    </row>
    <row r="279" ht="14.25" customHeight="1">
      <c r="A279" s="73"/>
      <c r="B279" s="73"/>
      <c r="C279" s="73"/>
      <c r="D279" s="73"/>
      <c r="E279" s="73"/>
      <c r="F279" s="72"/>
    </row>
    <row r="280" ht="14.25" customHeight="1">
      <c r="A280" s="73"/>
      <c r="B280" s="73"/>
      <c r="C280" s="73"/>
      <c r="D280" s="73"/>
      <c r="E280" s="73"/>
      <c r="F280" s="72"/>
    </row>
    <row r="281" ht="14.25" customHeight="1">
      <c r="A281" s="73"/>
      <c r="B281" s="73"/>
      <c r="C281" s="73"/>
      <c r="D281" s="73"/>
      <c r="E281" s="73"/>
      <c r="F281" s="72"/>
    </row>
    <row r="282" ht="14.25" customHeight="1">
      <c r="A282" s="73"/>
      <c r="B282" s="73"/>
      <c r="C282" s="73"/>
      <c r="D282" s="73"/>
      <c r="E282" s="73"/>
      <c r="F282" s="72"/>
    </row>
    <row r="283" ht="14.25" customHeight="1">
      <c r="A283" s="73"/>
      <c r="B283" s="73"/>
      <c r="C283" s="73"/>
      <c r="D283" s="73"/>
      <c r="E283" s="73"/>
      <c r="F283" s="72"/>
    </row>
    <row r="284" ht="14.25" customHeight="1">
      <c r="A284" s="73"/>
      <c r="B284" s="73"/>
      <c r="C284" s="73"/>
      <c r="D284" s="73"/>
      <c r="E284" s="73"/>
      <c r="F284" s="72"/>
    </row>
    <row r="285" ht="14.25" customHeight="1">
      <c r="A285" s="73"/>
      <c r="B285" s="73"/>
      <c r="C285" s="73"/>
      <c r="D285" s="73"/>
      <c r="E285" s="73"/>
      <c r="F285" s="72"/>
    </row>
    <row r="286" ht="14.25" customHeight="1">
      <c r="A286" s="73"/>
      <c r="B286" s="73"/>
      <c r="C286" s="73"/>
      <c r="D286" s="73"/>
      <c r="E286" s="73"/>
      <c r="F286" s="72"/>
    </row>
    <row r="287" ht="14.25" customHeight="1">
      <c r="A287" s="73"/>
      <c r="B287" s="73"/>
      <c r="C287" s="73"/>
      <c r="D287" s="73"/>
      <c r="E287" s="73"/>
      <c r="F287" s="72"/>
    </row>
    <row r="288" ht="14.25" customHeight="1">
      <c r="A288" s="73"/>
      <c r="B288" s="73"/>
      <c r="C288" s="73"/>
      <c r="D288" s="73"/>
      <c r="E288" s="73"/>
      <c r="F288" s="72"/>
    </row>
    <row r="289" ht="14.25" customHeight="1">
      <c r="A289" s="73"/>
      <c r="B289" s="73"/>
      <c r="C289" s="73"/>
      <c r="D289" s="73"/>
      <c r="E289" s="73"/>
      <c r="F289" s="72"/>
    </row>
    <row r="290" ht="14.25" customHeight="1">
      <c r="A290" s="73"/>
      <c r="B290" s="73"/>
      <c r="C290" s="73"/>
      <c r="D290" s="73"/>
      <c r="E290" s="73"/>
      <c r="F290" s="72"/>
    </row>
    <row r="291" ht="14.25" customHeight="1">
      <c r="A291" s="73"/>
      <c r="B291" s="73"/>
      <c r="C291" s="73"/>
      <c r="D291" s="73"/>
      <c r="E291" s="73"/>
      <c r="F291" s="72"/>
    </row>
    <row r="292" ht="14.25" customHeight="1">
      <c r="A292" s="73"/>
      <c r="B292" s="73"/>
      <c r="C292" s="73"/>
      <c r="D292" s="73"/>
      <c r="E292" s="73"/>
      <c r="F292" s="72"/>
    </row>
    <row r="293" ht="14.25" customHeight="1">
      <c r="A293" s="73"/>
      <c r="B293" s="73"/>
      <c r="C293" s="73"/>
      <c r="D293" s="73"/>
      <c r="E293" s="73"/>
      <c r="F293" s="72"/>
    </row>
    <row r="294" ht="14.25" customHeight="1">
      <c r="A294" s="73"/>
      <c r="B294" s="73"/>
      <c r="C294" s="73"/>
      <c r="D294" s="73"/>
      <c r="E294" s="73"/>
      <c r="F294" s="72"/>
    </row>
    <row r="295" ht="14.25" customHeight="1">
      <c r="A295" s="73"/>
      <c r="B295" s="73"/>
      <c r="C295" s="73"/>
      <c r="D295" s="73"/>
      <c r="E295" s="73"/>
      <c r="F295" s="72"/>
    </row>
    <row r="296" ht="14.25" customHeight="1">
      <c r="A296" s="73"/>
      <c r="B296" s="73"/>
      <c r="C296" s="73"/>
      <c r="D296" s="73"/>
      <c r="E296" s="73"/>
      <c r="F296" s="72"/>
    </row>
    <row r="297" ht="14.25" customHeight="1">
      <c r="A297" s="73"/>
      <c r="B297" s="73"/>
      <c r="C297" s="73"/>
      <c r="D297" s="73"/>
      <c r="E297" s="73"/>
      <c r="F297" s="72"/>
    </row>
    <row r="298" ht="14.25" customHeight="1">
      <c r="A298" s="73"/>
      <c r="B298" s="73"/>
      <c r="C298" s="73"/>
      <c r="D298" s="73"/>
      <c r="E298" s="73"/>
      <c r="F298" s="72"/>
    </row>
    <row r="299" ht="14.25" customHeight="1">
      <c r="A299" s="73"/>
      <c r="B299" s="73"/>
      <c r="C299" s="73"/>
      <c r="D299" s="73"/>
      <c r="E299" s="73"/>
      <c r="F299" s="72"/>
    </row>
    <row r="300" ht="14.25" customHeight="1">
      <c r="A300" s="73"/>
      <c r="B300" s="73"/>
      <c r="C300" s="73"/>
      <c r="D300" s="73"/>
      <c r="E300" s="73"/>
      <c r="F300" s="72"/>
    </row>
    <row r="301" ht="14.25" customHeight="1">
      <c r="A301" s="73"/>
      <c r="B301" s="73"/>
      <c r="C301" s="73"/>
      <c r="D301" s="73"/>
      <c r="E301" s="73"/>
      <c r="F301" s="72"/>
    </row>
    <row r="302" ht="14.25" customHeight="1">
      <c r="A302" s="73"/>
      <c r="B302" s="73"/>
      <c r="C302" s="73"/>
      <c r="D302" s="73"/>
      <c r="E302" s="73"/>
      <c r="F302" s="72"/>
    </row>
    <row r="303" ht="14.25" customHeight="1">
      <c r="A303" s="73"/>
      <c r="B303" s="73"/>
      <c r="C303" s="73"/>
      <c r="D303" s="73"/>
      <c r="E303" s="73"/>
      <c r="F303" s="72"/>
    </row>
    <row r="304" ht="14.25" customHeight="1">
      <c r="A304" s="73"/>
      <c r="B304" s="73"/>
      <c r="C304" s="73"/>
      <c r="D304" s="73"/>
      <c r="E304" s="73"/>
      <c r="F304" s="72"/>
    </row>
    <row r="305" ht="14.25" customHeight="1">
      <c r="A305" s="73"/>
      <c r="B305" s="73"/>
      <c r="C305" s="73"/>
      <c r="D305" s="73"/>
      <c r="E305" s="73"/>
      <c r="F305" s="72"/>
    </row>
    <row r="306" ht="14.25" customHeight="1">
      <c r="A306" s="73"/>
      <c r="B306" s="73"/>
      <c r="C306" s="73"/>
      <c r="D306" s="73"/>
      <c r="E306" s="73"/>
      <c r="F306" s="72"/>
    </row>
    <row r="307" ht="14.25" customHeight="1">
      <c r="A307" s="73"/>
      <c r="B307" s="73"/>
      <c r="C307" s="73"/>
      <c r="D307" s="73"/>
      <c r="E307" s="73"/>
      <c r="F307" s="72"/>
    </row>
    <row r="308" ht="14.25" customHeight="1">
      <c r="A308" s="73"/>
      <c r="B308" s="73"/>
      <c r="C308" s="73"/>
      <c r="D308" s="73"/>
      <c r="E308" s="73"/>
      <c r="F308" s="72"/>
    </row>
    <row r="309" ht="14.25" customHeight="1">
      <c r="A309" s="73"/>
      <c r="B309" s="73"/>
      <c r="C309" s="73"/>
      <c r="D309" s="73"/>
      <c r="E309" s="73"/>
      <c r="F309" s="72"/>
    </row>
    <row r="310" ht="14.25" customHeight="1">
      <c r="A310" s="73"/>
      <c r="B310" s="73"/>
      <c r="C310" s="73"/>
      <c r="D310" s="73"/>
      <c r="E310" s="73"/>
      <c r="F310" s="72"/>
    </row>
    <row r="311" ht="14.25" customHeight="1">
      <c r="A311" s="73"/>
      <c r="B311" s="73"/>
      <c r="C311" s="73"/>
      <c r="D311" s="73"/>
      <c r="E311" s="73"/>
      <c r="F311" s="72"/>
    </row>
    <row r="312" ht="14.25" customHeight="1">
      <c r="A312" s="73"/>
      <c r="B312" s="73"/>
      <c r="C312" s="73"/>
      <c r="D312" s="73"/>
      <c r="E312" s="73"/>
      <c r="F312" s="72"/>
    </row>
    <row r="313" ht="14.25" customHeight="1">
      <c r="A313" s="73"/>
      <c r="B313" s="73"/>
      <c r="C313" s="73"/>
      <c r="D313" s="73"/>
      <c r="E313" s="73"/>
      <c r="F313" s="72"/>
    </row>
    <row r="314" ht="14.25" customHeight="1">
      <c r="A314" s="73"/>
      <c r="B314" s="73"/>
      <c r="C314" s="73"/>
      <c r="D314" s="73"/>
      <c r="E314" s="73"/>
      <c r="F314" s="72"/>
    </row>
    <row r="315" ht="14.25" customHeight="1">
      <c r="A315" s="73"/>
      <c r="B315" s="73"/>
      <c r="C315" s="73"/>
      <c r="D315" s="73"/>
      <c r="E315" s="73"/>
      <c r="F315" s="72"/>
    </row>
    <row r="316" ht="14.25" customHeight="1">
      <c r="A316" s="73"/>
      <c r="B316" s="73"/>
      <c r="C316" s="73"/>
      <c r="D316" s="73"/>
      <c r="E316" s="73"/>
      <c r="F316" s="72"/>
    </row>
    <row r="317" ht="14.25" customHeight="1">
      <c r="A317" s="73"/>
      <c r="B317" s="73"/>
      <c r="C317" s="73"/>
      <c r="D317" s="73"/>
      <c r="E317" s="73"/>
      <c r="F317" s="72"/>
    </row>
    <row r="318" ht="14.25" customHeight="1">
      <c r="A318" s="73"/>
      <c r="B318" s="73"/>
      <c r="C318" s="73"/>
      <c r="D318" s="73"/>
      <c r="E318" s="73"/>
      <c r="F318" s="72"/>
    </row>
    <row r="319" ht="14.25" customHeight="1">
      <c r="A319" s="73"/>
      <c r="B319" s="73"/>
      <c r="C319" s="73"/>
      <c r="D319" s="73"/>
      <c r="E319" s="73"/>
      <c r="F319" s="72"/>
    </row>
    <row r="320" ht="14.25" customHeight="1">
      <c r="A320" s="73"/>
      <c r="B320" s="73"/>
      <c r="C320" s="73"/>
      <c r="D320" s="73"/>
      <c r="E320" s="73"/>
      <c r="F320" s="72"/>
    </row>
    <row r="321" ht="14.25" customHeight="1">
      <c r="A321" s="73"/>
      <c r="B321" s="73"/>
      <c r="C321" s="73"/>
      <c r="D321" s="73"/>
      <c r="E321" s="73"/>
      <c r="F321" s="72"/>
    </row>
    <row r="322" ht="14.25" customHeight="1">
      <c r="A322" s="73"/>
      <c r="B322" s="73"/>
      <c r="C322" s="73"/>
      <c r="D322" s="73"/>
      <c r="E322" s="73"/>
      <c r="F322" s="72"/>
    </row>
    <row r="323" ht="14.25" customHeight="1">
      <c r="A323" s="73"/>
      <c r="B323" s="73"/>
      <c r="C323" s="73"/>
      <c r="D323" s="73"/>
      <c r="E323" s="73"/>
      <c r="F323" s="72"/>
    </row>
    <row r="324" ht="14.25" customHeight="1">
      <c r="A324" s="73"/>
      <c r="B324" s="73"/>
      <c r="C324" s="73"/>
      <c r="D324" s="73"/>
      <c r="E324" s="73"/>
      <c r="F324" s="72"/>
    </row>
    <row r="325" ht="14.25" customHeight="1">
      <c r="A325" s="73"/>
      <c r="B325" s="73"/>
      <c r="C325" s="73"/>
      <c r="D325" s="73"/>
      <c r="E325" s="73"/>
      <c r="F325" s="72"/>
    </row>
    <row r="326" ht="14.25" customHeight="1">
      <c r="A326" s="73"/>
      <c r="B326" s="73"/>
      <c r="C326" s="73"/>
      <c r="D326" s="73"/>
      <c r="E326" s="73"/>
      <c r="F326" s="72"/>
    </row>
    <row r="327" ht="14.25" customHeight="1">
      <c r="A327" s="73"/>
      <c r="B327" s="73"/>
      <c r="C327" s="73"/>
      <c r="D327" s="73"/>
      <c r="E327" s="73"/>
      <c r="F327" s="72"/>
    </row>
    <row r="328" ht="14.25" customHeight="1">
      <c r="A328" s="73"/>
      <c r="B328" s="73"/>
      <c r="C328" s="73"/>
      <c r="D328" s="73"/>
      <c r="E328" s="73"/>
      <c r="F328" s="72"/>
    </row>
    <row r="329" ht="14.25" customHeight="1">
      <c r="A329" s="73"/>
      <c r="B329" s="73"/>
      <c r="C329" s="73"/>
      <c r="D329" s="73"/>
      <c r="E329" s="73"/>
      <c r="F329" s="72"/>
    </row>
    <row r="330" ht="14.25" customHeight="1">
      <c r="A330" s="73"/>
      <c r="B330" s="73"/>
      <c r="C330" s="73"/>
      <c r="D330" s="73"/>
      <c r="E330" s="73"/>
      <c r="F330" s="72"/>
    </row>
    <row r="331" ht="14.25" customHeight="1">
      <c r="A331" s="73"/>
      <c r="B331" s="73"/>
      <c r="C331" s="73"/>
      <c r="D331" s="73"/>
      <c r="E331" s="73"/>
      <c r="F331" s="72"/>
    </row>
    <row r="332" ht="14.25" customHeight="1">
      <c r="A332" s="73"/>
      <c r="B332" s="73"/>
      <c r="C332" s="73"/>
      <c r="D332" s="73"/>
      <c r="E332" s="73"/>
      <c r="F332" s="72"/>
    </row>
    <row r="333" ht="14.25" customHeight="1">
      <c r="A333" s="73"/>
      <c r="B333" s="73"/>
      <c r="C333" s="73"/>
      <c r="D333" s="73"/>
      <c r="E333" s="73"/>
      <c r="F333" s="72"/>
    </row>
    <row r="334" ht="14.25" customHeight="1">
      <c r="A334" s="73"/>
      <c r="B334" s="73"/>
      <c r="C334" s="73"/>
      <c r="D334" s="73"/>
      <c r="E334" s="73"/>
      <c r="F334" s="72"/>
    </row>
    <row r="335" ht="14.25" customHeight="1">
      <c r="A335" s="73"/>
      <c r="B335" s="73"/>
      <c r="C335" s="73"/>
      <c r="D335" s="73"/>
      <c r="E335" s="73"/>
      <c r="F335" s="72"/>
    </row>
    <row r="336" ht="14.25" customHeight="1">
      <c r="A336" s="73"/>
      <c r="B336" s="73"/>
      <c r="C336" s="73"/>
      <c r="D336" s="73"/>
      <c r="E336" s="73"/>
      <c r="F336" s="72"/>
    </row>
    <row r="337" ht="14.25" customHeight="1">
      <c r="A337" s="73"/>
      <c r="B337" s="73"/>
      <c r="C337" s="73"/>
      <c r="D337" s="73"/>
      <c r="E337" s="73"/>
      <c r="F337" s="72"/>
    </row>
    <row r="338" ht="14.25" customHeight="1">
      <c r="A338" s="73"/>
      <c r="B338" s="73"/>
      <c r="C338" s="73"/>
      <c r="D338" s="73"/>
      <c r="E338" s="73"/>
      <c r="F338" s="72"/>
    </row>
    <row r="339" ht="14.25" customHeight="1">
      <c r="A339" s="73"/>
      <c r="B339" s="73"/>
      <c r="C339" s="73"/>
      <c r="D339" s="73"/>
      <c r="E339" s="73"/>
      <c r="F339" s="72"/>
    </row>
    <row r="340" ht="14.25" customHeight="1">
      <c r="A340" s="73"/>
      <c r="B340" s="73"/>
      <c r="C340" s="73"/>
      <c r="D340" s="73"/>
      <c r="E340" s="73"/>
      <c r="F340" s="72"/>
    </row>
    <row r="341" ht="14.25" customHeight="1">
      <c r="A341" s="73"/>
      <c r="B341" s="73"/>
      <c r="C341" s="73"/>
      <c r="D341" s="73"/>
      <c r="E341" s="73"/>
      <c r="F341" s="72"/>
    </row>
    <row r="342" ht="14.25" customHeight="1">
      <c r="A342" s="73"/>
      <c r="B342" s="73"/>
      <c r="C342" s="73"/>
      <c r="D342" s="73"/>
      <c r="E342" s="73"/>
      <c r="F342" s="72"/>
    </row>
    <row r="343" ht="14.25" customHeight="1">
      <c r="A343" s="73"/>
      <c r="B343" s="73"/>
      <c r="C343" s="73"/>
      <c r="D343" s="73"/>
      <c r="E343" s="73"/>
      <c r="F343" s="72"/>
    </row>
    <row r="344" ht="14.25" customHeight="1">
      <c r="A344" s="73"/>
      <c r="B344" s="73"/>
      <c r="C344" s="73"/>
      <c r="D344" s="73"/>
      <c r="E344" s="73"/>
      <c r="F344" s="72"/>
    </row>
    <row r="345" ht="14.25" customHeight="1">
      <c r="A345" s="73"/>
      <c r="B345" s="73"/>
      <c r="C345" s="73"/>
      <c r="D345" s="73"/>
      <c r="E345" s="73"/>
      <c r="F345" s="72"/>
    </row>
    <row r="346" ht="14.25" customHeight="1">
      <c r="A346" s="73"/>
      <c r="B346" s="73"/>
      <c r="C346" s="73"/>
      <c r="D346" s="73"/>
      <c r="E346" s="73"/>
      <c r="F346" s="72"/>
    </row>
    <row r="347" ht="14.25" customHeight="1">
      <c r="A347" s="73"/>
      <c r="B347" s="73"/>
      <c r="C347" s="73"/>
      <c r="D347" s="73"/>
      <c r="E347" s="73"/>
      <c r="F347" s="72"/>
    </row>
    <row r="348" ht="14.25" customHeight="1">
      <c r="A348" s="73"/>
      <c r="B348" s="73"/>
      <c r="C348" s="73"/>
      <c r="D348" s="73"/>
      <c r="E348" s="73"/>
      <c r="F348" s="72"/>
    </row>
    <row r="349" ht="14.25" customHeight="1">
      <c r="A349" s="73"/>
      <c r="B349" s="73"/>
      <c r="C349" s="73"/>
      <c r="D349" s="73"/>
      <c r="E349" s="73"/>
      <c r="F349" s="72"/>
    </row>
    <row r="350" ht="14.25" customHeight="1">
      <c r="A350" s="73"/>
      <c r="B350" s="73"/>
      <c r="C350" s="73"/>
      <c r="D350" s="73"/>
      <c r="E350" s="73"/>
      <c r="F350" s="72"/>
    </row>
    <row r="351" ht="14.25" customHeight="1">
      <c r="A351" s="73"/>
      <c r="B351" s="73"/>
      <c r="C351" s="73"/>
      <c r="D351" s="73"/>
      <c r="E351" s="73"/>
      <c r="F351" s="72"/>
    </row>
    <row r="352" ht="14.25" customHeight="1">
      <c r="A352" s="73"/>
      <c r="B352" s="73"/>
      <c r="C352" s="73"/>
      <c r="D352" s="73"/>
      <c r="E352" s="73"/>
      <c r="F352" s="72"/>
    </row>
    <row r="353" ht="14.25" customHeight="1">
      <c r="A353" s="73"/>
      <c r="B353" s="73"/>
      <c r="C353" s="73"/>
      <c r="D353" s="73"/>
      <c r="E353" s="73"/>
      <c r="F353" s="72"/>
    </row>
    <row r="354" ht="14.25" customHeight="1">
      <c r="A354" s="73"/>
      <c r="B354" s="73"/>
      <c r="C354" s="73"/>
      <c r="D354" s="73"/>
      <c r="E354" s="73"/>
      <c r="F354" s="72"/>
    </row>
    <row r="355" ht="14.25" customHeight="1">
      <c r="A355" s="73"/>
      <c r="B355" s="73"/>
      <c r="C355" s="73"/>
      <c r="D355" s="73"/>
      <c r="E355" s="73"/>
      <c r="F355" s="72"/>
    </row>
    <row r="356" ht="14.25" customHeight="1">
      <c r="A356" s="73"/>
      <c r="B356" s="73"/>
      <c r="C356" s="73"/>
      <c r="D356" s="73"/>
      <c r="E356" s="73"/>
      <c r="F356" s="72"/>
    </row>
    <row r="357" ht="14.25" customHeight="1">
      <c r="A357" s="73"/>
      <c r="B357" s="73"/>
      <c r="C357" s="73"/>
      <c r="D357" s="73"/>
      <c r="E357" s="73"/>
      <c r="F357" s="72"/>
    </row>
    <row r="358" ht="14.25" customHeight="1">
      <c r="A358" s="73"/>
      <c r="B358" s="73"/>
      <c r="C358" s="73"/>
      <c r="D358" s="73"/>
      <c r="E358" s="73"/>
      <c r="F358" s="72"/>
    </row>
    <row r="359" ht="14.25" customHeight="1">
      <c r="A359" s="73"/>
      <c r="B359" s="73"/>
      <c r="C359" s="73"/>
      <c r="D359" s="73"/>
      <c r="E359" s="73"/>
      <c r="F359" s="72"/>
    </row>
    <row r="360" ht="14.25" customHeight="1">
      <c r="A360" s="73"/>
      <c r="B360" s="73"/>
      <c r="C360" s="73"/>
      <c r="D360" s="73"/>
      <c r="E360" s="73"/>
      <c r="F360" s="72"/>
    </row>
    <row r="361" ht="14.25" customHeight="1">
      <c r="A361" s="73"/>
      <c r="B361" s="73"/>
      <c r="C361" s="73"/>
      <c r="D361" s="73"/>
      <c r="E361" s="73"/>
      <c r="F361" s="72"/>
    </row>
    <row r="362" ht="14.25" customHeight="1">
      <c r="A362" s="73"/>
      <c r="B362" s="73"/>
      <c r="C362" s="73"/>
      <c r="D362" s="73"/>
      <c r="E362" s="73"/>
      <c r="F362" s="72"/>
    </row>
    <row r="363" ht="14.25" customHeight="1">
      <c r="A363" s="73"/>
      <c r="B363" s="73"/>
      <c r="C363" s="73"/>
      <c r="D363" s="73"/>
      <c r="E363" s="73"/>
      <c r="F363" s="72"/>
    </row>
    <row r="364" ht="14.25" customHeight="1">
      <c r="A364" s="73"/>
      <c r="B364" s="73"/>
      <c r="C364" s="73"/>
      <c r="D364" s="73"/>
      <c r="E364" s="73"/>
      <c r="F364" s="72"/>
    </row>
    <row r="365" ht="14.25" customHeight="1">
      <c r="A365" s="73"/>
      <c r="B365" s="73"/>
      <c r="C365" s="73"/>
      <c r="D365" s="73"/>
      <c r="E365" s="73"/>
      <c r="F365" s="72"/>
    </row>
    <row r="366" ht="14.25" customHeight="1">
      <c r="A366" s="73"/>
      <c r="B366" s="73"/>
      <c r="C366" s="73"/>
      <c r="D366" s="73"/>
      <c r="E366" s="73"/>
      <c r="F366" s="72"/>
    </row>
    <row r="367" ht="14.25" customHeight="1">
      <c r="A367" s="73"/>
      <c r="B367" s="73"/>
      <c r="C367" s="73"/>
      <c r="D367" s="73"/>
      <c r="E367" s="73"/>
      <c r="F367" s="72"/>
    </row>
    <row r="368" ht="14.25" customHeight="1">
      <c r="A368" s="73"/>
      <c r="B368" s="73"/>
      <c r="C368" s="73"/>
      <c r="D368" s="73"/>
      <c r="E368" s="73"/>
      <c r="F368" s="72"/>
    </row>
    <row r="369" ht="14.25" customHeight="1">
      <c r="A369" s="73"/>
      <c r="B369" s="73"/>
      <c r="C369" s="73"/>
      <c r="D369" s="73"/>
      <c r="E369" s="73"/>
      <c r="F369" s="72"/>
    </row>
    <row r="370" ht="14.25" customHeight="1">
      <c r="A370" s="73"/>
      <c r="B370" s="73"/>
      <c r="C370" s="73"/>
      <c r="D370" s="73"/>
      <c r="E370" s="73"/>
      <c r="F370" s="72"/>
    </row>
    <row r="371" ht="14.25" customHeight="1">
      <c r="A371" s="73"/>
      <c r="B371" s="73"/>
      <c r="C371" s="73"/>
      <c r="D371" s="73"/>
      <c r="E371" s="73"/>
      <c r="F371" s="72"/>
    </row>
    <row r="372" ht="14.25" customHeight="1">
      <c r="A372" s="73"/>
      <c r="B372" s="73"/>
      <c r="C372" s="73"/>
      <c r="D372" s="73"/>
      <c r="E372" s="73"/>
      <c r="F372" s="72"/>
    </row>
    <row r="373" ht="14.25" customHeight="1">
      <c r="A373" s="73"/>
      <c r="B373" s="73"/>
      <c r="C373" s="73"/>
      <c r="D373" s="73"/>
      <c r="E373" s="73"/>
      <c r="F373" s="72"/>
    </row>
    <row r="374" ht="14.25" customHeight="1">
      <c r="A374" s="73"/>
      <c r="B374" s="73"/>
      <c r="C374" s="73"/>
      <c r="D374" s="73"/>
      <c r="E374" s="73"/>
      <c r="F374" s="72"/>
    </row>
    <row r="375" ht="14.25" customHeight="1">
      <c r="A375" s="73"/>
      <c r="B375" s="73"/>
      <c r="C375" s="73"/>
      <c r="D375" s="73"/>
      <c r="E375" s="73"/>
      <c r="F375" s="72"/>
    </row>
    <row r="376" ht="14.25" customHeight="1">
      <c r="A376" s="73"/>
      <c r="B376" s="73"/>
      <c r="C376" s="73"/>
      <c r="D376" s="73"/>
      <c r="E376" s="73"/>
      <c r="F376" s="72"/>
    </row>
    <row r="377" ht="14.25" customHeight="1">
      <c r="A377" s="73"/>
      <c r="B377" s="73"/>
      <c r="C377" s="73"/>
      <c r="D377" s="73"/>
      <c r="E377" s="73"/>
      <c r="F377" s="72"/>
    </row>
    <row r="378" ht="14.25" customHeight="1">
      <c r="A378" s="73"/>
      <c r="B378" s="73"/>
      <c r="C378" s="73"/>
      <c r="D378" s="73"/>
      <c r="E378" s="73"/>
      <c r="F378" s="72"/>
    </row>
    <row r="379" ht="14.25" customHeight="1">
      <c r="A379" s="73"/>
      <c r="B379" s="73"/>
      <c r="C379" s="73"/>
      <c r="D379" s="73"/>
      <c r="E379" s="73"/>
      <c r="F379" s="72"/>
    </row>
    <row r="380" ht="14.25" customHeight="1">
      <c r="A380" s="73"/>
      <c r="B380" s="73"/>
      <c r="C380" s="73"/>
      <c r="D380" s="73"/>
      <c r="E380" s="73"/>
      <c r="F380" s="72"/>
    </row>
    <row r="381" ht="14.25" customHeight="1">
      <c r="A381" s="73"/>
      <c r="B381" s="73"/>
      <c r="C381" s="73"/>
      <c r="D381" s="73"/>
      <c r="E381" s="73"/>
      <c r="F381" s="72"/>
    </row>
    <row r="382" ht="14.25" customHeight="1">
      <c r="A382" s="73"/>
      <c r="B382" s="73"/>
      <c r="C382" s="73"/>
      <c r="D382" s="73"/>
      <c r="E382" s="73"/>
      <c r="F382" s="72"/>
    </row>
    <row r="383" ht="14.25" customHeight="1">
      <c r="A383" s="73"/>
      <c r="B383" s="73"/>
      <c r="C383" s="73"/>
      <c r="D383" s="73"/>
      <c r="E383" s="73"/>
      <c r="F383" s="72"/>
    </row>
    <row r="384" ht="14.25" customHeight="1">
      <c r="A384" s="73"/>
      <c r="B384" s="73"/>
      <c r="C384" s="73"/>
      <c r="D384" s="73"/>
      <c r="E384" s="73"/>
      <c r="F384" s="72"/>
    </row>
    <row r="385" ht="14.25" customHeight="1">
      <c r="A385" s="73"/>
      <c r="B385" s="73"/>
      <c r="C385" s="73"/>
      <c r="D385" s="73"/>
      <c r="E385" s="73"/>
      <c r="F385" s="72"/>
    </row>
    <row r="386" ht="14.25" customHeight="1">
      <c r="A386" s="73"/>
      <c r="B386" s="73"/>
      <c r="C386" s="73"/>
      <c r="D386" s="73"/>
      <c r="E386" s="73"/>
      <c r="F386" s="72"/>
    </row>
    <row r="387" ht="14.25" customHeight="1">
      <c r="A387" s="73"/>
      <c r="B387" s="73"/>
      <c r="C387" s="73"/>
      <c r="D387" s="73"/>
      <c r="E387" s="73"/>
      <c r="F387" s="72"/>
    </row>
    <row r="388" ht="14.25" customHeight="1">
      <c r="A388" s="73"/>
      <c r="B388" s="73"/>
      <c r="C388" s="73"/>
      <c r="D388" s="73"/>
      <c r="E388" s="73"/>
      <c r="F388" s="72"/>
    </row>
    <row r="389" ht="14.25" customHeight="1">
      <c r="A389" s="73"/>
      <c r="B389" s="73"/>
      <c r="C389" s="73"/>
      <c r="D389" s="73"/>
      <c r="E389" s="73"/>
      <c r="F389" s="72"/>
    </row>
    <row r="390" ht="14.25" customHeight="1">
      <c r="A390" s="73"/>
      <c r="B390" s="73"/>
      <c r="C390" s="73"/>
      <c r="D390" s="73"/>
      <c r="E390" s="73"/>
      <c r="F390" s="72"/>
    </row>
    <row r="391" ht="14.25" customHeight="1">
      <c r="A391" s="73"/>
      <c r="B391" s="73"/>
      <c r="C391" s="73"/>
      <c r="D391" s="73"/>
      <c r="E391" s="73"/>
      <c r="F391" s="72"/>
    </row>
    <row r="392" ht="14.25" customHeight="1">
      <c r="A392" s="73"/>
      <c r="B392" s="73"/>
      <c r="C392" s="73"/>
      <c r="D392" s="73"/>
      <c r="E392" s="73"/>
      <c r="F392" s="72"/>
    </row>
    <row r="393" ht="14.25" customHeight="1">
      <c r="A393" s="73"/>
      <c r="B393" s="73"/>
      <c r="C393" s="73"/>
      <c r="D393" s="73"/>
      <c r="E393" s="73"/>
      <c r="F393" s="72"/>
    </row>
    <row r="394" ht="14.25" customHeight="1">
      <c r="A394" s="73"/>
      <c r="B394" s="73"/>
      <c r="C394" s="73"/>
      <c r="D394" s="73"/>
      <c r="E394" s="73"/>
      <c r="F394" s="72"/>
    </row>
    <row r="395" ht="14.25" customHeight="1">
      <c r="A395" s="73"/>
      <c r="B395" s="73"/>
      <c r="C395" s="73"/>
      <c r="D395" s="73"/>
      <c r="E395" s="73"/>
      <c r="F395" s="72"/>
    </row>
    <row r="396" ht="14.25" customHeight="1">
      <c r="A396" s="73"/>
      <c r="B396" s="73"/>
      <c r="C396" s="73"/>
      <c r="D396" s="73"/>
      <c r="E396" s="73"/>
      <c r="F396" s="72"/>
    </row>
    <row r="397" ht="14.25" customHeight="1">
      <c r="A397" s="73"/>
      <c r="B397" s="73"/>
      <c r="C397" s="73"/>
      <c r="D397" s="73"/>
      <c r="E397" s="73"/>
      <c r="F397" s="72"/>
    </row>
    <row r="398" ht="14.25" customHeight="1">
      <c r="A398" s="73"/>
      <c r="B398" s="73"/>
      <c r="C398" s="73"/>
      <c r="D398" s="73"/>
      <c r="E398" s="73"/>
      <c r="F398" s="72"/>
    </row>
    <row r="399" ht="14.25" customHeight="1">
      <c r="A399" s="73"/>
      <c r="B399" s="73"/>
      <c r="C399" s="73"/>
      <c r="D399" s="73"/>
      <c r="E399" s="73"/>
      <c r="F399" s="72"/>
    </row>
    <row r="400" ht="14.25" customHeight="1">
      <c r="A400" s="73"/>
      <c r="B400" s="73"/>
      <c r="C400" s="73"/>
      <c r="D400" s="73"/>
      <c r="E400" s="73"/>
      <c r="F400" s="72"/>
    </row>
    <row r="401" ht="14.25" customHeight="1">
      <c r="A401" s="73"/>
      <c r="B401" s="73"/>
      <c r="C401" s="73"/>
      <c r="D401" s="73"/>
      <c r="E401" s="73"/>
      <c r="F401" s="72"/>
    </row>
    <row r="402" ht="14.25" customHeight="1">
      <c r="A402" s="73"/>
      <c r="B402" s="73"/>
      <c r="C402" s="73"/>
      <c r="D402" s="73"/>
      <c r="E402" s="73"/>
      <c r="F402" s="72"/>
    </row>
    <row r="403" ht="14.25" customHeight="1">
      <c r="A403" s="73"/>
      <c r="B403" s="73"/>
      <c r="C403" s="73"/>
      <c r="D403" s="73"/>
      <c r="E403" s="73"/>
      <c r="F403" s="72"/>
    </row>
    <row r="404" ht="14.25" customHeight="1">
      <c r="A404" s="73"/>
      <c r="B404" s="73"/>
      <c r="C404" s="73"/>
      <c r="D404" s="73"/>
      <c r="E404" s="73"/>
      <c r="F404" s="72"/>
    </row>
    <row r="405" ht="14.25" customHeight="1">
      <c r="A405" s="73"/>
      <c r="B405" s="73"/>
      <c r="C405" s="73"/>
      <c r="D405" s="73"/>
      <c r="E405" s="73"/>
      <c r="F405" s="72"/>
    </row>
    <row r="406" ht="14.25" customHeight="1">
      <c r="A406" s="73"/>
      <c r="B406" s="73"/>
      <c r="C406" s="73"/>
      <c r="D406" s="73"/>
      <c r="E406" s="73"/>
      <c r="F406" s="72"/>
    </row>
    <row r="407" ht="14.25" customHeight="1">
      <c r="A407" s="73"/>
      <c r="B407" s="73"/>
      <c r="C407" s="73"/>
      <c r="D407" s="73"/>
      <c r="E407" s="73"/>
      <c r="F407" s="72"/>
    </row>
    <row r="408" ht="14.25" customHeight="1">
      <c r="A408" s="73"/>
      <c r="B408" s="73"/>
      <c r="C408" s="73"/>
      <c r="D408" s="73"/>
      <c r="E408" s="73"/>
      <c r="F408" s="72"/>
    </row>
    <row r="409" ht="14.25" customHeight="1">
      <c r="A409" s="73"/>
      <c r="B409" s="73"/>
      <c r="C409" s="73"/>
      <c r="D409" s="73"/>
      <c r="E409" s="73"/>
      <c r="F409" s="72"/>
    </row>
    <row r="410" ht="14.25" customHeight="1">
      <c r="A410" s="73"/>
      <c r="B410" s="73"/>
      <c r="C410" s="73"/>
      <c r="D410" s="73"/>
      <c r="E410" s="73"/>
      <c r="F410" s="72"/>
    </row>
    <row r="411" ht="14.25" customHeight="1">
      <c r="A411" s="73"/>
      <c r="B411" s="73"/>
      <c r="C411" s="73"/>
      <c r="D411" s="73"/>
      <c r="E411" s="73"/>
      <c r="F411" s="72"/>
    </row>
    <row r="412" ht="14.25" customHeight="1">
      <c r="A412" s="73"/>
      <c r="B412" s="73"/>
      <c r="C412" s="73"/>
      <c r="D412" s="73"/>
      <c r="E412" s="73"/>
      <c r="F412" s="72"/>
    </row>
    <row r="413" ht="14.25" customHeight="1">
      <c r="A413" s="73"/>
      <c r="B413" s="73"/>
      <c r="C413" s="73"/>
      <c r="D413" s="73"/>
      <c r="E413" s="73"/>
      <c r="F413" s="72"/>
    </row>
    <row r="414" ht="14.25" customHeight="1">
      <c r="A414" s="73"/>
      <c r="B414" s="73"/>
      <c r="C414" s="73"/>
      <c r="D414" s="73"/>
      <c r="E414" s="73"/>
      <c r="F414" s="72"/>
    </row>
    <row r="415" ht="14.25" customHeight="1">
      <c r="A415" s="73"/>
      <c r="B415" s="73"/>
      <c r="C415" s="73"/>
      <c r="D415" s="73"/>
      <c r="E415" s="73"/>
      <c r="F415" s="72"/>
    </row>
    <row r="416" ht="14.25" customHeight="1">
      <c r="A416" s="73"/>
      <c r="B416" s="73"/>
      <c r="C416" s="73"/>
      <c r="D416" s="73"/>
      <c r="E416" s="73"/>
      <c r="F416" s="72"/>
    </row>
    <row r="417" ht="14.25" customHeight="1">
      <c r="A417" s="73"/>
      <c r="B417" s="73"/>
      <c r="C417" s="73"/>
      <c r="D417" s="73"/>
      <c r="E417" s="73"/>
      <c r="F417" s="72"/>
    </row>
    <row r="418" ht="14.25" customHeight="1">
      <c r="A418" s="73"/>
      <c r="B418" s="73"/>
      <c r="C418" s="73"/>
      <c r="D418" s="73"/>
      <c r="E418" s="73"/>
      <c r="F418" s="72"/>
    </row>
    <row r="419" ht="14.25" customHeight="1">
      <c r="A419" s="73"/>
      <c r="B419" s="73"/>
      <c r="C419" s="73"/>
      <c r="D419" s="73"/>
      <c r="E419" s="73"/>
      <c r="F419" s="72"/>
    </row>
    <row r="420" ht="14.25" customHeight="1">
      <c r="A420" s="73"/>
      <c r="B420" s="73"/>
      <c r="C420" s="73"/>
      <c r="D420" s="73"/>
      <c r="E420" s="73"/>
      <c r="F420" s="72"/>
    </row>
    <row r="421" ht="14.25" customHeight="1">
      <c r="A421" s="73"/>
      <c r="B421" s="73"/>
      <c r="C421" s="73"/>
      <c r="D421" s="73"/>
      <c r="E421" s="73"/>
      <c r="F421" s="72"/>
    </row>
    <row r="422" ht="14.25" customHeight="1">
      <c r="A422" s="73"/>
      <c r="B422" s="73"/>
      <c r="C422" s="73"/>
      <c r="D422" s="73"/>
      <c r="E422" s="73"/>
      <c r="F422" s="72"/>
    </row>
    <row r="423" ht="14.25" customHeight="1">
      <c r="A423" s="73"/>
      <c r="B423" s="73"/>
      <c r="C423" s="73"/>
      <c r="D423" s="73"/>
      <c r="E423" s="73"/>
      <c r="F423" s="72"/>
    </row>
    <row r="424" ht="14.25" customHeight="1">
      <c r="A424" s="73"/>
      <c r="B424" s="73"/>
      <c r="C424" s="73"/>
      <c r="D424" s="73"/>
      <c r="E424" s="73"/>
      <c r="F424" s="72"/>
    </row>
    <row r="425" ht="14.25" customHeight="1">
      <c r="A425" s="73"/>
      <c r="B425" s="73"/>
      <c r="C425" s="73"/>
      <c r="D425" s="73"/>
      <c r="E425" s="73"/>
      <c r="F425" s="72"/>
    </row>
    <row r="426" ht="14.25" customHeight="1">
      <c r="A426" s="73"/>
      <c r="B426" s="73"/>
      <c r="C426" s="73"/>
      <c r="D426" s="73"/>
      <c r="E426" s="73"/>
      <c r="F426" s="72"/>
    </row>
    <row r="427" ht="14.25" customHeight="1">
      <c r="A427" s="73"/>
      <c r="B427" s="73"/>
      <c r="C427" s="73"/>
      <c r="D427" s="73"/>
      <c r="E427" s="73"/>
      <c r="F427" s="72"/>
    </row>
    <row r="428" ht="14.25" customHeight="1">
      <c r="A428" s="73"/>
      <c r="B428" s="73"/>
      <c r="C428" s="73"/>
      <c r="D428" s="73"/>
      <c r="E428" s="73"/>
      <c r="F428" s="72"/>
    </row>
    <row r="429" ht="14.25" customHeight="1">
      <c r="A429" s="73"/>
      <c r="B429" s="73"/>
      <c r="C429" s="73"/>
      <c r="D429" s="73"/>
      <c r="E429" s="73"/>
      <c r="F429" s="72"/>
    </row>
    <row r="430" ht="14.25" customHeight="1">
      <c r="A430" s="73"/>
      <c r="B430" s="73"/>
      <c r="C430" s="73"/>
      <c r="D430" s="73"/>
      <c r="E430" s="73"/>
      <c r="F430" s="72"/>
    </row>
    <row r="431" ht="14.25" customHeight="1">
      <c r="A431" s="73"/>
      <c r="B431" s="73"/>
      <c r="C431" s="73"/>
      <c r="D431" s="73"/>
      <c r="E431" s="73"/>
      <c r="F431" s="72"/>
    </row>
    <row r="432" ht="14.25" customHeight="1">
      <c r="A432" s="73"/>
      <c r="B432" s="73"/>
      <c r="C432" s="73"/>
      <c r="D432" s="73"/>
      <c r="E432" s="73"/>
      <c r="F432" s="72"/>
    </row>
    <row r="433" ht="14.25" customHeight="1">
      <c r="A433" s="73"/>
      <c r="B433" s="73"/>
      <c r="C433" s="73"/>
      <c r="D433" s="73"/>
      <c r="E433" s="73"/>
      <c r="F433" s="72"/>
    </row>
    <row r="434" ht="14.25" customHeight="1">
      <c r="A434" s="73"/>
      <c r="B434" s="73"/>
      <c r="C434" s="73"/>
      <c r="D434" s="73"/>
      <c r="E434" s="73"/>
      <c r="F434" s="72"/>
    </row>
    <row r="435" ht="14.25" customHeight="1">
      <c r="A435" s="73"/>
      <c r="B435" s="73"/>
      <c r="C435" s="73"/>
      <c r="D435" s="73"/>
      <c r="E435" s="73"/>
      <c r="F435" s="72"/>
    </row>
    <row r="436" ht="14.25" customHeight="1">
      <c r="A436" s="73"/>
      <c r="B436" s="73"/>
      <c r="C436" s="73"/>
      <c r="D436" s="73"/>
      <c r="E436" s="73"/>
      <c r="F436" s="72"/>
    </row>
    <row r="437" ht="14.25" customHeight="1">
      <c r="A437" s="73"/>
      <c r="B437" s="73"/>
      <c r="C437" s="73"/>
      <c r="D437" s="73"/>
      <c r="E437" s="73"/>
      <c r="F437" s="72"/>
    </row>
    <row r="438" ht="14.25" customHeight="1">
      <c r="A438" s="73"/>
      <c r="B438" s="73"/>
      <c r="C438" s="73"/>
      <c r="D438" s="73"/>
      <c r="E438" s="73"/>
      <c r="F438" s="72"/>
    </row>
    <row r="439" ht="14.25" customHeight="1">
      <c r="A439" s="73"/>
      <c r="B439" s="73"/>
      <c r="C439" s="73"/>
      <c r="D439" s="73"/>
      <c r="E439" s="73"/>
      <c r="F439" s="72"/>
    </row>
    <row r="440" ht="14.25" customHeight="1">
      <c r="A440" s="73"/>
      <c r="B440" s="73"/>
      <c r="C440" s="73"/>
      <c r="D440" s="73"/>
      <c r="E440" s="73"/>
      <c r="F440" s="72"/>
    </row>
    <row r="441" ht="14.25" customHeight="1">
      <c r="A441" s="73"/>
      <c r="B441" s="73"/>
      <c r="C441" s="73"/>
      <c r="D441" s="73"/>
      <c r="E441" s="73"/>
      <c r="F441" s="72"/>
    </row>
    <row r="442" ht="14.25" customHeight="1">
      <c r="A442" s="73"/>
      <c r="B442" s="73"/>
      <c r="C442" s="73"/>
      <c r="D442" s="73"/>
      <c r="E442" s="73"/>
      <c r="F442" s="72"/>
    </row>
    <row r="443" ht="14.25" customHeight="1">
      <c r="A443" s="73"/>
      <c r="B443" s="73"/>
      <c r="C443" s="73"/>
      <c r="D443" s="73"/>
      <c r="E443" s="73"/>
      <c r="F443" s="72"/>
    </row>
    <row r="444" ht="14.25" customHeight="1">
      <c r="A444" s="73"/>
      <c r="B444" s="73"/>
      <c r="C444" s="73"/>
      <c r="D444" s="73"/>
      <c r="E444" s="73"/>
      <c r="F444" s="72"/>
    </row>
    <row r="445" ht="14.25" customHeight="1">
      <c r="A445" s="73"/>
      <c r="B445" s="73"/>
      <c r="C445" s="73"/>
      <c r="D445" s="73"/>
      <c r="E445" s="73"/>
      <c r="F445" s="72"/>
    </row>
    <row r="446" ht="14.25" customHeight="1">
      <c r="A446" s="73"/>
      <c r="B446" s="73"/>
      <c r="C446" s="73"/>
      <c r="D446" s="73"/>
      <c r="E446" s="73"/>
      <c r="F446" s="72"/>
    </row>
    <row r="447" ht="14.25" customHeight="1">
      <c r="A447" s="73"/>
      <c r="B447" s="73"/>
      <c r="C447" s="73"/>
      <c r="D447" s="73"/>
      <c r="E447" s="73"/>
      <c r="F447" s="72"/>
    </row>
    <row r="448" ht="14.25" customHeight="1">
      <c r="A448" s="73"/>
      <c r="B448" s="73"/>
      <c r="C448" s="73"/>
      <c r="D448" s="73"/>
      <c r="E448" s="73"/>
      <c r="F448" s="72"/>
    </row>
    <row r="449" ht="14.25" customHeight="1">
      <c r="A449" s="73"/>
      <c r="B449" s="73"/>
      <c r="C449" s="73"/>
      <c r="D449" s="73"/>
      <c r="E449" s="73"/>
      <c r="F449" s="72"/>
    </row>
    <row r="450" ht="14.25" customHeight="1">
      <c r="A450" s="73"/>
      <c r="B450" s="73"/>
      <c r="C450" s="73"/>
      <c r="D450" s="73"/>
      <c r="E450" s="73"/>
      <c r="F450" s="72"/>
    </row>
    <row r="451" ht="14.25" customHeight="1">
      <c r="A451" s="73"/>
      <c r="B451" s="73"/>
      <c r="C451" s="73"/>
      <c r="D451" s="73"/>
      <c r="E451" s="73"/>
      <c r="F451" s="72"/>
    </row>
    <row r="452" ht="14.25" customHeight="1">
      <c r="A452" s="73"/>
      <c r="B452" s="73"/>
      <c r="C452" s="73"/>
      <c r="D452" s="73"/>
      <c r="E452" s="73"/>
      <c r="F452" s="72"/>
    </row>
    <row r="453" ht="14.25" customHeight="1">
      <c r="A453" s="73"/>
      <c r="B453" s="73"/>
      <c r="C453" s="73"/>
      <c r="D453" s="73"/>
      <c r="E453" s="73"/>
      <c r="F453" s="72"/>
    </row>
    <row r="454" ht="14.25" customHeight="1">
      <c r="A454" s="73"/>
      <c r="B454" s="73"/>
      <c r="C454" s="73"/>
      <c r="D454" s="73"/>
      <c r="E454" s="73"/>
      <c r="F454" s="72"/>
    </row>
    <row r="455" ht="14.25" customHeight="1">
      <c r="A455" s="73"/>
      <c r="B455" s="73"/>
      <c r="C455" s="73"/>
      <c r="D455" s="73"/>
      <c r="E455" s="73"/>
      <c r="F455" s="72"/>
    </row>
    <row r="456" ht="14.25" customHeight="1">
      <c r="A456" s="73"/>
      <c r="B456" s="73"/>
      <c r="C456" s="73"/>
      <c r="D456" s="73"/>
      <c r="E456" s="73"/>
      <c r="F456" s="72"/>
    </row>
    <row r="457" ht="14.25" customHeight="1">
      <c r="A457" s="73"/>
      <c r="B457" s="73"/>
      <c r="C457" s="73"/>
      <c r="D457" s="73"/>
      <c r="E457" s="73"/>
      <c r="F457" s="72"/>
    </row>
    <row r="458" ht="14.25" customHeight="1">
      <c r="A458" s="73"/>
      <c r="B458" s="73"/>
      <c r="C458" s="73"/>
      <c r="D458" s="73"/>
      <c r="E458" s="73"/>
      <c r="F458" s="72"/>
    </row>
    <row r="459" ht="14.25" customHeight="1">
      <c r="A459" s="73"/>
      <c r="B459" s="73"/>
      <c r="C459" s="73"/>
      <c r="D459" s="73"/>
      <c r="E459" s="73"/>
      <c r="F459" s="72"/>
    </row>
    <row r="460" ht="14.25" customHeight="1">
      <c r="A460" s="73"/>
      <c r="B460" s="73"/>
      <c r="C460" s="73"/>
      <c r="D460" s="73"/>
      <c r="E460" s="73"/>
      <c r="F460" s="72"/>
    </row>
    <row r="461" ht="14.25" customHeight="1">
      <c r="A461" s="73"/>
      <c r="B461" s="73"/>
      <c r="C461" s="73"/>
      <c r="D461" s="73"/>
      <c r="E461" s="73"/>
      <c r="F461" s="72"/>
    </row>
    <row r="462" ht="14.25" customHeight="1">
      <c r="A462" s="73"/>
      <c r="B462" s="73"/>
      <c r="C462" s="73"/>
      <c r="D462" s="73"/>
      <c r="E462" s="73"/>
      <c r="F462" s="72"/>
    </row>
    <row r="463" ht="14.25" customHeight="1">
      <c r="A463" s="73"/>
      <c r="B463" s="73"/>
      <c r="C463" s="73"/>
      <c r="D463" s="73"/>
      <c r="E463" s="73"/>
      <c r="F463" s="72"/>
    </row>
    <row r="464" ht="14.25" customHeight="1">
      <c r="A464" s="73"/>
      <c r="B464" s="73"/>
      <c r="C464" s="73"/>
      <c r="D464" s="73"/>
      <c r="E464" s="73"/>
      <c r="F464" s="72"/>
    </row>
    <row r="465" ht="14.25" customHeight="1">
      <c r="A465" s="73"/>
      <c r="B465" s="73"/>
      <c r="C465" s="73"/>
      <c r="D465" s="73"/>
      <c r="E465" s="73"/>
      <c r="F465" s="72"/>
    </row>
    <row r="466" ht="14.25" customHeight="1">
      <c r="A466" s="73"/>
      <c r="B466" s="73"/>
      <c r="C466" s="73"/>
      <c r="D466" s="73"/>
      <c r="E466" s="73"/>
      <c r="F466" s="72"/>
    </row>
    <row r="467" ht="14.25" customHeight="1">
      <c r="A467" s="73"/>
      <c r="B467" s="73"/>
      <c r="C467" s="73"/>
      <c r="D467" s="73"/>
      <c r="E467" s="73"/>
      <c r="F467" s="72"/>
    </row>
    <row r="468" ht="14.25" customHeight="1">
      <c r="A468" s="73"/>
      <c r="B468" s="73"/>
      <c r="C468" s="73"/>
      <c r="D468" s="73"/>
      <c r="E468" s="73"/>
      <c r="F468" s="72"/>
    </row>
    <row r="469" ht="14.25" customHeight="1">
      <c r="A469" s="73"/>
      <c r="B469" s="73"/>
      <c r="C469" s="73"/>
      <c r="D469" s="73"/>
      <c r="E469" s="73"/>
      <c r="F469" s="72"/>
    </row>
    <row r="470" ht="14.25" customHeight="1">
      <c r="A470" s="73"/>
      <c r="B470" s="73"/>
      <c r="C470" s="73"/>
      <c r="D470" s="73"/>
      <c r="E470" s="73"/>
      <c r="F470" s="72"/>
    </row>
    <row r="471" ht="14.25" customHeight="1">
      <c r="A471" s="73"/>
      <c r="B471" s="73"/>
      <c r="C471" s="73"/>
      <c r="D471" s="73"/>
      <c r="E471" s="73"/>
      <c r="F471" s="72"/>
    </row>
    <row r="472" ht="14.25" customHeight="1">
      <c r="A472" s="73"/>
      <c r="B472" s="73"/>
      <c r="C472" s="73"/>
      <c r="D472" s="73"/>
      <c r="E472" s="73"/>
      <c r="F472" s="72"/>
    </row>
    <row r="473" ht="14.25" customHeight="1">
      <c r="A473" s="73"/>
      <c r="B473" s="73"/>
      <c r="C473" s="73"/>
      <c r="D473" s="73"/>
      <c r="E473" s="73"/>
      <c r="F473" s="72"/>
    </row>
    <row r="474" ht="14.25" customHeight="1">
      <c r="A474" s="73"/>
      <c r="B474" s="73"/>
      <c r="C474" s="73"/>
      <c r="D474" s="73"/>
      <c r="E474" s="73"/>
      <c r="F474" s="72"/>
    </row>
    <row r="475" ht="14.25" customHeight="1">
      <c r="A475" s="73"/>
      <c r="B475" s="73"/>
      <c r="C475" s="73"/>
      <c r="D475" s="73"/>
      <c r="E475" s="73"/>
      <c r="F475" s="72"/>
    </row>
    <row r="476" ht="14.25" customHeight="1">
      <c r="A476" s="73"/>
      <c r="B476" s="73"/>
      <c r="C476" s="73"/>
      <c r="D476" s="73"/>
      <c r="E476" s="73"/>
      <c r="F476" s="72"/>
    </row>
    <row r="477" ht="14.25" customHeight="1">
      <c r="A477" s="73"/>
      <c r="B477" s="73"/>
      <c r="C477" s="73"/>
      <c r="D477" s="73"/>
      <c r="E477" s="73"/>
      <c r="F477" s="72"/>
    </row>
    <row r="478" ht="14.25" customHeight="1">
      <c r="A478" s="73"/>
      <c r="B478" s="73"/>
      <c r="C478" s="73"/>
      <c r="D478" s="73"/>
      <c r="E478" s="73"/>
      <c r="F478" s="72"/>
    </row>
    <row r="479" ht="14.25" customHeight="1">
      <c r="A479" s="73"/>
      <c r="B479" s="73"/>
      <c r="C479" s="73"/>
      <c r="D479" s="73"/>
      <c r="E479" s="73"/>
      <c r="F479" s="72"/>
    </row>
    <row r="480" ht="14.25" customHeight="1">
      <c r="A480" s="73"/>
      <c r="B480" s="73"/>
      <c r="C480" s="73"/>
      <c r="D480" s="73"/>
      <c r="E480" s="73"/>
      <c r="F480" s="72"/>
    </row>
    <row r="481" ht="14.25" customHeight="1">
      <c r="A481" s="73"/>
      <c r="B481" s="73"/>
      <c r="C481" s="73"/>
      <c r="D481" s="73"/>
      <c r="E481" s="73"/>
      <c r="F481" s="72"/>
    </row>
    <row r="482" ht="14.25" customHeight="1">
      <c r="A482" s="73"/>
      <c r="B482" s="73"/>
      <c r="C482" s="73"/>
      <c r="D482" s="73"/>
      <c r="E482" s="73"/>
      <c r="F482" s="72"/>
    </row>
    <row r="483" ht="14.25" customHeight="1">
      <c r="A483" s="73"/>
      <c r="B483" s="73"/>
      <c r="C483" s="73"/>
      <c r="D483" s="73"/>
      <c r="E483" s="73"/>
      <c r="F483" s="72"/>
    </row>
    <row r="484" ht="14.25" customHeight="1">
      <c r="A484" s="73"/>
      <c r="B484" s="73"/>
      <c r="C484" s="73"/>
      <c r="D484" s="73"/>
      <c r="E484" s="73"/>
      <c r="F484" s="72"/>
    </row>
    <row r="485" ht="14.25" customHeight="1">
      <c r="A485" s="73"/>
      <c r="B485" s="73"/>
      <c r="C485" s="73"/>
      <c r="D485" s="73"/>
      <c r="E485" s="73"/>
      <c r="F485" s="72"/>
    </row>
    <row r="486" ht="14.25" customHeight="1">
      <c r="A486" s="73"/>
      <c r="B486" s="73"/>
      <c r="C486" s="73"/>
      <c r="D486" s="73"/>
      <c r="E486" s="73"/>
      <c r="F486" s="72"/>
    </row>
    <row r="487" ht="14.25" customHeight="1">
      <c r="A487" s="73"/>
      <c r="B487" s="73"/>
      <c r="C487" s="73"/>
      <c r="D487" s="73"/>
      <c r="E487" s="73"/>
      <c r="F487" s="72"/>
    </row>
    <row r="488" ht="14.25" customHeight="1">
      <c r="A488" s="73"/>
      <c r="B488" s="73"/>
      <c r="C488" s="73"/>
      <c r="D488" s="73"/>
      <c r="E488" s="73"/>
      <c r="F488" s="72"/>
    </row>
    <row r="489" ht="14.25" customHeight="1">
      <c r="A489" s="73"/>
      <c r="B489" s="73"/>
      <c r="C489" s="73"/>
      <c r="D489" s="73"/>
      <c r="E489" s="73"/>
      <c r="F489" s="72"/>
    </row>
    <row r="490" ht="14.25" customHeight="1">
      <c r="A490" s="73"/>
      <c r="B490" s="73"/>
      <c r="C490" s="73"/>
      <c r="D490" s="73"/>
      <c r="E490" s="73"/>
      <c r="F490" s="72"/>
    </row>
    <row r="491" ht="14.25" customHeight="1">
      <c r="A491" s="73"/>
      <c r="B491" s="73"/>
      <c r="C491" s="73"/>
      <c r="D491" s="73"/>
      <c r="E491" s="73"/>
      <c r="F491" s="72"/>
    </row>
    <row r="492" ht="14.25" customHeight="1">
      <c r="A492" s="73"/>
      <c r="B492" s="73"/>
      <c r="C492" s="73"/>
      <c r="D492" s="73"/>
      <c r="E492" s="73"/>
      <c r="F492" s="72"/>
    </row>
    <row r="493" ht="14.25" customHeight="1">
      <c r="A493" s="73"/>
      <c r="B493" s="73"/>
      <c r="C493" s="73"/>
      <c r="D493" s="73"/>
      <c r="E493" s="73"/>
      <c r="F493" s="72"/>
    </row>
    <row r="494" ht="14.25" customHeight="1">
      <c r="A494" s="73"/>
      <c r="B494" s="73"/>
      <c r="C494" s="73"/>
      <c r="D494" s="73"/>
      <c r="E494" s="73"/>
      <c r="F494" s="72"/>
    </row>
    <row r="495" ht="14.25" customHeight="1">
      <c r="A495" s="73"/>
      <c r="B495" s="73"/>
      <c r="C495" s="73"/>
      <c r="D495" s="73"/>
      <c r="E495" s="73"/>
      <c r="F495" s="72"/>
    </row>
    <row r="496" ht="14.25" customHeight="1">
      <c r="A496" s="73"/>
      <c r="B496" s="73"/>
      <c r="C496" s="73"/>
      <c r="D496" s="73"/>
      <c r="E496" s="73"/>
      <c r="F496" s="72"/>
    </row>
    <row r="497" ht="14.25" customHeight="1">
      <c r="A497" s="73"/>
      <c r="B497" s="73"/>
      <c r="C497" s="73"/>
      <c r="D497" s="73"/>
      <c r="E497" s="73"/>
      <c r="F497" s="72"/>
    </row>
    <row r="498" ht="14.25" customHeight="1">
      <c r="A498" s="73"/>
      <c r="B498" s="73"/>
      <c r="C498" s="73"/>
      <c r="D498" s="73"/>
      <c r="E498" s="73"/>
      <c r="F498" s="72"/>
    </row>
    <row r="499" ht="14.25" customHeight="1">
      <c r="A499" s="73"/>
      <c r="B499" s="73"/>
      <c r="C499" s="73"/>
      <c r="D499" s="73"/>
      <c r="E499" s="73"/>
      <c r="F499" s="72"/>
    </row>
    <row r="500" ht="14.25" customHeight="1">
      <c r="A500" s="73"/>
      <c r="B500" s="73"/>
      <c r="C500" s="73"/>
      <c r="D500" s="73"/>
      <c r="E500" s="73"/>
      <c r="F500" s="72"/>
    </row>
    <row r="501" ht="14.25" customHeight="1">
      <c r="A501" s="73"/>
      <c r="B501" s="73"/>
      <c r="C501" s="73"/>
      <c r="D501" s="73"/>
      <c r="E501" s="73"/>
      <c r="F501" s="72"/>
    </row>
    <row r="502" ht="14.25" customHeight="1">
      <c r="A502" s="73"/>
      <c r="B502" s="73"/>
      <c r="C502" s="73"/>
      <c r="D502" s="73"/>
      <c r="E502" s="73"/>
      <c r="F502" s="72"/>
    </row>
    <row r="503" ht="14.25" customHeight="1">
      <c r="A503" s="73"/>
      <c r="B503" s="73"/>
      <c r="C503" s="73"/>
      <c r="D503" s="73"/>
      <c r="E503" s="73"/>
      <c r="F503" s="72"/>
    </row>
    <row r="504" ht="14.25" customHeight="1">
      <c r="A504" s="73"/>
      <c r="B504" s="73"/>
      <c r="C504" s="73"/>
      <c r="D504" s="73"/>
      <c r="E504" s="73"/>
      <c r="F504" s="72"/>
    </row>
    <row r="505" ht="14.25" customHeight="1">
      <c r="A505" s="73"/>
      <c r="B505" s="73"/>
      <c r="C505" s="73"/>
      <c r="D505" s="73"/>
      <c r="E505" s="73"/>
      <c r="F505" s="72"/>
    </row>
    <row r="506" ht="14.25" customHeight="1">
      <c r="A506" s="73"/>
      <c r="B506" s="73"/>
      <c r="C506" s="73"/>
      <c r="D506" s="73"/>
      <c r="E506" s="73"/>
      <c r="F506" s="72"/>
    </row>
    <row r="507" ht="14.25" customHeight="1">
      <c r="A507" s="73"/>
      <c r="B507" s="73"/>
      <c r="C507" s="73"/>
      <c r="D507" s="73"/>
      <c r="E507" s="73"/>
      <c r="F507" s="72"/>
    </row>
    <row r="508" ht="14.25" customHeight="1">
      <c r="A508" s="73"/>
      <c r="B508" s="73"/>
      <c r="C508" s="73"/>
      <c r="D508" s="73"/>
      <c r="E508" s="73"/>
      <c r="F508" s="72"/>
    </row>
    <row r="509" ht="14.25" customHeight="1">
      <c r="A509" s="73"/>
      <c r="B509" s="73"/>
      <c r="C509" s="73"/>
      <c r="D509" s="73"/>
      <c r="E509" s="73"/>
      <c r="F509" s="72"/>
    </row>
    <row r="510" ht="14.25" customHeight="1">
      <c r="A510" s="73"/>
      <c r="B510" s="73"/>
      <c r="C510" s="73"/>
      <c r="D510" s="73"/>
      <c r="E510" s="73"/>
      <c r="F510" s="72"/>
    </row>
    <row r="511" ht="14.25" customHeight="1">
      <c r="A511" s="73"/>
      <c r="B511" s="73"/>
      <c r="C511" s="73"/>
      <c r="D511" s="73"/>
      <c r="E511" s="73"/>
      <c r="F511" s="72"/>
    </row>
    <row r="512" ht="14.25" customHeight="1">
      <c r="A512" s="73"/>
      <c r="B512" s="73"/>
      <c r="C512" s="73"/>
      <c r="D512" s="73"/>
      <c r="E512" s="73"/>
      <c r="F512" s="72"/>
    </row>
    <row r="513" ht="14.25" customHeight="1">
      <c r="A513" s="73"/>
      <c r="B513" s="73"/>
      <c r="C513" s="73"/>
      <c r="D513" s="73"/>
      <c r="E513" s="73"/>
      <c r="F513" s="72"/>
    </row>
    <row r="514" ht="14.25" customHeight="1">
      <c r="A514" s="73"/>
      <c r="B514" s="73"/>
      <c r="C514" s="73"/>
      <c r="D514" s="73"/>
      <c r="E514" s="73"/>
      <c r="F514" s="72"/>
    </row>
    <row r="515" ht="14.25" customHeight="1">
      <c r="A515" s="73"/>
      <c r="B515" s="73"/>
      <c r="C515" s="73"/>
      <c r="D515" s="73"/>
      <c r="E515" s="73"/>
      <c r="F515" s="72"/>
    </row>
    <row r="516" ht="14.25" customHeight="1">
      <c r="A516" s="73"/>
      <c r="B516" s="73"/>
      <c r="C516" s="73"/>
      <c r="D516" s="73"/>
      <c r="E516" s="73"/>
      <c r="F516" s="72"/>
    </row>
    <row r="517" ht="14.25" customHeight="1">
      <c r="A517" s="73"/>
      <c r="B517" s="73"/>
      <c r="C517" s="73"/>
      <c r="D517" s="73"/>
      <c r="E517" s="73"/>
      <c r="F517" s="72"/>
    </row>
    <row r="518" ht="14.25" customHeight="1">
      <c r="A518" s="73"/>
      <c r="B518" s="73"/>
      <c r="C518" s="73"/>
      <c r="D518" s="73"/>
      <c r="E518" s="73"/>
      <c r="F518" s="72"/>
    </row>
    <row r="519" ht="14.25" customHeight="1">
      <c r="A519" s="73"/>
      <c r="B519" s="73"/>
      <c r="C519" s="73"/>
      <c r="D519" s="73"/>
      <c r="E519" s="73"/>
      <c r="F519" s="72"/>
    </row>
    <row r="520" ht="14.25" customHeight="1">
      <c r="A520" s="73"/>
      <c r="B520" s="73"/>
      <c r="C520" s="73"/>
      <c r="D520" s="73"/>
      <c r="E520" s="73"/>
      <c r="F520" s="72"/>
    </row>
    <row r="521" ht="14.25" customHeight="1">
      <c r="A521" s="73"/>
      <c r="B521" s="73"/>
      <c r="C521" s="73"/>
      <c r="D521" s="73"/>
      <c r="E521" s="73"/>
      <c r="F521" s="72"/>
    </row>
    <row r="522" ht="14.25" customHeight="1">
      <c r="A522" s="73"/>
      <c r="B522" s="73"/>
      <c r="C522" s="73"/>
      <c r="D522" s="73"/>
      <c r="E522" s="73"/>
      <c r="F522" s="72"/>
    </row>
    <row r="523" ht="14.25" customHeight="1">
      <c r="A523" s="73"/>
      <c r="B523" s="73"/>
      <c r="C523" s="73"/>
      <c r="D523" s="73"/>
      <c r="E523" s="73"/>
      <c r="F523" s="72"/>
    </row>
    <row r="524" ht="14.25" customHeight="1">
      <c r="A524" s="73"/>
      <c r="B524" s="73"/>
      <c r="C524" s="73"/>
      <c r="D524" s="73"/>
      <c r="E524" s="73"/>
      <c r="F524" s="72"/>
    </row>
    <row r="525" ht="14.25" customHeight="1">
      <c r="A525" s="73"/>
      <c r="B525" s="73"/>
      <c r="C525" s="73"/>
      <c r="D525" s="73"/>
      <c r="E525" s="73"/>
      <c r="F525" s="72"/>
    </row>
    <row r="526" ht="14.25" customHeight="1">
      <c r="A526" s="73"/>
      <c r="B526" s="73"/>
      <c r="C526" s="73"/>
      <c r="D526" s="73"/>
      <c r="E526" s="73"/>
      <c r="F526" s="72"/>
    </row>
    <row r="527" ht="14.25" customHeight="1">
      <c r="A527" s="73"/>
      <c r="B527" s="73"/>
      <c r="C527" s="73"/>
      <c r="D527" s="73"/>
      <c r="E527" s="73"/>
      <c r="F527" s="72"/>
    </row>
    <row r="528" ht="14.25" customHeight="1">
      <c r="A528" s="73"/>
      <c r="B528" s="73"/>
      <c r="C528" s="73"/>
      <c r="D528" s="73"/>
      <c r="E528" s="73"/>
      <c r="F528" s="72"/>
    </row>
    <row r="529" ht="14.25" customHeight="1">
      <c r="A529" s="73"/>
      <c r="B529" s="73"/>
      <c r="C529" s="73"/>
      <c r="D529" s="73"/>
      <c r="E529" s="73"/>
      <c r="F529" s="72"/>
    </row>
    <row r="530" ht="14.25" customHeight="1">
      <c r="A530" s="73"/>
      <c r="B530" s="73"/>
      <c r="C530" s="73"/>
      <c r="D530" s="73"/>
      <c r="E530" s="73"/>
      <c r="F530" s="72"/>
    </row>
    <row r="531" ht="14.25" customHeight="1">
      <c r="A531" s="73"/>
      <c r="B531" s="73"/>
      <c r="C531" s="73"/>
      <c r="D531" s="73"/>
      <c r="E531" s="73"/>
      <c r="F531" s="72"/>
    </row>
    <row r="532" ht="14.25" customHeight="1">
      <c r="A532" s="73"/>
      <c r="B532" s="73"/>
      <c r="C532" s="73"/>
      <c r="D532" s="73"/>
      <c r="E532" s="73"/>
      <c r="F532" s="72"/>
    </row>
    <row r="533" ht="14.25" customHeight="1">
      <c r="A533" s="73"/>
      <c r="B533" s="73"/>
      <c r="C533" s="73"/>
      <c r="D533" s="73"/>
      <c r="E533" s="73"/>
      <c r="F533" s="72"/>
    </row>
    <row r="534" ht="14.25" customHeight="1">
      <c r="A534" s="73"/>
      <c r="B534" s="73"/>
      <c r="C534" s="73"/>
      <c r="D534" s="73"/>
      <c r="E534" s="73"/>
      <c r="F534" s="72"/>
    </row>
    <row r="535" ht="14.25" customHeight="1">
      <c r="A535" s="73"/>
      <c r="B535" s="73"/>
      <c r="C535" s="73"/>
      <c r="D535" s="73"/>
      <c r="E535" s="73"/>
      <c r="F535" s="72"/>
    </row>
    <row r="536" ht="14.25" customHeight="1">
      <c r="A536" s="73"/>
      <c r="B536" s="73"/>
      <c r="C536" s="73"/>
      <c r="D536" s="73"/>
      <c r="E536" s="73"/>
      <c r="F536" s="72"/>
    </row>
    <row r="537" ht="14.25" customHeight="1">
      <c r="A537" s="73"/>
      <c r="B537" s="73"/>
      <c r="C537" s="73"/>
      <c r="D537" s="73"/>
      <c r="E537" s="73"/>
      <c r="F537" s="72"/>
    </row>
    <row r="538" ht="14.25" customHeight="1">
      <c r="A538" s="73"/>
      <c r="B538" s="73"/>
      <c r="C538" s="73"/>
      <c r="D538" s="73"/>
      <c r="E538" s="73"/>
      <c r="F538" s="72"/>
    </row>
    <row r="539" ht="14.25" customHeight="1">
      <c r="A539" s="73"/>
      <c r="B539" s="73"/>
      <c r="C539" s="73"/>
      <c r="D539" s="73"/>
      <c r="E539" s="73"/>
      <c r="F539" s="72"/>
    </row>
    <row r="540" ht="14.25" customHeight="1">
      <c r="A540" s="73"/>
      <c r="B540" s="73"/>
      <c r="C540" s="73"/>
      <c r="D540" s="73"/>
      <c r="E540" s="73"/>
      <c r="F540" s="72"/>
    </row>
    <row r="541" ht="14.25" customHeight="1">
      <c r="A541" s="73"/>
      <c r="B541" s="73"/>
      <c r="C541" s="73"/>
      <c r="D541" s="73"/>
      <c r="E541" s="73"/>
      <c r="F541" s="72"/>
    </row>
    <row r="542" ht="14.25" customHeight="1">
      <c r="A542" s="73"/>
      <c r="B542" s="73"/>
      <c r="C542" s="73"/>
      <c r="D542" s="73"/>
      <c r="E542" s="73"/>
      <c r="F542" s="72"/>
    </row>
    <row r="543" ht="14.25" customHeight="1">
      <c r="A543" s="73"/>
      <c r="B543" s="73"/>
      <c r="C543" s="73"/>
      <c r="D543" s="73"/>
      <c r="E543" s="73"/>
      <c r="F543" s="72"/>
    </row>
    <row r="544" ht="14.25" customHeight="1">
      <c r="A544" s="73"/>
      <c r="B544" s="73"/>
      <c r="C544" s="73"/>
      <c r="D544" s="73"/>
      <c r="E544" s="73"/>
      <c r="F544" s="72"/>
    </row>
    <row r="545" ht="14.25" customHeight="1">
      <c r="A545" s="73"/>
      <c r="B545" s="73"/>
      <c r="C545" s="73"/>
      <c r="D545" s="73"/>
      <c r="E545" s="73"/>
      <c r="F545" s="72"/>
    </row>
    <row r="546" ht="14.25" customHeight="1">
      <c r="A546" s="73"/>
      <c r="B546" s="73"/>
      <c r="C546" s="73"/>
      <c r="D546" s="73"/>
      <c r="E546" s="73"/>
      <c r="F546" s="72"/>
    </row>
    <row r="547" ht="14.25" customHeight="1">
      <c r="A547" s="73"/>
      <c r="B547" s="73"/>
      <c r="C547" s="73"/>
      <c r="D547" s="73"/>
      <c r="E547" s="73"/>
      <c r="F547" s="72"/>
    </row>
    <row r="548" ht="14.25" customHeight="1">
      <c r="A548" s="73"/>
      <c r="B548" s="73"/>
      <c r="C548" s="73"/>
      <c r="D548" s="73"/>
      <c r="E548" s="73"/>
      <c r="F548" s="72"/>
    </row>
    <row r="549" ht="14.25" customHeight="1">
      <c r="A549" s="73"/>
      <c r="B549" s="73"/>
      <c r="C549" s="73"/>
      <c r="D549" s="73"/>
      <c r="E549" s="73"/>
      <c r="F549" s="72"/>
    </row>
    <row r="550" ht="14.25" customHeight="1">
      <c r="A550" s="73"/>
      <c r="B550" s="73"/>
      <c r="C550" s="73"/>
      <c r="D550" s="73"/>
      <c r="E550" s="73"/>
      <c r="F550" s="72"/>
    </row>
    <row r="551" ht="14.25" customHeight="1">
      <c r="A551" s="73"/>
      <c r="B551" s="73"/>
      <c r="C551" s="73"/>
      <c r="D551" s="73"/>
      <c r="E551" s="73"/>
      <c r="F551" s="72"/>
    </row>
    <row r="552" ht="14.25" customHeight="1">
      <c r="A552" s="73"/>
      <c r="B552" s="73"/>
      <c r="C552" s="73"/>
      <c r="D552" s="73"/>
      <c r="E552" s="73"/>
      <c r="F552" s="72"/>
    </row>
    <row r="553" ht="14.25" customHeight="1">
      <c r="A553" s="73"/>
      <c r="B553" s="73"/>
      <c r="C553" s="73"/>
      <c r="D553" s="73"/>
      <c r="E553" s="73"/>
      <c r="F553" s="72"/>
    </row>
    <row r="554" ht="14.25" customHeight="1">
      <c r="A554" s="73"/>
      <c r="B554" s="73"/>
      <c r="C554" s="73"/>
      <c r="D554" s="73"/>
      <c r="E554" s="73"/>
      <c r="F554" s="72"/>
    </row>
    <row r="555" ht="14.25" customHeight="1">
      <c r="A555" s="73"/>
      <c r="B555" s="73"/>
      <c r="C555" s="73"/>
      <c r="D555" s="73"/>
      <c r="E555" s="73"/>
      <c r="F555" s="72"/>
    </row>
    <row r="556" ht="14.25" customHeight="1">
      <c r="A556" s="73"/>
      <c r="B556" s="73"/>
      <c r="C556" s="73"/>
      <c r="D556" s="73"/>
      <c r="E556" s="73"/>
      <c r="F556" s="72"/>
    </row>
    <row r="557" ht="14.25" customHeight="1">
      <c r="A557" s="73"/>
      <c r="B557" s="73"/>
      <c r="C557" s="73"/>
      <c r="D557" s="73"/>
      <c r="E557" s="73"/>
      <c r="F557" s="72"/>
    </row>
    <row r="558" ht="14.25" customHeight="1">
      <c r="A558" s="73"/>
      <c r="B558" s="73"/>
      <c r="C558" s="73"/>
      <c r="D558" s="73"/>
      <c r="E558" s="73"/>
      <c r="F558" s="72"/>
    </row>
    <row r="559" ht="14.25" customHeight="1">
      <c r="A559" s="73"/>
      <c r="B559" s="73"/>
      <c r="C559" s="73"/>
      <c r="D559" s="73"/>
      <c r="E559" s="73"/>
      <c r="F559" s="72"/>
    </row>
    <row r="560" ht="14.25" customHeight="1">
      <c r="A560" s="73"/>
      <c r="B560" s="73"/>
      <c r="C560" s="73"/>
      <c r="D560" s="73"/>
      <c r="E560" s="73"/>
      <c r="F560" s="72"/>
    </row>
    <row r="561" ht="14.25" customHeight="1">
      <c r="A561" s="73"/>
      <c r="B561" s="73"/>
      <c r="C561" s="73"/>
      <c r="D561" s="73"/>
      <c r="E561" s="73"/>
      <c r="F561" s="72"/>
    </row>
    <row r="562" ht="14.25" customHeight="1">
      <c r="A562" s="73"/>
      <c r="B562" s="73"/>
      <c r="C562" s="73"/>
      <c r="D562" s="73"/>
      <c r="E562" s="73"/>
      <c r="F562" s="72"/>
    </row>
    <row r="563" ht="14.25" customHeight="1">
      <c r="A563" s="73"/>
      <c r="B563" s="73"/>
      <c r="C563" s="73"/>
      <c r="D563" s="73"/>
      <c r="E563" s="73"/>
      <c r="F563" s="72"/>
    </row>
    <row r="564" ht="14.25" customHeight="1">
      <c r="A564" s="73"/>
      <c r="B564" s="73"/>
      <c r="C564" s="73"/>
      <c r="D564" s="73"/>
      <c r="E564" s="73"/>
      <c r="F564" s="72"/>
    </row>
    <row r="565" ht="14.25" customHeight="1">
      <c r="A565" s="73"/>
      <c r="B565" s="73"/>
      <c r="C565" s="73"/>
      <c r="D565" s="73"/>
      <c r="E565" s="73"/>
      <c r="F565" s="72"/>
    </row>
    <row r="566" ht="14.25" customHeight="1">
      <c r="A566" s="73"/>
      <c r="B566" s="73"/>
      <c r="C566" s="73"/>
      <c r="D566" s="73"/>
      <c r="E566" s="73"/>
      <c r="F566" s="72"/>
    </row>
    <row r="567" ht="14.25" customHeight="1">
      <c r="A567" s="73"/>
      <c r="B567" s="73"/>
      <c r="C567" s="73"/>
      <c r="D567" s="73"/>
      <c r="E567" s="73"/>
      <c r="F567" s="72"/>
    </row>
    <row r="568" ht="14.25" customHeight="1">
      <c r="A568" s="73"/>
      <c r="B568" s="73"/>
      <c r="C568" s="73"/>
      <c r="D568" s="73"/>
      <c r="E568" s="73"/>
      <c r="F568" s="72"/>
    </row>
    <row r="569" ht="14.25" customHeight="1">
      <c r="A569" s="73"/>
      <c r="B569" s="73"/>
      <c r="C569" s="73"/>
      <c r="D569" s="73"/>
      <c r="E569" s="73"/>
      <c r="F569" s="72"/>
    </row>
    <row r="570" ht="14.25" customHeight="1">
      <c r="A570" s="73"/>
      <c r="B570" s="73"/>
      <c r="C570" s="73"/>
      <c r="D570" s="73"/>
      <c r="E570" s="73"/>
      <c r="F570" s="72"/>
    </row>
    <row r="571" ht="14.25" customHeight="1">
      <c r="A571" s="73"/>
      <c r="B571" s="73"/>
      <c r="C571" s="73"/>
      <c r="D571" s="73"/>
      <c r="E571" s="73"/>
      <c r="F571" s="72"/>
    </row>
    <row r="572" ht="14.25" customHeight="1">
      <c r="A572" s="73"/>
      <c r="B572" s="73"/>
      <c r="C572" s="73"/>
      <c r="D572" s="73"/>
      <c r="E572" s="73"/>
      <c r="F572" s="72"/>
    </row>
    <row r="573" ht="14.25" customHeight="1">
      <c r="A573" s="73"/>
      <c r="B573" s="73"/>
      <c r="C573" s="73"/>
      <c r="D573" s="73"/>
      <c r="E573" s="73"/>
      <c r="F573" s="72"/>
    </row>
    <row r="574" ht="14.25" customHeight="1">
      <c r="A574" s="73"/>
      <c r="B574" s="73"/>
      <c r="C574" s="73"/>
      <c r="D574" s="73"/>
      <c r="E574" s="73"/>
      <c r="F574" s="72"/>
    </row>
    <row r="575" ht="14.25" customHeight="1">
      <c r="A575" s="73"/>
      <c r="B575" s="73"/>
      <c r="C575" s="73"/>
      <c r="D575" s="73"/>
      <c r="E575" s="73"/>
      <c r="F575" s="72"/>
    </row>
    <row r="576" ht="14.25" customHeight="1">
      <c r="A576" s="73"/>
      <c r="B576" s="73"/>
      <c r="C576" s="73"/>
      <c r="D576" s="73"/>
      <c r="E576" s="73"/>
      <c r="F576" s="72"/>
    </row>
    <row r="577" ht="14.25" customHeight="1">
      <c r="A577" s="73"/>
      <c r="B577" s="73"/>
      <c r="C577" s="73"/>
      <c r="D577" s="73"/>
      <c r="E577" s="73"/>
      <c r="F577" s="72"/>
    </row>
    <row r="578" ht="14.25" customHeight="1">
      <c r="A578" s="73"/>
      <c r="B578" s="73"/>
      <c r="C578" s="73"/>
      <c r="D578" s="73"/>
      <c r="E578" s="73"/>
      <c r="F578" s="72"/>
    </row>
    <row r="579" ht="14.25" customHeight="1">
      <c r="A579" s="73"/>
      <c r="B579" s="73"/>
      <c r="C579" s="73"/>
      <c r="D579" s="73"/>
      <c r="E579" s="73"/>
      <c r="F579" s="72"/>
    </row>
    <row r="580" ht="14.25" customHeight="1">
      <c r="A580" s="73"/>
      <c r="B580" s="73"/>
      <c r="C580" s="73"/>
      <c r="D580" s="73"/>
      <c r="E580" s="73"/>
      <c r="F580" s="72"/>
    </row>
    <row r="581" ht="14.25" customHeight="1">
      <c r="A581" s="73"/>
      <c r="B581" s="73"/>
      <c r="C581" s="73"/>
      <c r="D581" s="73"/>
      <c r="E581" s="73"/>
      <c r="F581" s="72"/>
    </row>
    <row r="582" ht="14.25" customHeight="1">
      <c r="A582" s="73"/>
      <c r="B582" s="73"/>
      <c r="C582" s="73"/>
      <c r="D582" s="73"/>
      <c r="E582" s="73"/>
      <c r="F582" s="72"/>
    </row>
    <row r="583" ht="14.25" customHeight="1">
      <c r="A583" s="73"/>
      <c r="B583" s="73"/>
      <c r="C583" s="73"/>
      <c r="D583" s="73"/>
      <c r="E583" s="73"/>
      <c r="F583" s="72"/>
    </row>
    <row r="584" ht="14.25" customHeight="1">
      <c r="A584" s="73"/>
      <c r="B584" s="73"/>
      <c r="C584" s="73"/>
      <c r="D584" s="73"/>
      <c r="E584" s="73"/>
      <c r="F584" s="72"/>
    </row>
    <row r="585" ht="14.25" customHeight="1">
      <c r="A585" s="73"/>
      <c r="B585" s="73"/>
      <c r="C585" s="73"/>
      <c r="D585" s="73"/>
      <c r="E585" s="73"/>
      <c r="F585" s="72"/>
    </row>
    <row r="586" ht="14.25" customHeight="1">
      <c r="A586" s="73"/>
      <c r="B586" s="73"/>
      <c r="C586" s="73"/>
      <c r="D586" s="73"/>
      <c r="E586" s="73"/>
      <c r="F586" s="72"/>
    </row>
    <row r="587" ht="14.25" customHeight="1">
      <c r="A587" s="73"/>
      <c r="B587" s="73"/>
      <c r="C587" s="73"/>
      <c r="D587" s="73"/>
      <c r="E587" s="73"/>
      <c r="F587" s="72"/>
    </row>
    <row r="588" ht="14.25" customHeight="1">
      <c r="A588" s="73"/>
      <c r="B588" s="73"/>
      <c r="C588" s="73"/>
      <c r="D588" s="73"/>
      <c r="E588" s="73"/>
      <c r="F588" s="72"/>
    </row>
    <row r="589" ht="14.25" customHeight="1">
      <c r="A589" s="73"/>
      <c r="B589" s="73"/>
      <c r="C589" s="73"/>
      <c r="D589" s="73"/>
      <c r="E589" s="73"/>
      <c r="F589" s="72"/>
    </row>
    <row r="590" ht="14.25" customHeight="1">
      <c r="A590" s="73"/>
      <c r="B590" s="73"/>
      <c r="C590" s="73"/>
      <c r="D590" s="73"/>
      <c r="E590" s="73"/>
      <c r="F590" s="72"/>
    </row>
    <row r="591" ht="14.25" customHeight="1">
      <c r="A591" s="73"/>
      <c r="B591" s="73"/>
      <c r="C591" s="73"/>
      <c r="D591" s="73"/>
      <c r="E591" s="73"/>
      <c r="F591" s="72"/>
    </row>
    <row r="592" ht="14.25" customHeight="1">
      <c r="A592" s="73"/>
      <c r="B592" s="73"/>
      <c r="C592" s="73"/>
      <c r="D592" s="73"/>
      <c r="E592" s="73"/>
      <c r="F592" s="72"/>
    </row>
    <row r="593" ht="14.25" customHeight="1">
      <c r="A593" s="73"/>
      <c r="B593" s="73"/>
      <c r="C593" s="73"/>
      <c r="D593" s="73"/>
      <c r="E593" s="73"/>
      <c r="F593" s="72"/>
    </row>
    <row r="594" ht="14.25" customHeight="1">
      <c r="A594" s="73"/>
      <c r="B594" s="73"/>
      <c r="C594" s="73"/>
      <c r="D594" s="73"/>
      <c r="E594" s="73"/>
      <c r="F594" s="72"/>
    </row>
    <row r="595" ht="14.25" customHeight="1">
      <c r="A595" s="73"/>
      <c r="B595" s="73"/>
      <c r="C595" s="73"/>
      <c r="D595" s="73"/>
      <c r="E595" s="73"/>
      <c r="F595" s="72"/>
    </row>
    <row r="596" ht="14.25" customHeight="1">
      <c r="A596" s="73"/>
      <c r="B596" s="73"/>
      <c r="C596" s="73"/>
      <c r="D596" s="73"/>
      <c r="E596" s="73"/>
      <c r="F596" s="72"/>
    </row>
    <row r="597" ht="14.25" customHeight="1">
      <c r="A597" s="73"/>
      <c r="B597" s="73"/>
      <c r="C597" s="73"/>
      <c r="D597" s="73"/>
      <c r="E597" s="73"/>
      <c r="F597" s="72"/>
    </row>
    <row r="598" ht="14.25" customHeight="1">
      <c r="A598" s="73"/>
      <c r="B598" s="73"/>
      <c r="C598" s="73"/>
      <c r="D598" s="73"/>
      <c r="E598" s="73"/>
      <c r="F598" s="72"/>
    </row>
    <row r="599" ht="14.25" customHeight="1">
      <c r="A599" s="73"/>
      <c r="B599" s="73"/>
      <c r="C599" s="73"/>
      <c r="D599" s="73"/>
      <c r="E599" s="73"/>
      <c r="F599" s="72"/>
    </row>
    <row r="600" ht="14.25" customHeight="1">
      <c r="A600" s="73"/>
      <c r="B600" s="73"/>
      <c r="C600" s="73"/>
      <c r="D600" s="73"/>
      <c r="E600" s="73"/>
      <c r="F600" s="72"/>
    </row>
    <row r="601" ht="14.25" customHeight="1">
      <c r="A601" s="73"/>
      <c r="B601" s="73"/>
      <c r="C601" s="73"/>
      <c r="D601" s="73"/>
      <c r="E601" s="73"/>
      <c r="F601" s="72"/>
    </row>
    <row r="602" ht="14.25" customHeight="1">
      <c r="A602" s="73"/>
      <c r="B602" s="73"/>
      <c r="C602" s="73"/>
      <c r="D602" s="73"/>
      <c r="E602" s="73"/>
      <c r="F602" s="72"/>
    </row>
    <row r="603" ht="14.25" customHeight="1">
      <c r="A603" s="73"/>
      <c r="B603" s="73"/>
      <c r="C603" s="73"/>
      <c r="D603" s="73"/>
      <c r="E603" s="73"/>
      <c r="F603" s="72"/>
    </row>
    <row r="604" ht="14.25" customHeight="1">
      <c r="A604" s="73"/>
      <c r="B604" s="73"/>
      <c r="C604" s="73"/>
      <c r="D604" s="73"/>
      <c r="E604" s="73"/>
      <c r="F604" s="72"/>
    </row>
    <row r="605" ht="14.25" customHeight="1">
      <c r="A605" s="73"/>
      <c r="B605" s="73"/>
      <c r="C605" s="73"/>
      <c r="D605" s="73"/>
      <c r="E605" s="73"/>
      <c r="F605" s="72"/>
    </row>
    <row r="606" ht="14.25" customHeight="1">
      <c r="A606" s="73"/>
      <c r="B606" s="73"/>
      <c r="C606" s="73"/>
      <c r="D606" s="73"/>
      <c r="E606" s="73"/>
      <c r="F606" s="72"/>
    </row>
    <row r="607" ht="14.25" customHeight="1">
      <c r="A607" s="73"/>
      <c r="B607" s="73"/>
      <c r="C607" s="73"/>
      <c r="D607" s="73"/>
      <c r="E607" s="73"/>
      <c r="F607" s="72"/>
    </row>
    <row r="608" ht="14.25" customHeight="1">
      <c r="A608" s="73"/>
      <c r="B608" s="73"/>
      <c r="C608" s="73"/>
      <c r="D608" s="73"/>
      <c r="E608" s="73"/>
      <c r="F608" s="72"/>
    </row>
    <row r="609" ht="14.25" customHeight="1">
      <c r="A609" s="73"/>
      <c r="B609" s="73"/>
      <c r="C609" s="73"/>
      <c r="D609" s="73"/>
      <c r="E609" s="73"/>
      <c r="F609" s="72"/>
    </row>
    <row r="610" ht="14.25" customHeight="1">
      <c r="A610" s="73"/>
      <c r="B610" s="73"/>
      <c r="C610" s="73"/>
      <c r="D610" s="73"/>
      <c r="E610" s="73"/>
      <c r="F610" s="72"/>
    </row>
    <row r="611" ht="14.25" customHeight="1">
      <c r="A611" s="73"/>
      <c r="B611" s="73"/>
      <c r="C611" s="73"/>
      <c r="D611" s="73"/>
      <c r="E611" s="73"/>
      <c r="F611" s="72"/>
    </row>
    <row r="612" ht="14.25" customHeight="1">
      <c r="A612" s="73"/>
      <c r="B612" s="73"/>
      <c r="C612" s="73"/>
      <c r="D612" s="73"/>
      <c r="E612" s="73"/>
      <c r="F612" s="72"/>
    </row>
    <row r="613" ht="14.25" customHeight="1">
      <c r="A613" s="73"/>
      <c r="B613" s="73"/>
      <c r="C613" s="73"/>
      <c r="D613" s="73"/>
      <c r="E613" s="73"/>
      <c r="F613" s="72"/>
    </row>
    <row r="614" ht="14.25" customHeight="1">
      <c r="A614" s="73"/>
      <c r="B614" s="73"/>
      <c r="C614" s="73"/>
      <c r="D614" s="73"/>
      <c r="E614" s="73"/>
      <c r="F614" s="72"/>
    </row>
    <row r="615" ht="14.25" customHeight="1">
      <c r="A615" s="73"/>
      <c r="B615" s="73"/>
      <c r="C615" s="73"/>
      <c r="D615" s="73"/>
      <c r="E615" s="73"/>
      <c r="F615" s="72"/>
    </row>
    <row r="616" ht="14.25" customHeight="1">
      <c r="A616" s="73"/>
      <c r="B616" s="73"/>
      <c r="C616" s="73"/>
      <c r="D616" s="73"/>
      <c r="E616" s="73"/>
      <c r="F616" s="72"/>
    </row>
    <row r="617" ht="14.25" customHeight="1">
      <c r="A617" s="73"/>
      <c r="B617" s="73"/>
      <c r="C617" s="73"/>
      <c r="D617" s="73"/>
      <c r="E617" s="73"/>
      <c r="F617" s="72"/>
    </row>
    <row r="618" ht="14.25" customHeight="1">
      <c r="A618" s="73"/>
      <c r="B618" s="73"/>
      <c r="C618" s="73"/>
      <c r="D618" s="73"/>
      <c r="E618" s="73"/>
      <c r="F618" s="72"/>
    </row>
    <row r="619" ht="14.25" customHeight="1">
      <c r="A619" s="73"/>
      <c r="B619" s="73"/>
      <c r="C619" s="73"/>
      <c r="D619" s="73"/>
      <c r="E619" s="73"/>
      <c r="F619" s="72"/>
    </row>
    <row r="620" ht="14.25" customHeight="1">
      <c r="A620" s="73"/>
      <c r="B620" s="73"/>
      <c r="C620" s="73"/>
      <c r="D620" s="73"/>
      <c r="E620" s="73"/>
      <c r="F620" s="72"/>
    </row>
    <row r="621" ht="14.25" customHeight="1">
      <c r="A621" s="73"/>
      <c r="B621" s="73"/>
      <c r="C621" s="73"/>
      <c r="D621" s="73"/>
      <c r="E621" s="73"/>
      <c r="F621" s="72"/>
    </row>
    <row r="622" ht="14.25" customHeight="1">
      <c r="A622" s="73"/>
      <c r="B622" s="73"/>
      <c r="C622" s="73"/>
      <c r="D622" s="73"/>
      <c r="E622" s="73"/>
      <c r="F622" s="72"/>
    </row>
    <row r="623" ht="14.25" customHeight="1">
      <c r="A623" s="73"/>
      <c r="B623" s="73"/>
      <c r="C623" s="73"/>
      <c r="D623" s="73"/>
      <c r="E623" s="73"/>
      <c r="F623" s="72"/>
    </row>
    <row r="624" ht="14.25" customHeight="1">
      <c r="A624" s="73"/>
      <c r="B624" s="73"/>
      <c r="C624" s="73"/>
      <c r="D624" s="73"/>
      <c r="E624" s="73"/>
      <c r="F624" s="72"/>
    </row>
    <row r="625" ht="14.25" customHeight="1">
      <c r="A625" s="73"/>
      <c r="B625" s="73"/>
      <c r="C625" s="73"/>
      <c r="D625" s="73"/>
      <c r="E625" s="73"/>
      <c r="F625" s="72"/>
    </row>
    <row r="626" ht="14.25" customHeight="1">
      <c r="A626" s="73"/>
      <c r="B626" s="73"/>
      <c r="C626" s="73"/>
      <c r="D626" s="73"/>
      <c r="E626" s="73"/>
      <c r="F626" s="72"/>
    </row>
    <row r="627" ht="14.25" customHeight="1">
      <c r="A627" s="73"/>
      <c r="B627" s="73"/>
      <c r="C627" s="73"/>
      <c r="D627" s="73"/>
      <c r="E627" s="73"/>
      <c r="F627" s="72"/>
    </row>
    <row r="628" ht="14.25" customHeight="1">
      <c r="A628" s="73"/>
      <c r="B628" s="73"/>
      <c r="C628" s="73"/>
      <c r="D628" s="73"/>
      <c r="E628" s="73"/>
      <c r="F628" s="72"/>
    </row>
    <row r="629" ht="14.25" customHeight="1">
      <c r="A629" s="73"/>
      <c r="B629" s="73"/>
      <c r="C629" s="73"/>
      <c r="D629" s="73"/>
      <c r="E629" s="73"/>
      <c r="F629" s="72"/>
    </row>
    <row r="630" ht="14.25" customHeight="1">
      <c r="A630" s="73"/>
      <c r="B630" s="73"/>
      <c r="C630" s="73"/>
      <c r="D630" s="73"/>
      <c r="E630" s="73"/>
      <c r="F630" s="72"/>
    </row>
    <row r="631" ht="14.25" customHeight="1">
      <c r="A631" s="73"/>
      <c r="B631" s="73"/>
      <c r="C631" s="73"/>
      <c r="D631" s="73"/>
      <c r="E631" s="73"/>
      <c r="F631" s="72"/>
    </row>
    <row r="632" ht="14.25" customHeight="1">
      <c r="A632" s="73"/>
      <c r="B632" s="73"/>
      <c r="C632" s="73"/>
      <c r="D632" s="73"/>
      <c r="E632" s="73"/>
      <c r="F632" s="72"/>
    </row>
    <row r="633" ht="14.25" customHeight="1">
      <c r="A633" s="73"/>
      <c r="B633" s="73"/>
      <c r="C633" s="73"/>
      <c r="D633" s="73"/>
      <c r="E633" s="73"/>
      <c r="F633" s="72"/>
    </row>
    <row r="634" ht="14.25" customHeight="1">
      <c r="A634" s="73"/>
      <c r="B634" s="73"/>
      <c r="C634" s="73"/>
      <c r="D634" s="73"/>
      <c r="E634" s="73"/>
      <c r="F634" s="72"/>
    </row>
    <row r="635" ht="14.25" customHeight="1">
      <c r="A635" s="73"/>
      <c r="B635" s="73"/>
      <c r="C635" s="73"/>
      <c r="D635" s="73"/>
      <c r="E635" s="73"/>
      <c r="F635" s="72"/>
    </row>
    <row r="636" ht="14.25" customHeight="1">
      <c r="A636" s="73"/>
      <c r="B636" s="73"/>
      <c r="C636" s="73"/>
      <c r="D636" s="73"/>
      <c r="E636" s="73"/>
      <c r="F636" s="72"/>
    </row>
    <row r="637" ht="14.25" customHeight="1">
      <c r="A637" s="73"/>
      <c r="B637" s="73"/>
      <c r="C637" s="73"/>
      <c r="D637" s="73"/>
      <c r="E637" s="73"/>
      <c r="F637" s="72"/>
    </row>
    <row r="638" ht="14.25" customHeight="1">
      <c r="A638" s="73"/>
      <c r="B638" s="73"/>
      <c r="C638" s="73"/>
      <c r="D638" s="73"/>
      <c r="E638" s="73"/>
      <c r="F638" s="72"/>
    </row>
    <row r="639" ht="14.25" customHeight="1">
      <c r="A639" s="73"/>
      <c r="B639" s="73"/>
      <c r="C639" s="73"/>
      <c r="D639" s="73"/>
      <c r="E639" s="73"/>
      <c r="F639" s="72"/>
    </row>
    <row r="640" ht="14.25" customHeight="1">
      <c r="A640" s="73"/>
      <c r="B640" s="73"/>
      <c r="C640" s="73"/>
      <c r="D640" s="73"/>
      <c r="E640" s="73"/>
      <c r="F640" s="72"/>
    </row>
    <row r="641" ht="14.25" customHeight="1">
      <c r="A641" s="73"/>
      <c r="B641" s="73"/>
      <c r="C641" s="73"/>
      <c r="D641" s="73"/>
      <c r="E641" s="73"/>
      <c r="F641" s="72"/>
    </row>
    <row r="642" ht="14.25" customHeight="1">
      <c r="A642" s="73"/>
      <c r="B642" s="73"/>
      <c r="C642" s="73"/>
      <c r="D642" s="73"/>
      <c r="E642" s="73"/>
      <c r="F642" s="72"/>
    </row>
    <row r="643" ht="14.25" customHeight="1">
      <c r="A643" s="73"/>
      <c r="B643" s="73"/>
      <c r="C643" s="73"/>
      <c r="D643" s="73"/>
      <c r="E643" s="73"/>
      <c r="F643" s="72"/>
    </row>
    <row r="644" ht="14.25" customHeight="1">
      <c r="A644" s="73"/>
      <c r="B644" s="73"/>
      <c r="C644" s="73"/>
      <c r="D644" s="73"/>
      <c r="E644" s="73"/>
      <c r="F644" s="72"/>
    </row>
    <row r="645" ht="14.25" customHeight="1">
      <c r="A645" s="73"/>
      <c r="B645" s="73"/>
      <c r="C645" s="73"/>
      <c r="D645" s="73"/>
      <c r="E645" s="73"/>
      <c r="F645" s="72"/>
    </row>
    <row r="646" ht="14.25" customHeight="1">
      <c r="A646" s="73"/>
      <c r="B646" s="73"/>
      <c r="C646" s="73"/>
      <c r="D646" s="73"/>
      <c r="E646" s="73"/>
      <c r="F646" s="72"/>
    </row>
    <row r="647" ht="14.25" customHeight="1">
      <c r="A647" s="73"/>
      <c r="B647" s="73"/>
      <c r="C647" s="73"/>
      <c r="D647" s="73"/>
      <c r="E647" s="73"/>
      <c r="F647" s="72"/>
    </row>
    <row r="648" ht="14.25" customHeight="1">
      <c r="A648" s="73"/>
      <c r="B648" s="73"/>
      <c r="C648" s="73"/>
      <c r="D648" s="73"/>
      <c r="E648" s="73"/>
      <c r="F648" s="72"/>
    </row>
    <row r="649" ht="14.25" customHeight="1">
      <c r="A649" s="73"/>
      <c r="B649" s="73"/>
      <c r="C649" s="73"/>
      <c r="D649" s="73"/>
      <c r="E649" s="73"/>
      <c r="F649" s="72"/>
    </row>
    <row r="650" ht="14.25" customHeight="1">
      <c r="A650" s="73"/>
      <c r="B650" s="73"/>
      <c r="C650" s="73"/>
      <c r="D650" s="73"/>
      <c r="E650" s="73"/>
      <c r="F650" s="72"/>
    </row>
    <row r="651" ht="14.25" customHeight="1">
      <c r="A651" s="73"/>
      <c r="B651" s="73"/>
      <c r="C651" s="73"/>
      <c r="D651" s="73"/>
      <c r="E651" s="73"/>
      <c r="F651" s="72"/>
    </row>
    <row r="652" ht="14.25" customHeight="1">
      <c r="A652" s="73"/>
      <c r="B652" s="73"/>
      <c r="C652" s="73"/>
      <c r="D652" s="73"/>
      <c r="E652" s="73"/>
      <c r="F652" s="72"/>
    </row>
    <row r="653" ht="14.25" customHeight="1">
      <c r="A653" s="73"/>
      <c r="B653" s="73"/>
      <c r="C653" s="73"/>
      <c r="D653" s="73"/>
      <c r="E653" s="73"/>
      <c r="F653" s="72"/>
    </row>
    <row r="654" ht="14.25" customHeight="1">
      <c r="A654" s="73"/>
      <c r="B654" s="73"/>
      <c r="C654" s="73"/>
      <c r="D654" s="73"/>
      <c r="E654" s="73"/>
      <c r="F654" s="72"/>
    </row>
    <row r="655" ht="14.25" customHeight="1">
      <c r="A655" s="73"/>
      <c r="B655" s="73"/>
      <c r="C655" s="73"/>
      <c r="D655" s="73"/>
      <c r="E655" s="73"/>
      <c r="F655" s="72"/>
    </row>
    <row r="656" ht="14.25" customHeight="1">
      <c r="A656" s="73"/>
      <c r="B656" s="73"/>
      <c r="C656" s="73"/>
      <c r="D656" s="73"/>
      <c r="E656" s="73"/>
      <c r="F656" s="72"/>
    </row>
    <row r="657" ht="14.25" customHeight="1">
      <c r="A657" s="73"/>
      <c r="B657" s="73"/>
      <c r="C657" s="73"/>
      <c r="D657" s="73"/>
      <c r="E657" s="73"/>
      <c r="F657" s="72"/>
    </row>
    <row r="658" ht="14.25" customHeight="1">
      <c r="A658" s="73"/>
      <c r="B658" s="73"/>
      <c r="C658" s="73"/>
      <c r="D658" s="73"/>
      <c r="E658" s="73"/>
      <c r="F658" s="72"/>
    </row>
    <row r="659" ht="14.25" customHeight="1">
      <c r="A659" s="73"/>
      <c r="B659" s="73"/>
      <c r="C659" s="73"/>
      <c r="D659" s="73"/>
      <c r="E659" s="73"/>
      <c r="F659" s="72"/>
    </row>
    <row r="660" ht="14.25" customHeight="1">
      <c r="A660" s="73"/>
      <c r="B660" s="73"/>
      <c r="C660" s="73"/>
      <c r="D660" s="73"/>
      <c r="E660" s="73"/>
      <c r="F660" s="72"/>
    </row>
    <row r="661" ht="14.25" customHeight="1">
      <c r="A661" s="73"/>
      <c r="B661" s="73"/>
      <c r="C661" s="73"/>
      <c r="D661" s="73"/>
      <c r="E661" s="73"/>
      <c r="F661" s="72"/>
    </row>
    <row r="662" ht="14.25" customHeight="1">
      <c r="A662" s="73"/>
      <c r="B662" s="73"/>
      <c r="C662" s="73"/>
      <c r="D662" s="73"/>
      <c r="E662" s="73"/>
      <c r="F662" s="72"/>
    </row>
    <row r="663" ht="14.25" customHeight="1">
      <c r="A663" s="73"/>
      <c r="B663" s="73"/>
      <c r="C663" s="73"/>
      <c r="D663" s="73"/>
      <c r="E663" s="73"/>
      <c r="F663" s="72"/>
    </row>
    <row r="664" ht="14.25" customHeight="1">
      <c r="A664" s="73"/>
      <c r="B664" s="73"/>
      <c r="C664" s="73"/>
      <c r="D664" s="73"/>
      <c r="E664" s="73"/>
      <c r="F664" s="72"/>
    </row>
    <row r="665" ht="14.25" customHeight="1">
      <c r="A665" s="73"/>
      <c r="B665" s="73"/>
      <c r="C665" s="73"/>
      <c r="D665" s="73"/>
      <c r="E665" s="73"/>
      <c r="F665" s="72"/>
    </row>
    <row r="666" ht="14.25" customHeight="1">
      <c r="A666" s="73"/>
      <c r="B666" s="73"/>
      <c r="C666" s="73"/>
      <c r="D666" s="73"/>
      <c r="E666" s="73"/>
      <c r="F666" s="72"/>
    </row>
    <row r="667" ht="14.25" customHeight="1">
      <c r="A667" s="73"/>
      <c r="B667" s="73"/>
      <c r="C667" s="73"/>
      <c r="D667" s="73"/>
      <c r="E667" s="73"/>
      <c r="F667" s="72"/>
    </row>
    <row r="668" ht="14.25" customHeight="1">
      <c r="A668" s="73"/>
      <c r="B668" s="73"/>
      <c r="C668" s="73"/>
      <c r="D668" s="73"/>
      <c r="E668" s="73"/>
      <c r="F668" s="72"/>
    </row>
    <row r="669" ht="14.25" customHeight="1">
      <c r="A669" s="73"/>
      <c r="B669" s="73"/>
      <c r="C669" s="73"/>
      <c r="D669" s="73"/>
      <c r="E669" s="73"/>
      <c r="F669" s="72"/>
    </row>
    <row r="670" ht="14.25" customHeight="1">
      <c r="A670" s="73"/>
      <c r="B670" s="73"/>
      <c r="C670" s="73"/>
      <c r="D670" s="73"/>
      <c r="E670" s="73"/>
      <c r="F670" s="72"/>
    </row>
    <row r="671" ht="14.25" customHeight="1">
      <c r="A671" s="73"/>
      <c r="B671" s="73"/>
      <c r="C671" s="73"/>
      <c r="D671" s="73"/>
      <c r="E671" s="73"/>
      <c r="F671" s="72"/>
    </row>
    <row r="672" ht="14.25" customHeight="1">
      <c r="A672" s="73"/>
      <c r="B672" s="73"/>
      <c r="C672" s="73"/>
      <c r="D672" s="73"/>
      <c r="E672" s="73"/>
      <c r="F672" s="72"/>
    </row>
    <row r="673" ht="14.25" customHeight="1">
      <c r="A673" s="73"/>
      <c r="B673" s="73"/>
      <c r="C673" s="73"/>
      <c r="D673" s="73"/>
      <c r="E673" s="73"/>
      <c r="F673" s="72"/>
    </row>
    <row r="674" ht="14.25" customHeight="1">
      <c r="A674" s="73"/>
      <c r="B674" s="73"/>
      <c r="C674" s="73"/>
      <c r="D674" s="73"/>
      <c r="E674" s="73"/>
      <c r="F674" s="72"/>
    </row>
    <row r="675" ht="14.25" customHeight="1">
      <c r="A675" s="73"/>
      <c r="B675" s="73"/>
      <c r="C675" s="73"/>
      <c r="D675" s="73"/>
      <c r="E675" s="73"/>
      <c r="F675" s="72"/>
    </row>
    <row r="676" ht="14.25" customHeight="1">
      <c r="A676" s="73"/>
      <c r="B676" s="73"/>
      <c r="C676" s="73"/>
      <c r="D676" s="73"/>
      <c r="E676" s="73"/>
      <c r="F676" s="72"/>
    </row>
    <row r="677" ht="14.25" customHeight="1">
      <c r="A677" s="73"/>
      <c r="B677" s="73"/>
      <c r="C677" s="73"/>
      <c r="D677" s="73"/>
      <c r="E677" s="73"/>
      <c r="F677" s="72"/>
    </row>
    <row r="678" ht="14.25" customHeight="1">
      <c r="A678" s="73"/>
      <c r="B678" s="73"/>
      <c r="C678" s="73"/>
      <c r="D678" s="73"/>
      <c r="E678" s="73"/>
      <c r="F678" s="72"/>
    </row>
    <row r="679" ht="14.25" customHeight="1">
      <c r="A679" s="73"/>
      <c r="B679" s="73"/>
      <c r="C679" s="73"/>
      <c r="D679" s="73"/>
      <c r="E679" s="73"/>
      <c r="F679" s="72"/>
    </row>
    <row r="680" ht="14.25" customHeight="1">
      <c r="A680" s="73"/>
      <c r="B680" s="73"/>
      <c r="C680" s="73"/>
      <c r="D680" s="73"/>
      <c r="E680" s="73"/>
      <c r="F680" s="72"/>
    </row>
    <row r="681" ht="14.25" customHeight="1">
      <c r="A681" s="73"/>
      <c r="B681" s="73"/>
      <c r="C681" s="73"/>
      <c r="D681" s="73"/>
      <c r="E681" s="73"/>
      <c r="F681" s="72"/>
    </row>
    <row r="682" ht="14.25" customHeight="1">
      <c r="A682" s="73"/>
      <c r="B682" s="73"/>
      <c r="C682" s="73"/>
      <c r="D682" s="73"/>
      <c r="E682" s="73"/>
      <c r="F682" s="72"/>
    </row>
    <row r="683" ht="14.25" customHeight="1">
      <c r="A683" s="73"/>
      <c r="B683" s="73"/>
      <c r="C683" s="73"/>
      <c r="D683" s="73"/>
      <c r="E683" s="73"/>
      <c r="F683" s="72"/>
    </row>
    <row r="684" ht="14.25" customHeight="1">
      <c r="A684" s="73"/>
      <c r="B684" s="73"/>
      <c r="C684" s="73"/>
      <c r="D684" s="73"/>
      <c r="E684" s="73"/>
      <c r="F684" s="72"/>
    </row>
    <row r="685" ht="14.25" customHeight="1">
      <c r="A685" s="73"/>
      <c r="B685" s="73"/>
      <c r="C685" s="73"/>
      <c r="D685" s="73"/>
      <c r="E685" s="73"/>
      <c r="F685" s="72"/>
    </row>
    <row r="686" ht="14.25" customHeight="1">
      <c r="A686" s="73"/>
      <c r="B686" s="73"/>
      <c r="C686" s="73"/>
      <c r="D686" s="73"/>
      <c r="E686" s="73"/>
      <c r="F686" s="72"/>
    </row>
    <row r="687" ht="14.25" customHeight="1">
      <c r="A687" s="73"/>
      <c r="B687" s="73"/>
      <c r="C687" s="73"/>
      <c r="D687" s="73"/>
      <c r="E687" s="73"/>
      <c r="F687" s="72"/>
    </row>
    <row r="688" ht="14.25" customHeight="1">
      <c r="A688" s="73"/>
      <c r="B688" s="73"/>
      <c r="C688" s="73"/>
      <c r="D688" s="73"/>
      <c r="E688" s="73"/>
      <c r="F688" s="72"/>
    </row>
    <row r="689" ht="14.25" customHeight="1">
      <c r="A689" s="73"/>
      <c r="B689" s="73"/>
      <c r="C689" s="73"/>
      <c r="D689" s="73"/>
      <c r="E689" s="73"/>
      <c r="F689" s="72"/>
    </row>
    <row r="690" ht="14.25" customHeight="1">
      <c r="A690" s="73"/>
      <c r="B690" s="73"/>
      <c r="C690" s="73"/>
      <c r="D690" s="73"/>
      <c r="E690" s="73"/>
      <c r="F690" s="72"/>
    </row>
    <row r="691" ht="14.25" customHeight="1">
      <c r="A691" s="73"/>
      <c r="B691" s="73"/>
      <c r="C691" s="73"/>
      <c r="D691" s="73"/>
      <c r="E691" s="73"/>
      <c r="F691" s="72"/>
    </row>
    <row r="692" ht="14.25" customHeight="1">
      <c r="A692" s="73"/>
      <c r="B692" s="73"/>
      <c r="C692" s="73"/>
      <c r="D692" s="73"/>
      <c r="E692" s="73"/>
      <c r="F692" s="72"/>
    </row>
    <row r="693" ht="14.25" customHeight="1">
      <c r="A693" s="73"/>
      <c r="B693" s="73"/>
      <c r="C693" s="73"/>
      <c r="D693" s="73"/>
      <c r="E693" s="73"/>
      <c r="F693" s="72"/>
    </row>
    <row r="694" ht="14.25" customHeight="1">
      <c r="A694" s="73"/>
      <c r="B694" s="73"/>
      <c r="C694" s="73"/>
      <c r="D694" s="73"/>
      <c r="E694" s="73"/>
      <c r="F694" s="72"/>
    </row>
    <row r="695" ht="14.25" customHeight="1">
      <c r="A695" s="73"/>
      <c r="B695" s="73"/>
      <c r="C695" s="73"/>
      <c r="D695" s="73"/>
      <c r="E695" s="73"/>
      <c r="F695" s="72"/>
    </row>
    <row r="696" ht="14.25" customHeight="1">
      <c r="A696" s="73"/>
      <c r="B696" s="73"/>
      <c r="C696" s="73"/>
      <c r="D696" s="73"/>
      <c r="E696" s="73"/>
      <c r="F696" s="72"/>
    </row>
    <row r="697" ht="14.25" customHeight="1">
      <c r="A697" s="73"/>
      <c r="B697" s="73"/>
      <c r="C697" s="73"/>
      <c r="D697" s="73"/>
      <c r="E697" s="73"/>
      <c r="F697" s="72"/>
    </row>
    <row r="698" ht="14.25" customHeight="1">
      <c r="A698" s="73"/>
      <c r="B698" s="73"/>
      <c r="C698" s="73"/>
      <c r="D698" s="73"/>
      <c r="E698" s="73"/>
      <c r="F698" s="72"/>
    </row>
    <row r="699" ht="14.25" customHeight="1">
      <c r="A699" s="73"/>
      <c r="B699" s="73"/>
      <c r="C699" s="73"/>
      <c r="D699" s="73"/>
      <c r="E699" s="73"/>
      <c r="F699" s="72"/>
    </row>
    <row r="700" ht="14.25" customHeight="1">
      <c r="A700" s="73"/>
      <c r="B700" s="73"/>
      <c r="C700" s="73"/>
      <c r="D700" s="73"/>
      <c r="E700" s="73"/>
      <c r="F700" s="72"/>
    </row>
    <row r="701" ht="14.25" customHeight="1">
      <c r="A701" s="73"/>
      <c r="B701" s="73"/>
      <c r="C701" s="73"/>
      <c r="D701" s="73"/>
      <c r="E701" s="73"/>
      <c r="F701" s="72"/>
    </row>
    <row r="702" ht="14.25" customHeight="1">
      <c r="A702" s="73"/>
      <c r="B702" s="73"/>
      <c r="C702" s="73"/>
      <c r="D702" s="73"/>
      <c r="E702" s="73"/>
      <c r="F702" s="72"/>
    </row>
    <row r="703" ht="14.25" customHeight="1">
      <c r="A703" s="73"/>
      <c r="B703" s="73"/>
      <c r="C703" s="73"/>
      <c r="D703" s="73"/>
      <c r="E703" s="73"/>
      <c r="F703" s="72"/>
    </row>
    <row r="704" ht="14.25" customHeight="1">
      <c r="A704" s="73"/>
      <c r="B704" s="73"/>
      <c r="C704" s="73"/>
      <c r="D704" s="73"/>
      <c r="E704" s="73"/>
      <c r="F704" s="72"/>
    </row>
    <row r="705" ht="14.25" customHeight="1">
      <c r="A705" s="73"/>
      <c r="B705" s="73"/>
      <c r="C705" s="73"/>
      <c r="D705" s="73"/>
      <c r="E705" s="73"/>
      <c r="F705" s="72"/>
    </row>
    <row r="706" ht="14.25" customHeight="1">
      <c r="A706" s="73"/>
      <c r="B706" s="73"/>
      <c r="C706" s="73"/>
      <c r="D706" s="73"/>
      <c r="E706" s="73"/>
      <c r="F706" s="72"/>
    </row>
    <row r="707" ht="14.25" customHeight="1">
      <c r="A707" s="73"/>
      <c r="B707" s="73"/>
      <c r="C707" s="73"/>
      <c r="D707" s="73"/>
      <c r="E707" s="73"/>
      <c r="F707" s="72"/>
    </row>
    <row r="708" ht="14.25" customHeight="1">
      <c r="A708" s="73"/>
      <c r="B708" s="73"/>
      <c r="C708" s="73"/>
      <c r="D708" s="73"/>
      <c r="E708" s="73"/>
      <c r="F708" s="72"/>
    </row>
    <row r="709" ht="14.25" customHeight="1">
      <c r="A709" s="73"/>
      <c r="B709" s="73"/>
      <c r="C709" s="73"/>
      <c r="D709" s="73"/>
      <c r="E709" s="73"/>
      <c r="F709" s="72"/>
    </row>
    <row r="710" ht="14.25" customHeight="1">
      <c r="A710" s="73"/>
      <c r="B710" s="73"/>
      <c r="C710" s="73"/>
      <c r="D710" s="73"/>
      <c r="E710" s="73"/>
      <c r="F710" s="72"/>
    </row>
    <row r="711" ht="14.25" customHeight="1">
      <c r="A711" s="73"/>
      <c r="B711" s="73"/>
      <c r="C711" s="73"/>
      <c r="D711" s="73"/>
      <c r="E711" s="73"/>
      <c r="F711" s="72"/>
    </row>
    <row r="712" ht="14.25" customHeight="1">
      <c r="A712" s="73"/>
      <c r="B712" s="73"/>
      <c r="C712" s="73"/>
      <c r="D712" s="73"/>
      <c r="E712" s="73"/>
      <c r="F712" s="72"/>
    </row>
    <row r="713" ht="14.25" customHeight="1">
      <c r="A713" s="73"/>
      <c r="B713" s="73"/>
      <c r="C713" s="73"/>
      <c r="D713" s="73"/>
      <c r="E713" s="73"/>
      <c r="F713" s="72"/>
    </row>
    <row r="714" ht="14.25" customHeight="1">
      <c r="A714" s="73"/>
      <c r="B714" s="73"/>
      <c r="C714" s="73"/>
      <c r="D714" s="73"/>
      <c r="E714" s="73"/>
      <c r="F714" s="72"/>
    </row>
    <row r="715" ht="14.25" customHeight="1">
      <c r="A715" s="73"/>
      <c r="B715" s="73"/>
      <c r="C715" s="73"/>
      <c r="D715" s="73"/>
      <c r="E715" s="73"/>
      <c r="F715" s="72"/>
    </row>
    <row r="716" ht="14.25" customHeight="1">
      <c r="A716" s="73"/>
      <c r="B716" s="73"/>
      <c r="C716" s="73"/>
      <c r="D716" s="73"/>
      <c r="E716" s="73"/>
      <c r="F716" s="72"/>
    </row>
    <row r="717" ht="14.25" customHeight="1">
      <c r="A717" s="73"/>
      <c r="B717" s="73"/>
      <c r="C717" s="73"/>
      <c r="D717" s="73"/>
      <c r="E717" s="73"/>
      <c r="F717" s="72"/>
    </row>
    <row r="718" ht="14.25" customHeight="1">
      <c r="A718" s="73"/>
      <c r="B718" s="73"/>
      <c r="C718" s="73"/>
      <c r="D718" s="73"/>
      <c r="E718" s="73"/>
      <c r="F718" s="72"/>
    </row>
    <row r="719" ht="14.25" customHeight="1">
      <c r="A719" s="73"/>
      <c r="B719" s="73"/>
      <c r="C719" s="73"/>
      <c r="D719" s="73"/>
      <c r="E719" s="73"/>
      <c r="F719" s="72"/>
    </row>
    <row r="720" ht="14.25" customHeight="1">
      <c r="A720" s="73"/>
      <c r="B720" s="73"/>
      <c r="C720" s="73"/>
      <c r="D720" s="73"/>
      <c r="E720" s="73"/>
      <c r="F720" s="72"/>
    </row>
    <row r="721" ht="14.25" customHeight="1">
      <c r="A721" s="73"/>
      <c r="B721" s="73"/>
      <c r="C721" s="73"/>
      <c r="D721" s="73"/>
      <c r="E721" s="73"/>
      <c r="F721" s="72"/>
    </row>
    <row r="722" ht="14.25" customHeight="1">
      <c r="A722" s="73"/>
      <c r="B722" s="73"/>
      <c r="C722" s="73"/>
      <c r="D722" s="73"/>
      <c r="E722" s="73"/>
      <c r="F722" s="72"/>
    </row>
    <row r="723" ht="14.25" customHeight="1">
      <c r="A723" s="73"/>
      <c r="B723" s="73"/>
      <c r="C723" s="73"/>
      <c r="D723" s="73"/>
      <c r="E723" s="73"/>
      <c r="F723" s="72"/>
    </row>
    <row r="724" ht="14.25" customHeight="1">
      <c r="A724" s="73"/>
      <c r="B724" s="73"/>
      <c r="C724" s="73"/>
      <c r="D724" s="73"/>
      <c r="E724" s="73"/>
      <c r="F724" s="72"/>
    </row>
    <row r="725" ht="14.25" customHeight="1">
      <c r="A725" s="73"/>
      <c r="B725" s="73"/>
      <c r="C725" s="73"/>
      <c r="D725" s="73"/>
      <c r="E725" s="73"/>
      <c r="F725" s="72"/>
    </row>
    <row r="726" ht="14.25" customHeight="1">
      <c r="A726" s="73"/>
      <c r="B726" s="73"/>
      <c r="C726" s="73"/>
      <c r="D726" s="73"/>
      <c r="E726" s="73"/>
      <c r="F726" s="72"/>
    </row>
    <row r="727" ht="14.25" customHeight="1">
      <c r="A727" s="73"/>
      <c r="B727" s="73"/>
      <c r="C727" s="73"/>
      <c r="D727" s="73"/>
      <c r="E727" s="73"/>
      <c r="F727" s="72"/>
    </row>
    <row r="728" ht="14.25" customHeight="1">
      <c r="A728" s="73"/>
      <c r="B728" s="73"/>
      <c r="C728" s="73"/>
      <c r="D728" s="73"/>
      <c r="E728" s="73"/>
      <c r="F728" s="72"/>
    </row>
    <row r="729" ht="14.25" customHeight="1">
      <c r="A729" s="73"/>
      <c r="B729" s="73"/>
      <c r="C729" s="73"/>
      <c r="D729" s="73"/>
      <c r="E729" s="73"/>
      <c r="F729" s="72"/>
    </row>
    <row r="730" ht="14.25" customHeight="1">
      <c r="A730" s="73"/>
      <c r="B730" s="73"/>
      <c r="C730" s="73"/>
      <c r="D730" s="73"/>
      <c r="E730" s="73"/>
      <c r="F730" s="72"/>
    </row>
    <row r="731" ht="14.25" customHeight="1">
      <c r="A731" s="73"/>
      <c r="B731" s="73"/>
      <c r="C731" s="73"/>
      <c r="D731" s="73"/>
      <c r="E731" s="73"/>
      <c r="F731" s="72"/>
    </row>
    <row r="732" ht="14.25" customHeight="1">
      <c r="A732" s="73"/>
      <c r="B732" s="73"/>
      <c r="C732" s="73"/>
      <c r="D732" s="73"/>
      <c r="E732" s="73"/>
      <c r="F732" s="72"/>
    </row>
    <row r="733" ht="14.25" customHeight="1">
      <c r="A733" s="73"/>
      <c r="B733" s="73"/>
      <c r="C733" s="73"/>
      <c r="D733" s="73"/>
      <c r="E733" s="73"/>
      <c r="F733" s="72"/>
    </row>
    <row r="734" ht="14.25" customHeight="1">
      <c r="A734" s="73"/>
      <c r="B734" s="73"/>
      <c r="C734" s="73"/>
      <c r="D734" s="73"/>
      <c r="E734" s="73"/>
      <c r="F734" s="72"/>
    </row>
    <row r="735" ht="14.25" customHeight="1">
      <c r="A735" s="73"/>
      <c r="B735" s="73"/>
      <c r="C735" s="73"/>
      <c r="D735" s="73"/>
      <c r="E735" s="73"/>
      <c r="F735" s="72"/>
    </row>
    <row r="736" ht="14.25" customHeight="1">
      <c r="A736" s="73"/>
      <c r="B736" s="73"/>
      <c r="C736" s="73"/>
      <c r="D736" s="73"/>
      <c r="E736" s="73"/>
      <c r="F736" s="72"/>
    </row>
    <row r="737" ht="14.25" customHeight="1">
      <c r="A737" s="73"/>
      <c r="B737" s="73"/>
      <c r="C737" s="73"/>
      <c r="D737" s="73"/>
      <c r="E737" s="73"/>
      <c r="F737" s="72"/>
    </row>
    <row r="738" ht="14.25" customHeight="1">
      <c r="A738" s="73"/>
      <c r="B738" s="73"/>
      <c r="C738" s="73"/>
      <c r="D738" s="73"/>
      <c r="E738" s="73"/>
      <c r="F738" s="72"/>
    </row>
    <row r="739" ht="14.25" customHeight="1">
      <c r="A739" s="73"/>
      <c r="B739" s="73"/>
      <c r="C739" s="73"/>
      <c r="D739" s="73"/>
      <c r="E739" s="73"/>
      <c r="F739" s="72"/>
    </row>
    <row r="740" ht="14.25" customHeight="1">
      <c r="A740" s="73"/>
      <c r="B740" s="73"/>
      <c r="C740" s="73"/>
      <c r="D740" s="73"/>
      <c r="E740" s="73"/>
      <c r="F740" s="72"/>
    </row>
    <row r="741" ht="14.25" customHeight="1">
      <c r="A741" s="73"/>
      <c r="B741" s="73"/>
      <c r="C741" s="73"/>
      <c r="D741" s="73"/>
      <c r="E741" s="73"/>
      <c r="F741" s="72"/>
    </row>
    <row r="742" ht="14.25" customHeight="1">
      <c r="A742" s="73"/>
      <c r="B742" s="73"/>
      <c r="C742" s="73"/>
      <c r="D742" s="73"/>
      <c r="E742" s="73"/>
      <c r="F742" s="72"/>
    </row>
    <row r="743" ht="14.25" customHeight="1">
      <c r="A743" s="73"/>
      <c r="B743" s="73"/>
      <c r="C743" s="73"/>
      <c r="D743" s="73"/>
      <c r="E743" s="73"/>
      <c r="F743" s="72"/>
    </row>
    <row r="744" ht="14.25" customHeight="1">
      <c r="A744" s="73"/>
      <c r="B744" s="73"/>
      <c r="C744" s="73"/>
      <c r="D744" s="73"/>
      <c r="E744" s="73"/>
      <c r="F744" s="72"/>
    </row>
    <row r="745" ht="14.25" customHeight="1">
      <c r="A745" s="73"/>
      <c r="B745" s="73"/>
      <c r="C745" s="73"/>
      <c r="D745" s="73"/>
      <c r="E745" s="73"/>
      <c r="F745" s="72"/>
    </row>
    <row r="746" ht="14.25" customHeight="1">
      <c r="A746" s="73"/>
      <c r="B746" s="73"/>
      <c r="C746" s="73"/>
      <c r="D746" s="73"/>
      <c r="E746" s="73"/>
      <c r="F746" s="72"/>
    </row>
    <row r="747" ht="14.25" customHeight="1">
      <c r="A747" s="73"/>
      <c r="B747" s="73"/>
      <c r="C747" s="73"/>
      <c r="D747" s="73"/>
      <c r="E747" s="73"/>
      <c r="F747" s="72"/>
    </row>
    <row r="748" ht="14.25" customHeight="1">
      <c r="A748" s="73"/>
      <c r="B748" s="73"/>
      <c r="C748" s="73"/>
      <c r="D748" s="73"/>
      <c r="E748" s="73"/>
      <c r="F748" s="72"/>
    </row>
    <row r="749" ht="14.25" customHeight="1">
      <c r="A749" s="73"/>
      <c r="B749" s="73"/>
      <c r="C749" s="73"/>
      <c r="D749" s="73"/>
      <c r="E749" s="73"/>
      <c r="F749" s="72"/>
    </row>
    <row r="750" ht="14.25" customHeight="1">
      <c r="A750" s="73"/>
      <c r="B750" s="73"/>
      <c r="C750" s="73"/>
      <c r="D750" s="73"/>
      <c r="E750" s="73"/>
      <c r="F750" s="72"/>
    </row>
    <row r="751" ht="14.25" customHeight="1">
      <c r="A751" s="73"/>
      <c r="B751" s="73"/>
      <c r="C751" s="73"/>
      <c r="D751" s="73"/>
      <c r="E751" s="73"/>
      <c r="F751" s="72"/>
    </row>
    <row r="752" ht="14.25" customHeight="1">
      <c r="A752" s="73"/>
      <c r="B752" s="73"/>
      <c r="C752" s="73"/>
      <c r="D752" s="73"/>
      <c r="E752" s="73"/>
      <c r="F752" s="72"/>
    </row>
    <row r="753" ht="14.25" customHeight="1">
      <c r="A753" s="73"/>
      <c r="B753" s="73"/>
      <c r="C753" s="73"/>
      <c r="D753" s="73"/>
      <c r="E753" s="73"/>
      <c r="F753" s="72"/>
    </row>
    <row r="754" ht="14.25" customHeight="1">
      <c r="A754" s="73"/>
      <c r="B754" s="73"/>
      <c r="C754" s="73"/>
      <c r="D754" s="73"/>
      <c r="E754" s="73"/>
      <c r="F754" s="72"/>
    </row>
    <row r="755" ht="14.25" customHeight="1">
      <c r="A755" s="73"/>
      <c r="B755" s="73"/>
      <c r="C755" s="73"/>
      <c r="D755" s="73"/>
      <c r="E755" s="73"/>
      <c r="F755" s="72"/>
    </row>
    <row r="756" ht="14.25" customHeight="1">
      <c r="A756" s="73"/>
      <c r="B756" s="73"/>
      <c r="C756" s="73"/>
      <c r="D756" s="73"/>
      <c r="E756" s="73"/>
      <c r="F756" s="72"/>
    </row>
    <row r="757" ht="14.25" customHeight="1">
      <c r="A757" s="73"/>
      <c r="B757" s="73"/>
      <c r="C757" s="73"/>
      <c r="D757" s="73"/>
      <c r="E757" s="73"/>
      <c r="F757" s="72"/>
    </row>
    <row r="758" ht="14.25" customHeight="1">
      <c r="A758" s="73"/>
      <c r="B758" s="73"/>
      <c r="C758" s="73"/>
      <c r="D758" s="73"/>
      <c r="E758" s="73"/>
      <c r="F758" s="72"/>
    </row>
    <row r="759" ht="14.25" customHeight="1">
      <c r="A759" s="73"/>
      <c r="B759" s="73"/>
      <c r="C759" s="73"/>
      <c r="D759" s="73"/>
      <c r="E759" s="73"/>
      <c r="F759" s="72"/>
    </row>
    <row r="760" ht="14.25" customHeight="1">
      <c r="A760" s="73"/>
      <c r="B760" s="73"/>
      <c r="C760" s="73"/>
      <c r="D760" s="73"/>
      <c r="E760" s="73"/>
      <c r="F760" s="72"/>
    </row>
    <row r="761" ht="14.25" customHeight="1">
      <c r="A761" s="73"/>
      <c r="B761" s="73"/>
      <c r="C761" s="73"/>
      <c r="D761" s="73"/>
      <c r="E761" s="73"/>
      <c r="F761" s="72"/>
    </row>
    <row r="762" ht="14.25" customHeight="1">
      <c r="A762" s="73"/>
      <c r="B762" s="73"/>
      <c r="C762" s="73"/>
      <c r="D762" s="73"/>
      <c r="E762" s="73"/>
      <c r="F762" s="72"/>
    </row>
    <row r="763" ht="14.25" customHeight="1">
      <c r="A763" s="73"/>
      <c r="B763" s="73"/>
      <c r="C763" s="73"/>
      <c r="D763" s="73"/>
      <c r="E763" s="73"/>
      <c r="F763" s="72"/>
    </row>
    <row r="764" ht="14.25" customHeight="1">
      <c r="A764" s="73"/>
      <c r="B764" s="73"/>
      <c r="C764" s="73"/>
      <c r="D764" s="73"/>
      <c r="E764" s="73"/>
      <c r="F764" s="72"/>
    </row>
    <row r="765" ht="14.25" customHeight="1">
      <c r="A765" s="73"/>
      <c r="B765" s="73"/>
      <c r="C765" s="73"/>
      <c r="D765" s="73"/>
      <c r="E765" s="73"/>
      <c r="F765" s="72"/>
    </row>
    <row r="766" ht="14.25" customHeight="1">
      <c r="A766" s="73"/>
      <c r="B766" s="73"/>
      <c r="C766" s="73"/>
      <c r="D766" s="73"/>
      <c r="E766" s="73"/>
      <c r="F766" s="72"/>
    </row>
    <row r="767" ht="14.25" customHeight="1">
      <c r="A767" s="73"/>
      <c r="B767" s="73"/>
      <c r="C767" s="73"/>
      <c r="D767" s="73"/>
      <c r="E767" s="73"/>
      <c r="F767" s="72"/>
    </row>
    <row r="768" ht="14.25" customHeight="1">
      <c r="A768" s="73"/>
      <c r="B768" s="73"/>
      <c r="C768" s="73"/>
      <c r="D768" s="73"/>
      <c r="E768" s="73"/>
      <c r="F768" s="72"/>
    </row>
    <row r="769" ht="14.25" customHeight="1">
      <c r="A769" s="73"/>
      <c r="B769" s="73"/>
      <c r="C769" s="73"/>
      <c r="D769" s="73"/>
      <c r="E769" s="73"/>
      <c r="F769" s="72"/>
    </row>
    <row r="770" ht="14.25" customHeight="1">
      <c r="A770" s="73"/>
      <c r="B770" s="73"/>
      <c r="C770" s="73"/>
      <c r="D770" s="73"/>
      <c r="E770" s="73"/>
      <c r="F770" s="72"/>
    </row>
    <row r="771" ht="14.25" customHeight="1">
      <c r="A771" s="73"/>
      <c r="B771" s="73"/>
      <c r="C771" s="73"/>
      <c r="D771" s="73"/>
      <c r="E771" s="73"/>
      <c r="F771" s="72"/>
    </row>
    <row r="772" ht="14.25" customHeight="1">
      <c r="A772" s="73"/>
      <c r="B772" s="73"/>
      <c r="C772" s="73"/>
      <c r="D772" s="73"/>
      <c r="E772" s="73"/>
      <c r="F772" s="72"/>
    </row>
    <row r="773" ht="14.25" customHeight="1">
      <c r="A773" s="73"/>
      <c r="B773" s="73"/>
      <c r="C773" s="73"/>
      <c r="D773" s="73"/>
      <c r="E773" s="73"/>
      <c r="F773" s="72"/>
    </row>
    <row r="774" ht="14.25" customHeight="1">
      <c r="A774" s="73"/>
      <c r="B774" s="73"/>
      <c r="C774" s="73"/>
      <c r="D774" s="73"/>
      <c r="E774" s="73"/>
      <c r="F774" s="72"/>
    </row>
    <row r="775" ht="14.25" customHeight="1">
      <c r="A775" s="73"/>
      <c r="B775" s="73"/>
      <c r="C775" s="73"/>
      <c r="D775" s="73"/>
      <c r="E775" s="73"/>
      <c r="F775" s="72"/>
    </row>
    <row r="776" ht="14.25" customHeight="1">
      <c r="A776" s="73"/>
      <c r="B776" s="73"/>
      <c r="C776" s="73"/>
      <c r="D776" s="73"/>
      <c r="E776" s="73"/>
      <c r="F776" s="72"/>
    </row>
    <row r="777" ht="14.25" customHeight="1">
      <c r="A777" s="73"/>
      <c r="B777" s="73"/>
      <c r="C777" s="73"/>
      <c r="D777" s="73"/>
      <c r="E777" s="73"/>
      <c r="F777" s="72"/>
    </row>
    <row r="778" ht="14.25" customHeight="1">
      <c r="A778" s="73"/>
      <c r="B778" s="73"/>
      <c r="C778" s="73"/>
      <c r="D778" s="73"/>
      <c r="E778" s="73"/>
      <c r="F778" s="72"/>
    </row>
    <row r="779" ht="14.25" customHeight="1">
      <c r="A779" s="73"/>
      <c r="B779" s="73"/>
      <c r="C779" s="73"/>
      <c r="D779" s="73"/>
      <c r="E779" s="73"/>
      <c r="F779" s="72"/>
    </row>
    <row r="780" ht="14.25" customHeight="1">
      <c r="A780" s="73"/>
      <c r="B780" s="73"/>
      <c r="C780" s="73"/>
      <c r="D780" s="73"/>
      <c r="E780" s="73"/>
      <c r="F780" s="72"/>
    </row>
    <row r="781" ht="14.25" customHeight="1">
      <c r="A781" s="73"/>
      <c r="B781" s="73"/>
      <c r="C781" s="73"/>
      <c r="D781" s="73"/>
      <c r="E781" s="73"/>
      <c r="F781" s="72"/>
    </row>
    <row r="782" ht="14.25" customHeight="1">
      <c r="A782" s="73"/>
      <c r="B782" s="73"/>
      <c r="C782" s="73"/>
      <c r="D782" s="73"/>
      <c r="E782" s="73"/>
      <c r="F782" s="72"/>
    </row>
    <row r="783" ht="14.25" customHeight="1">
      <c r="A783" s="73"/>
      <c r="B783" s="73"/>
      <c r="C783" s="73"/>
      <c r="D783" s="73"/>
      <c r="E783" s="73"/>
      <c r="F783" s="72"/>
    </row>
    <row r="784" ht="14.25" customHeight="1">
      <c r="A784" s="73"/>
      <c r="B784" s="73"/>
      <c r="C784" s="73"/>
      <c r="D784" s="73"/>
      <c r="E784" s="73"/>
      <c r="F784" s="72"/>
    </row>
    <row r="785" ht="14.25" customHeight="1">
      <c r="A785" s="73"/>
      <c r="B785" s="73"/>
      <c r="C785" s="73"/>
      <c r="D785" s="73"/>
      <c r="E785" s="73"/>
      <c r="F785" s="72"/>
    </row>
    <row r="786" ht="14.25" customHeight="1">
      <c r="A786" s="73"/>
      <c r="B786" s="73"/>
      <c r="C786" s="73"/>
      <c r="D786" s="73"/>
      <c r="E786" s="73"/>
      <c r="F786" s="72"/>
    </row>
    <row r="787" ht="14.25" customHeight="1">
      <c r="A787" s="73"/>
      <c r="B787" s="73"/>
      <c r="C787" s="73"/>
      <c r="D787" s="73"/>
      <c r="E787" s="73"/>
      <c r="F787" s="72"/>
    </row>
    <row r="788" ht="14.25" customHeight="1">
      <c r="A788" s="73"/>
      <c r="B788" s="73"/>
      <c r="C788" s="73"/>
      <c r="D788" s="73"/>
      <c r="E788" s="73"/>
      <c r="F788" s="72"/>
    </row>
    <row r="789" ht="14.25" customHeight="1">
      <c r="A789" s="73"/>
      <c r="B789" s="73"/>
      <c r="C789" s="73"/>
      <c r="D789" s="73"/>
      <c r="E789" s="73"/>
      <c r="F789" s="72"/>
    </row>
    <row r="790" ht="14.25" customHeight="1">
      <c r="A790" s="73"/>
      <c r="B790" s="73"/>
      <c r="C790" s="73"/>
      <c r="D790" s="73"/>
      <c r="E790" s="73"/>
      <c r="F790" s="72"/>
    </row>
    <row r="791" ht="14.25" customHeight="1">
      <c r="A791" s="73"/>
      <c r="B791" s="73"/>
      <c r="C791" s="73"/>
      <c r="D791" s="73"/>
      <c r="E791" s="73"/>
      <c r="F791" s="72"/>
    </row>
    <row r="792" ht="14.25" customHeight="1">
      <c r="A792" s="73"/>
      <c r="B792" s="73"/>
      <c r="C792" s="73"/>
      <c r="D792" s="73"/>
      <c r="E792" s="73"/>
      <c r="F792" s="72"/>
    </row>
    <row r="793" ht="14.25" customHeight="1">
      <c r="A793" s="73"/>
      <c r="B793" s="73"/>
      <c r="C793" s="73"/>
      <c r="D793" s="73"/>
      <c r="E793" s="73"/>
      <c r="F793" s="72"/>
    </row>
    <row r="794" ht="14.25" customHeight="1">
      <c r="A794" s="73"/>
      <c r="B794" s="73"/>
      <c r="C794" s="73"/>
      <c r="D794" s="73"/>
      <c r="E794" s="73"/>
      <c r="F794" s="72"/>
    </row>
    <row r="795" ht="14.25" customHeight="1">
      <c r="A795" s="73"/>
      <c r="B795" s="73"/>
      <c r="C795" s="73"/>
      <c r="D795" s="73"/>
      <c r="E795" s="73"/>
      <c r="F795" s="72"/>
    </row>
    <row r="796" ht="14.25" customHeight="1">
      <c r="A796" s="73"/>
      <c r="B796" s="73"/>
      <c r="C796" s="73"/>
      <c r="D796" s="73"/>
      <c r="E796" s="73"/>
      <c r="F796" s="72"/>
    </row>
    <row r="797" ht="14.25" customHeight="1">
      <c r="A797" s="73"/>
      <c r="B797" s="73"/>
      <c r="C797" s="73"/>
      <c r="D797" s="73"/>
      <c r="E797" s="73"/>
      <c r="F797" s="72"/>
    </row>
    <row r="798" ht="14.25" customHeight="1">
      <c r="A798" s="73"/>
      <c r="B798" s="73"/>
      <c r="C798" s="73"/>
      <c r="D798" s="73"/>
      <c r="E798" s="73"/>
      <c r="F798" s="72"/>
    </row>
    <row r="799" ht="14.25" customHeight="1">
      <c r="A799" s="73"/>
      <c r="B799" s="73"/>
      <c r="C799" s="73"/>
      <c r="D799" s="73"/>
      <c r="E799" s="73"/>
      <c r="F799" s="72"/>
    </row>
    <row r="800" ht="14.25" customHeight="1">
      <c r="A800" s="73"/>
      <c r="B800" s="73"/>
      <c r="C800" s="73"/>
      <c r="D800" s="73"/>
      <c r="E800" s="73"/>
      <c r="F800" s="72"/>
    </row>
    <row r="801" ht="14.25" customHeight="1">
      <c r="A801" s="73"/>
      <c r="B801" s="73"/>
      <c r="C801" s="73"/>
      <c r="D801" s="73"/>
      <c r="E801" s="73"/>
      <c r="F801" s="72"/>
    </row>
    <row r="802" ht="14.25" customHeight="1">
      <c r="A802" s="73"/>
      <c r="B802" s="73"/>
      <c r="C802" s="73"/>
      <c r="D802" s="73"/>
      <c r="E802" s="73"/>
      <c r="F802" s="72"/>
    </row>
    <row r="803" ht="14.25" customHeight="1">
      <c r="A803" s="73"/>
      <c r="B803" s="73"/>
      <c r="C803" s="73"/>
      <c r="D803" s="73"/>
      <c r="E803" s="73"/>
      <c r="F803" s="72"/>
    </row>
    <row r="804" ht="14.25" customHeight="1">
      <c r="A804" s="73"/>
      <c r="B804" s="73"/>
      <c r="C804" s="73"/>
      <c r="D804" s="73"/>
      <c r="E804" s="73"/>
      <c r="F804" s="72"/>
    </row>
    <row r="805" ht="14.25" customHeight="1">
      <c r="A805" s="73"/>
      <c r="B805" s="73"/>
      <c r="C805" s="73"/>
      <c r="D805" s="73"/>
      <c r="E805" s="73"/>
      <c r="F805" s="72"/>
    </row>
    <row r="806" ht="14.25" customHeight="1">
      <c r="A806" s="73"/>
      <c r="B806" s="73"/>
      <c r="C806" s="73"/>
      <c r="D806" s="73"/>
      <c r="E806" s="73"/>
      <c r="F806" s="72"/>
    </row>
    <row r="807" ht="14.25" customHeight="1">
      <c r="A807" s="73"/>
      <c r="B807" s="73"/>
      <c r="C807" s="73"/>
      <c r="D807" s="73"/>
      <c r="E807" s="73"/>
      <c r="F807" s="72"/>
    </row>
    <row r="808" ht="14.25" customHeight="1">
      <c r="A808" s="73"/>
      <c r="B808" s="73"/>
      <c r="C808" s="73"/>
      <c r="D808" s="73"/>
      <c r="E808" s="73"/>
      <c r="F808" s="72"/>
    </row>
    <row r="809" ht="14.25" customHeight="1">
      <c r="A809" s="73"/>
      <c r="B809" s="73"/>
      <c r="C809" s="73"/>
      <c r="D809" s="73"/>
      <c r="E809" s="73"/>
      <c r="F809" s="72"/>
    </row>
    <row r="810" ht="14.25" customHeight="1">
      <c r="A810" s="73"/>
      <c r="B810" s="73"/>
      <c r="C810" s="73"/>
      <c r="D810" s="73"/>
      <c r="E810" s="73"/>
      <c r="F810" s="72"/>
    </row>
    <row r="811" ht="14.25" customHeight="1">
      <c r="A811" s="73"/>
      <c r="B811" s="73"/>
      <c r="C811" s="73"/>
      <c r="D811" s="73"/>
      <c r="E811" s="73"/>
      <c r="F811" s="72"/>
    </row>
    <row r="812" ht="14.25" customHeight="1">
      <c r="A812" s="73"/>
      <c r="B812" s="73"/>
      <c r="C812" s="73"/>
      <c r="D812" s="73"/>
      <c r="E812" s="73"/>
      <c r="F812" s="72"/>
    </row>
    <row r="813" ht="14.25" customHeight="1">
      <c r="A813" s="73"/>
      <c r="B813" s="73"/>
      <c r="C813" s="73"/>
      <c r="D813" s="73"/>
      <c r="E813" s="73"/>
      <c r="F813" s="72"/>
    </row>
    <row r="814" ht="14.25" customHeight="1">
      <c r="A814" s="73"/>
      <c r="B814" s="73"/>
      <c r="C814" s="73"/>
      <c r="D814" s="73"/>
      <c r="E814" s="73"/>
      <c r="F814" s="72"/>
    </row>
    <row r="815" ht="14.25" customHeight="1">
      <c r="A815" s="73"/>
      <c r="B815" s="73"/>
      <c r="C815" s="73"/>
      <c r="D815" s="73"/>
      <c r="E815" s="73"/>
      <c r="F815" s="72"/>
    </row>
    <row r="816" ht="14.25" customHeight="1">
      <c r="A816" s="73"/>
      <c r="B816" s="73"/>
      <c r="C816" s="73"/>
      <c r="D816" s="73"/>
      <c r="E816" s="73"/>
      <c r="F816" s="72"/>
    </row>
    <row r="817" ht="14.25" customHeight="1">
      <c r="A817" s="73"/>
      <c r="B817" s="73"/>
      <c r="C817" s="73"/>
      <c r="D817" s="73"/>
      <c r="E817" s="73"/>
      <c r="F817" s="72"/>
    </row>
    <row r="818" ht="14.25" customHeight="1">
      <c r="A818" s="73"/>
      <c r="B818" s="73"/>
      <c r="C818" s="73"/>
      <c r="D818" s="73"/>
      <c r="E818" s="73"/>
      <c r="F818" s="72"/>
    </row>
    <row r="819" ht="14.25" customHeight="1">
      <c r="A819" s="73"/>
      <c r="B819" s="73"/>
      <c r="C819" s="73"/>
      <c r="D819" s="73"/>
      <c r="E819" s="73"/>
      <c r="F819" s="72"/>
    </row>
    <row r="820" ht="14.25" customHeight="1">
      <c r="A820" s="73"/>
      <c r="B820" s="73"/>
      <c r="C820" s="73"/>
      <c r="D820" s="73"/>
      <c r="E820" s="73"/>
      <c r="F820" s="72"/>
    </row>
    <row r="821" ht="14.25" customHeight="1">
      <c r="A821" s="73"/>
      <c r="B821" s="73"/>
      <c r="C821" s="73"/>
      <c r="D821" s="73"/>
      <c r="E821" s="73"/>
      <c r="F821" s="72"/>
    </row>
    <row r="822" ht="14.25" customHeight="1">
      <c r="A822" s="73"/>
      <c r="B822" s="73"/>
      <c r="C822" s="73"/>
      <c r="D822" s="73"/>
      <c r="E822" s="73"/>
      <c r="F822" s="72"/>
    </row>
    <row r="823" ht="14.25" customHeight="1">
      <c r="A823" s="73"/>
      <c r="B823" s="73"/>
      <c r="C823" s="73"/>
      <c r="D823" s="73"/>
      <c r="E823" s="73"/>
      <c r="F823" s="72"/>
    </row>
    <row r="824" ht="14.25" customHeight="1">
      <c r="A824" s="73"/>
      <c r="B824" s="73"/>
      <c r="C824" s="73"/>
      <c r="D824" s="73"/>
      <c r="E824" s="73"/>
      <c r="F824" s="72"/>
    </row>
    <row r="825" ht="14.25" customHeight="1">
      <c r="A825" s="73"/>
      <c r="B825" s="73"/>
      <c r="C825" s="73"/>
      <c r="D825" s="73"/>
      <c r="E825" s="73"/>
      <c r="F825" s="72"/>
    </row>
    <row r="826" ht="14.25" customHeight="1">
      <c r="A826" s="73"/>
      <c r="B826" s="73"/>
      <c r="C826" s="73"/>
      <c r="D826" s="73"/>
      <c r="E826" s="73"/>
      <c r="F826" s="72"/>
    </row>
    <row r="827" ht="14.25" customHeight="1">
      <c r="A827" s="73"/>
      <c r="B827" s="73"/>
      <c r="C827" s="73"/>
      <c r="D827" s="73"/>
      <c r="E827" s="73"/>
      <c r="F827" s="72"/>
    </row>
    <row r="828" ht="14.25" customHeight="1">
      <c r="A828" s="73"/>
      <c r="B828" s="73"/>
      <c r="C828" s="73"/>
      <c r="D828" s="73"/>
      <c r="E828" s="73"/>
      <c r="F828" s="72"/>
    </row>
    <row r="829" ht="14.25" customHeight="1">
      <c r="A829" s="73"/>
      <c r="B829" s="73"/>
      <c r="C829" s="73"/>
      <c r="D829" s="73"/>
      <c r="E829" s="73"/>
      <c r="F829" s="72"/>
    </row>
    <row r="830" ht="14.25" customHeight="1">
      <c r="A830" s="73"/>
      <c r="B830" s="73"/>
      <c r="C830" s="73"/>
      <c r="D830" s="73"/>
      <c r="E830" s="73"/>
      <c r="F830" s="72"/>
    </row>
    <row r="831" ht="14.25" customHeight="1">
      <c r="A831" s="73"/>
      <c r="B831" s="73"/>
      <c r="C831" s="73"/>
      <c r="D831" s="73"/>
      <c r="E831" s="73"/>
      <c r="F831" s="72"/>
    </row>
    <row r="832" ht="14.25" customHeight="1">
      <c r="A832" s="73"/>
      <c r="B832" s="73"/>
      <c r="C832" s="73"/>
      <c r="D832" s="73"/>
      <c r="E832" s="73"/>
      <c r="F832" s="72"/>
    </row>
    <row r="833" ht="14.25" customHeight="1">
      <c r="A833" s="73"/>
      <c r="B833" s="73"/>
      <c r="C833" s="73"/>
      <c r="D833" s="73"/>
      <c r="E833" s="73"/>
      <c r="F833" s="72"/>
    </row>
    <row r="834" ht="14.25" customHeight="1">
      <c r="A834" s="73"/>
      <c r="B834" s="73"/>
      <c r="C834" s="73"/>
      <c r="D834" s="73"/>
      <c r="E834" s="73"/>
      <c r="F834" s="72"/>
    </row>
    <row r="835" ht="14.25" customHeight="1">
      <c r="A835" s="73"/>
      <c r="B835" s="73"/>
      <c r="C835" s="73"/>
      <c r="D835" s="73"/>
      <c r="E835" s="73"/>
      <c r="F835" s="72"/>
    </row>
    <row r="836" ht="14.25" customHeight="1">
      <c r="A836" s="73"/>
      <c r="B836" s="73"/>
      <c r="C836" s="73"/>
      <c r="D836" s="73"/>
      <c r="E836" s="73"/>
      <c r="F836" s="72"/>
    </row>
    <row r="837" ht="14.25" customHeight="1">
      <c r="A837" s="73"/>
      <c r="B837" s="73"/>
      <c r="C837" s="73"/>
      <c r="D837" s="73"/>
      <c r="E837" s="73"/>
      <c r="F837" s="72"/>
    </row>
    <row r="838" ht="14.25" customHeight="1">
      <c r="A838" s="73"/>
      <c r="B838" s="73"/>
      <c r="C838" s="73"/>
      <c r="D838" s="73"/>
      <c r="E838" s="73"/>
      <c r="F838" s="72"/>
    </row>
    <row r="839" ht="14.25" customHeight="1">
      <c r="A839" s="73"/>
      <c r="B839" s="73"/>
      <c r="C839" s="73"/>
      <c r="D839" s="73"/>
      <c r="E839" s="73"/>
      <c r="F839" s="72"/>
    </row>
    <row r="840" ht="14.25" customHeight="1">
      <c r="A840" s="73"/>
      <c r="B840" s="73"/>
      <c r="C840" s="73"/>
      <c r="D840" s="73"/>
      <c r="E840" s="73"/>
      <c r="F840" s="72"/>
    </row>
    <row r="841" ht="14.25" customHeight="1">
      <c r="A841" s="73"/>
      <c r="B841" s="73"/>
      <c r="C841" s="73"/>
      <c r="D841" s="73"/>
      <c r="E841" s="73"/>
      <c r="F841" s="72"/>
    </row>
    <row r="842" ht="14.25" customHeight="1">
      <c r="A842" s="73"/>
      <c r="B842" s="73"/>
      <c r="C842" s="73"/>
      <c r="D842" s="73"/>
      <c r="E842" s="73"/>
      <c r="F842" s="72"/>
    </row>
    <row r="843" ht="14.25" customHeight="1">
      <c r="A843" s="73"/>
      <c r="B843" s="73"/>
      <c r="C843" s="73"/>
      <c r="D843" s="73"/>
      <c r="E843" s="73"/>
      <c r="F843" s="72"/>
    </row>
    <row r="844" ht="14.25" customHeight="1">
      <c r="A844" s="73"/>
      <c r="B844" s="73"/>
      <c r="C844" s="73"/>
      <c r="D844" s="73"/>
      <c r="E844" s="73"/>
      <c r="F844" s="72"/>
    </row>
    <row r="845" ht="14.25" customHeight="1">
      <c r="A845" s="73"/>
      <c r="B845" s="73"/>
      <c r="C845" s="73"/>
      <c r="D845" s="73"/>
      <c r="E845" s="73"/>
      <c r="F845" s="72"/>
    </row>
    <row r="846" ht="14.25" customHeight="1">
      <c r="A846" s="73"/>
      <c r="B846" s="73"/>
      <c r="C846" s="73"/>
      <c r="D846" s="73"/>
      <c r="E846" s="73"/>
      <c r="F846" s="72"/>
    </row>
    <row r="847" ht="14.25" customHeight="1">
      <c r="A847" s="73"/>
      <c r="B847" s="73"/>
      <c r="C847" s="73"/>
      <c r="D847" s="73"/>
      <c r="E847" s="73"/>
      <c r="F847" s="72"/>
    </row>
    <row r="848" ht="14.25" customHeight="1">
      <c r="A848" s="73"/>
      <c r="B848" s="73"/>
      <c r="C848" s="73"/>
      <c r="D848" s="73"/>
      <c r="E848" s="73"/>
      <c r="F848" s="72"/>
    </row>
    <row r="849" ht="14.25" customHeight="1">
      <c r="A849" s="73"/>
      <c r="B849" s="73"/>
      <c r="C849" s="73"/>
      <c r="D849" s="73"/>
      <c r="E849" s="73"/>
      <c r="F849" s="72"/>
    </row>
    <row r="850" ht="14.25" customHeight="1">
      <c r="A850" s="73"/>
      <c r="B850" s="73"/>
      <c r="C850" s="73"/>
      <c r="D850" s="73"/>
      <c r="E850" s="73"/>
      <c r="F850" s="72"/>
    </row>
    <row r="851" ht="14.25" customHeight="1">
      <c r="A851" s="73"/>
      <c r="B851" s="73"/>
      <c r="C851" s="73"/>
      <c r="D851" s="73"/>
      <c r="E851" s="73"/>
      <c r="F851" s="72"/>
    </row>
    <row r="852" ht="14.25" customHeight="1">
      <c r="A852" s="73"/>
      <c r="B852" s="73"/>
      <c r="C852" s="73"/>
      <c r="D852" s="73"/>
      <c r="E852" s="73"/>
      <c r="F852" s="72"/>
    </row>
    <row r="853" ht="14.25" customHeight="1">
      <c r="A853" s="73"/>
      <c r="B853" s="73"/>
      <c r="C853" s="73"/>
      <c r="D853" s="73"/>
      <c r="E853" s="73"/>
      <c r="F853" s="72"/>
    </row>
    <row r="854" ht="14.25" customHeight="1">
      <c r="A854" s="73"/>
      <c r="B854" s="73"/>
      <c r="C854" s="73"/>
      <c r="D854" s="73"/>
      <c r="E854" s="73"/>
      <c r="F854" s="72"/>
    </row>
    <row r="855" ht="14.25" customHeight="1">
      <c r="A855" s="73"/>
      <c r="B855" s="73"/>
      <c r="C855" s="73"/>
      <c r="D855" s="73"/>
      <c r="E855" s="73"/>
      <c r="F855" s="72"/>
    </row>
    <row r="856" ht="14.25" customHeight="1">
      <c r="A856" s="73"/>
      <c r="B856" s="73"/>
      <c r="C856" s="73"/>
      <c r="D856" s="73"/>
      <c r="E856" s="73"/>
      <c r="F856" s="72"/>
    </row>
    <row r="857" ht="14.25" customHeight="1">
      <c r="A857" s="73"/>
      <c r="B857" s="73"/>
      <c r="C857" s="73"/>
      <c r="D857" s="73"/>
      <c r="E857" s="73"/>
      <c r="F857" s="72"/>
    </row>
    <row r="858" ht="14.25" customHeight="1">
      <c r="A858" s="73"/>
      <c r="B858" s="73"/>
      <c r="C858" s="73"/>
      <c r="D858" s="73"/>
      <c r="E858" s="73"/>
      <c r="F858" s="72"/>
    </row>
    <row r="859" ht="14.25" customHeight="1">
      <c r="A859" s="73"/>
      <c r="B859" s="73"/>
      <c r="C859" s="73"/>
      <c r="D859" s="73"/>
      <c r="E859" s="73"/>
      <c r="F859" s="72"/>
    </row>
    <row r="860" ht="14.25" customHeight="1">
      <c r="A860" s="73"/>
      <c r="B860" s="73"/>
      <c r="C860" s="73"/>
      <c r="D860" s="73"/>
      <c r="E860" s="73"/>
      <c r="F860" s="72"/>
    </row>
    <row r="861" ht="14.25" customHeight="1">
      <c r="A861" s="73"/>
      <c r="B861" s="73"/>
      <c r="C861" s="73"/>
      <c r="D861" s="73"/>
      <c r="E861" s="73"/>
      <c r="F861" s="72"/>
    </row>
    <row r="862" ht="14.25" customHeight="1">
      <c r="A862" s="73"/>
      <c r="B862" s="73"/>
      <c r="C862" s="73"/>
      <c r="D862" s="73"/>
      <c r="E862" s="73"/>
      <c r="F862" s="72"/>
    </row>
    <row r="863" ht="14.25" customHeight="1">
      <c r="A863" s="73"/>
      <c r="B863" s="73"/>
      <c r="C863" s="73"/>
      <c r="D863" s="73"/>
      <c r="E863" s="73"/>
      <c r="F863" s="72"/>
    </row>
    <row r="864" ht="14.25" customHeight="1">
      <c r="A864" s="73"/>
      <c r="B864" s="73"/>
      <c r="C864" s="73"/>
      <c r="D864" s="73"/>
      <c r="E864" s="73"/>
      <c r="F864" s="72"/>
    </row>
    <row r="865" ht="14.25" customHeight="1">
      <c r="A865" s="73"/>
      <c r="B865" s="73"/>
      <c r="C865" s="73"/>
      <c r="D865" s="73"/>
      <c r="E865" s="73"/>
      <c r="F865" s="72"/>
    </row>
    <row r="866" ht="14.25" customHeight="1">
      <c r="A866" s="73"/>
      <c r="B866" s="73"/>
      <c r="C866" s="73"/>
      <c r="D866" s="73"/>
      <c r="E866" s="73"/>
      <c r="F866" s="72"/>
    </row>
    <row r="867" ht="14.25" customHeight="1">
      <c r="A867" s="73"/>
      <c r="B867" s="73"/>
      <c r="C867" s="73"/>
      <c r="D867" s="73"/>
      <c r="E867" s="73"/>
      <c r="F867" s="72"/>
    </row>
    <row r="868" ht="14.25" customHeight="1">
      <c r="A868" s="73"/>
      <c r="B868" s="73"/>
      <c r="C868" s="73"/>
      <c r="D868" s="73"/>
      <c r="E868" s="73"/>
      <c r="F868" s="72"/>
    </row>
    <row r="869" ht="14.25" customHeight="1">
      <c r="A869" s="73"/>
      <c r="B869" s="73"/>
      <c r="C869" s="73"/>
      <c r="D869" s="73"/>
      <c r="E869" s="73"/>
      <c r="F869" s="72"/>
    </row>
    <row r="870" ht="14.25" customHeight="1">
      <c r="A870" s="73"/>
      <c r="B870" s="73"/>
      <c r="C870" s="73"/>
      <c r="D870" s="73"/>
      <c r="E870" s="73"/>
      <c r="F870" s="72"/>
    </row>
    <row r="871" ht="14.25" customHeight="1">
      <c r="A871" s="73"/>
      <c r="B871" s="73"/>
      <c r="C871" s="73"/>
      <c r="D871" s="73"/>
      <c r="E871" s="73"/>
      <c r="F871" s="72"/>
    </row>
    <row r="872" ht="14.25" customHeight="1">
      <c r="A872" s="73"/>
      <c r="B872" s="73"/>
      <c r="C872" s="73"/>
      <c r="D872" s="73"/>
      <c r="E872" s="73"/>
      <c r="F872" s="72"/>
    </row>
    <row r="873" ht="14.25" customHeight="1">
      <c r="A873" s="73"/>
      <c r="B873" s="73"/>
      <c r="C873" s="73"/>
      <c r="D873" s="73"/>
      <c r="E873" s="73"/>
      <c r="F873" s="72"/>
    </row>
    <row r="874" ht="14.25" customHeight="1">
      <c r="A874" s="73"/>
      <c r="B874" s="73"/>
      <c r="C874" s="73"/>
      <c r="D874" s="73"/>
      <c r="E874" s="73"/>
      <c r="F874" s="72"/>
    </row>
    <row r="875" ht="14.25" customHeight="1">
      <c r="A875" s="73"/>
      <c r="B875" s="73"/>
      <c r="C875" s="73"/>
      <c r="D875" s="73"/>
      <c r="E875" s="73"/>
      <c r="F875" s="72"/>
    </row>
    <row r="876" ht="14.25" customHeight="1">
      <c r="A876" s="73"/>
      <c r="B876" s="73"/>
      <c r="C876" s="73"/>
      <c r="D876" s="73"/>
      <c r="E876" s="73"/>
      <c r="F876" s="72"/>
    </row>
    <row r="877" ht="14.25" customHeight="1">
      <c r="A877" s="73"/>
      <c r="B877" s="73"/>
      <c r="C877" s="73"/>
      <c r="D877" s="73"/>
      <c r="E877" s="73"/>
      <c r="F877" s="72"/>
    </row>
    <row r="878" ht="14.25" customHeight="1">
      <c r="A878" s="73"/>
      <c r="B878" s="73"/>
      <c r="C878" s="73"/>
      <c r="D878" s="73"/>
      <c r="E878" s="73"/>
      <c r="F878" s="72"/>
    </row>
    <row r="879" ht="14.25" customHeight="1">
      <c r="A879" s="73"/>
      <c r="B879" s="73"/>
      <c r="C879" s="73"/>
      <c r="D879" s="73"/>
      <c r="E879" s="73"/>
      <c r="F879" s="72"/>
    </row>
    <row r="880" ht="14.25" customHeight="1">
      <c r="A880" s="73"/>
      <c r="B880" s="73"/>
      <c r="C880" s="73"/>
      <c r="D880" s="73"/>
      <c r="E880" s="73"/>
      <c r="F880" s="72"/>
    </row>
    <row r="881" ht="14.25" customHeight="1">
      <c r="A881" s="73"/>
      <c r="B881" s="73"/>
      <c r="C881" s="73"/>
      <c r="D881" s="73"/>
      <c r="E881" s="73"/>
      <c r="F881" s="72"/>
    </row>
    <row r="882" ht="14.25" customHeight="1">
      <c r="A882" s="73"/>
      <c r="B882" s="73"/>
      <c r="C882" s="73"/>
      <c r="D882" s="73"/>
      <c r="E882" s="73"/>
      <c r="F882" s="72"/>
    </row>
    <row r="883" ht="14.25" customHeight="1">
      <c r="A883" s="73"/>
      <c r="B883" s="73"/>
      <c r="C883" s="73"/>
      <c r="D883" s="73"/>
      <c r="E883" s="73"/>
      <c r="F883" s="72"/>
    </row>
    <row r="884" ht="14.25" customHeight="1">
      <c r="A884" s="73"/>
      <c r="B884" s="73"/>
      <c r="C884" s="73"/>
      <c r="D884" s="73"/>
      <c r="E884" s="73"/>
      <c r="F884" s="72"/>
    </row>
    <row r="885" ht="14.25" customHeight="1">
      <c r="A885" s="73"/>
      <c r="B885" s="73"/>
      <c r="C885" s="73"/>
      <c r="D885" s="73"/>
      <c r="E885" s="73"/>
      <c r="F885" s="72"/>
    </row>
    <row r="886" ht="14.25" customHeight="1">
      <c r="A886" s="73"/>
      <c r="B886" s="73"/>
      <c r="C886" s="73"/>
      <c r="D886" s="73"/>
      <c r="E886" s="73"/>
      <c r="F886" s="72"/>
    </row>
    <row r="887" ht="14.25" customHeight="1">
      <c r="A887" s="73"/>
      <c r="B887" s="73"/>
      <c r="C887" s="73"/>
      <c r="D887" s="73"/>
      <c r="E887" s="73"/>
      <c r="F887" s="72"/>
    </row>
    <row r="888" ht="14.25" customHeight="1">
      <c r="A888" s="73"/>
      <c r="B888" s="73"/>
      <c r="C888" s="73"/>
      <c r="D888" s="73"/>
      <c r="E888" s="73"/>
      <c r="F888" s="72"/>
    </row>
    <row r="889" ht="14.25" customHeight="1">
      <c r="A889" s="73"/>
      <c r="B889" s="73"/>
      <c r="C889" s="73"/>
      <c r="D889" s="73"/>
      <c r="E889" s="73"/>
      <c r="F889" s="72"/>
    </row>
    <row r="890" ht="14.25" customHeight="1">
      <c r="A890" s="73"/>
      <c r="B890" s="73"/>
      <c r="C890" s="73"/>
      <c r="D890" s="73"/>
      <c r="E890" s="73"/>
      <c r="F890" s="72"/>
    </row>
    <row r="891" ht="14.25" customHeight="1">
      <c r="A891" s="73"/>
      <c r="B891" s="73"/>
      <c r="C891" s="73"/>
      <c r="D891" s="73"/>
      <c r="E891" s="73"/>
      <c r="F891" s="72"/>
    </row>
    <row r="892" ht="14.25" customHeight="1">
      <c r="A892" s="73"/>
      <c r="B892" s="73"/>
      <c r="C892" s="73"/>
      <c r="D892" s="73"/>
      <c r="E892" s="73"/>
      <c r="F892" s="72"/>
    </row>
    <row r="893" ht="14.25" customHeight="1">
      <c r="A893" s="73"/>
      <c r="B893" s="73"/>
      <c r="C893" s="73"/>
      <c r="D893" s="73"/>
      <c r="E893" s="73"/>
      <c r="F893" s="72"/>
    </row>
    <row r="894" ht="14.25" customHeight="1">
      <c r="A894" s="73"/>
      <c r="B894" s="73"/>
      <c r="C894" s="73"/>
      <c r="D894" s="73"/>
      <c r="E894" s="73"/>
      <c r="F894" s="72"/>
    </row>
    <row r="895" ht="14.25" customHeight="1">
      <c r="A895" s="73"/>
      <c r="B895" s="73"/>
      <c r="C895" s="73"/>
      <c r="D895" s="73"/>
      <c r="E895" s="73"/>
      <c r="F895" s="72"/>
    </row>
    <row r="896" ht="14.25" customHeight="1">
      <c r="A896" s="73"/>
      <c r="B896" s="73"/>
      <c r="C896" s="73"/>
      <c r="D896" s="73"/>
      <c r="E896" s="73"/>
      <c r="F896" s="72"/>
    </row>
    <row r="897" ht="14.25" customHeight="1">
      <c r="A897" s="73"/>
      <c r="B897" s="73"/>
      <c r="C897" s="73"/>
      <c r="D897" s="73"/>
      <c r="E897" s="73"/>
      <c r="F897" s="72"/>
    </row>
    <row r="898" ht="14.25" customHeight="1">
      <c r="A898" s="73"/>
      <c r="B898" s="73"/>
      <c r="C898" s="73"/>
      <c r="D898" s="73"/>
      <c r="E898" s="73"/>
      <c r="F898" s="72"/>
    </row>
    <row r="899" ht="14.25" customHeight="1">
      <c r="A899" s="73"/>
      <c r="B899" s="73"/>
      <c r="C899" s="73"/>
      <c r="D899" s="73"/>
      <c r="E899" s="73"/>
      <c r="F899" s="72"/>
    </row>
    <row r="900" ht="14.25" customHeight="1">
      <c r="A900" s="73"/>
      <c r="B900" s="73"/>
      <c r="C900" s="73"/>
      <c r="D900" s="73"/>
      <c r="E900" s="73"/>
      <c r="F900" s="72"/>
    </row>
    <row r="901" ht="14.25" customHeight="1">
      <c r="A901" s="73"/>
      <c r="B901" s="73"/>
      <c r="C901" s="73"/>
      <c r="D901" s="73"/>
      <c r="E901" s="73"/>
      <c r="F901" s="72"/>
    </row>
    <row r="902" ht="14.25" customHeight="1">
      <c r="A902" s="73"/>
      <c r="B902" s="73"/>
      <c r="C902" s="73"/>
      <c r="D902" s="73"/>
      <c r="E902" s="73"/>
      <c r="F902" s="72"/>
    </row>
    <row r="903" ht="14.25" customHeight="1">
      <c r="A903" s="73"/>
      <c r="B903" s="73"/>
      <c r="C903" s="73"/>
      <c r="D903" s="73"/>
      <c r="E903" s="73"/>
      <c r="F903" s="72"/>
    </row>
    <row r="904" ht="14.25" customHeight="1">
      <c r="A904" s="73"/>
      <c r="B904" s="73"/>
      <c r="C904" s="73"/>
      <c r="D904" s="73"/>
      <c r="E904" s="73"/>
      <c r="F904" s="72"/>
    </row>
    <row r="905" ht="14.25" customHeight="1">
      <c r="A905" s="73"/>
      <c r="B905" s="73"/>
      <c r="C905" s="73"/>
      <c r="D905" s="73"/>
      <c r="E905" s="73"/>
      <c r="F905" s="72"/>
    </row>
    <row r="906" ht="14.25" customHeight="1">
      <c r="A906" s="73"/>
      <c r="B906" s="73"/>
      <c r="C906" s="73"/>
      <c r="D906" s="73"/>
      <c r="E906" s="73"/>
      <c r="F906" s="72"/>
    </row>
    <row r="907" ht="14.25" customHeight="1">
      <c r="A907" s="73"/>
      <c r="B907" s="73"/>
      <c r="C907" s="73"/>
      <c r="D907" s="73"/>
      <c r="E907" s="73"/>
      <c r="F907" s="72"/>
    </row>
    <row r="908" ht="14.25" customHeight="1">
      <c r="A908" s="73"/>
      <c r="B908" s="73"/>
      <c r="C908" s="73"/>
      <c r="D908" s="73"/>
      <c r="E908" s="73"/>
      <c r="F908" s="72"/>
    </row>
    <row r="909" ht="14.25" customHeight="1">
      <c r="A909" s="73"/>
      <c r="B909" s="73"/>
      <c r="C909" s="73"/>
      <c r="D909" s="73"/>
      <c r="E909" s="73"/>
      <c r="F909" s="72"/>
    </row>
    <row r="910" ht="14.25" customHeight="1">
      <c r="A910" s="73"/>
      <c r="B910" s="73"/>
      <c r="C910" s="73"/>
      <c r="D910" s="73"/>
      <c r="E910" s="73"/>
      <c r="F910" s="72"/>
    </row>
    <row r="911" ht="14.25" customHeight="1">
      <c r="A911" s="73"/>
      <c r="B911" s="73"/>
      <c r="C911" s="73"/>
      <c r="D911" s="73"/>
      <c r="E911" s="73"/>
      <c r="F911" s="72"/>
    </row>
    <row r="912" ht="14.25" customHeight="1">
      <c r="A912" s="73"/>
      <c r="B912" s="73"/>
      <c r="C912" s="73"/>
      <c r="D912" s="73"/>
      <c r="E912" s="73"/>
      <c r="F912" s="72"/>
    </row>
    <row r="913" ht="14.25" customHeight="1">
      <c r="A913" s="73"/>
      <c r="B913" s="73"/>
      <c r="C913" s="73"/>
      <c r="D913" s="73"/>
      <c r="E913" s="73"/>
      <c r="F913" s="72"/>
    </row>
    <row r="914" ht="14.25" customHeight="1">
      <c r="A914" s="73"/>
      <c r="B914" s="73"/>
      <c r="C914" s="73"/>
      <c r="D914" s="73"/>
      <c r="E914" s="73"/>
      <c r="F914" s="72"/>
    </row>
    <row r="915" ht="14.25" customHeight="1">
      <c r="A915" s="73"/>
      <c r="B915" s="73"/>
      <c r="C915" s="73"/>
      <c r="D915" s="73"/>
      <c r="E915" s="73"/>
      <c r="F915" s="72"/>
    </row>
    <row r="916" ht="14.25" customHeight="1">
      <c r="A916" s="73"/>
      <c r="B916" s="73"/>
      <c r="C916" s="73"/>
      <c r="D916" s="73"/>
      <c r="E916" s="73"/>
      <c r="F916" s="72"/>
    </row>
    <row r="917" ht="14.25" customHeight="1">
      <c r="A917" s="73"/>
      <c r="B917" s="73"/>
      <c r="C917" s="73"/>
      <c r="D917" s="73"/>
      <c r="E917" s="73"/>
      <c r="F917" s="72"/>
    </row>
    <row r="918" ht="14.25" customHeight="1">
      <c r="A918" s="73"/>
      <c r="B918" s="73"/>
      <c r="C918" s="73"/>
      <c r="D918" s="73"/>
      <c r="E918" s="73"/>
      <c r="F918" s="72"/>
    </row>
    <row r="919" ht="14.25" customHeight="1">
      <c r="A919" s="73"/>
      <c r="B919" s="73"/>
      <c r="C919" s="73"/>
      <c r="D919" s="73"/>
      <c r="E919" s="73"/>
      <c r="F919" s="72"/>
    </row>
    <row r="920" ht="14.25" customHeight="1">
      <c r="A920" s="73"/>
      <c r="B920" s="73"/>
      <c r="C920" s="73"/>
      <c r="D920" s="73"/>
      <c r="E920" s="73"/>
      <c r="F920" s="72"/>
    </row>
    <row r="921" ht="14.25" customHeight="1">
      <c r="A921" s="73"/>
      <c r="B921" s="73"/>
      <c r="C921" s="73"/>
      <c r="D921" s="73"/>
      <c r="E921" s="73"/>
      <c r="F921" s="72"/>
    </row>
    <row r="922" ht="14.25" customHeight="1">
      <c r="A922" s="73"/>
      <c r="B922" s="73"/>
      <c r="C922" s="73"/>
      <c r="D922" s="73"/>
      <c r="E922" s="73"/>
      <c r="F922" s="72"/>
    </row>
    <row r="923" ht="14.25" customHeight="1">
      <c r="A923" s="73"/>
      <c r="B923" s="73"/>
      <c r="C923" s="73"/>
      <c r="D923" s="73"/>
      <c r="E923" s="73"/>
      <c r="F923" s="72"/>
    </row>
    <row r="924" ht="14.25" customHeight="1">
      <c r="A924" s="73"/>
      <c r="B924" s="73"/>
      <c r="C924" s="73"/>
      <c r="D924" s="73"/>
      <c r="E924" s="73"/>
      <c r="F924" s="72"/>
    </row>
    <row r="925" ht="14.25" customHeight="1">
      <c r="A925" s="73"/>
      <c r="B925" s="73"/>
      <c r="C925" s="73"/>
      <c r="D925" s="73"/>
      <c r="E925" s="73"/>
      <c r="F925" s="72"/>
    </row>
    <row r="926" ht="14.25" customHeight="1">
      <c r="A926" s="73"/>
      <c r="B926" s="73"/>
      <c r="C926" s="73"/>
      <c r="D926" s="73"/>
      <c r="E926" s="73"/>
      <c r="F926" s="72"/>
    </row>
    <row r="927" ht="14.25" customHeight="1">
      <c r="A927" s="73"/>
      <c r="B927" s="73"/>
      <c r="C927" s="73"/>
      <c r="D927" s="73"/>
      <c r="E927" s="73"/>
      <c r="F927" s="72"/>
    </row>
    <row r="928" ht="14.25" customHeight="1">
      <c r="A928" s="73"/>
      <c r="B928" s="73"/>
      <c r="C928" s="73"/>
      <c r="D928" s="73"/>
      <c r="E928" s="73"/>
      <c r="F928" s="72"/>
    </row>
    <row r="929" ht="14.25" customHeight="1">
      <c r="A929" s="73"/>
      <c r="B929" s="73"/>
      <c r="C929" s="73"/>
      <c r="D929" s="73"/>
      <c r="E929" s="73"/>
      <c r="F929" s="72"/>
    </row>
    <row r="930" ht="14.25" customHeight="1">
      <c r="A930" s="73"/>
      <c r="B930" s="73"/>
      <c r="C930" s="73"/>
      <c r="D930" s="73"/>
      <c r="E930" s="73"/>
      <c r="F930" s="72"/>
    </row>
    <row r="931" ht="14.25" customHeight="1">
      <c r="A931" s="73"/>
      <c r="B931" s="73"/>
      <c r="C931" s="73"/>
      <c r="D931" s="73"/>
      <c r="E931" s="73"/>
      <c r="F931" s="72"/>
    </row>
    <row r="932" ht="14.25" customHeight="1">
      <c r="A932" s="73"/>
      <c r="B932" s="73"/>
      <c r="C932" s="73"/>
      <c r="D932" s="73"/>
      <c r="E932" s="73"/>
      <c r="F932" s="72"/>
    </row>
    <row r="933" ht="14.25" customHeight="1">
      <c r="A933" s="73"/>
      <c r="B933" s="73"/>
      <c r="C933" s="73"/>
      <c r="D933" s="73"/>
      <c r="E933" s="73"/>
      <c r="F933" s="72"/>
    </row>
    <row r="934" ht="14.25" customHeight="1">
      <c r="A934" s="73"/>
      <c r="B934" s="73"/>
      <c r="C934" s="73"/>
      <c r="D934" s="73"/>
      <c r="E934" s="73"/>
      <c r="F934" s="72"/>
    </row>
    <row r="935" ht="14.25" customHeight="1">
      <c r="A935" s="73"/>
      <c r="B935" s="73"/>
      <c r="C935" s="73"/>
      <c r="D935" s="73"/>
      <c r="E935" s="73"/>
      <c r="F935" s="72"/>
    </row>
    <row r="936" ht="14.25" customHeight="1">
      <c r="A936" s="73"/>
      <c r="B936" s="73"/>
      <c r="C936" s="73"/>
      <c r="D936" s="73"/>
      <c r="E936" s="73"/>
      <c r="F936" s="72"/>
    </row>
    <row r="937" ht="14.25" customHeight="1">
      <c r="A937" s="73"/>
      <c r="B937" s="73"/>
      <c r="C937" s="73"/>
      <c r="D937" s="73"/>
      <c r="E937" s="73"/>
      <c r="F937" s="72"/>
    </row>
    <row r="938" ht="14.25" customHeight="1">
      <c r="A938" s="73"/>
      <c r="B938" s="73"/>
      <c r="C938" s="73"/>
      <c r="D938" s="73"/>
      <c r="E938" s="73"/>
      <c r="F938" s="72"/>
    </row>
    <row r="939" ht="14.25" customHeight="1">
      <c r="A939" s="73"/>
      <c r="B939" s="73"/>
      <c r="C939" s="73"/>
      <c r="D939" s="73"/>
      <c r="E939" s="73"/>
      <c r="F939" s="72"/>
    </row>
    <row r="940" ht="14.25" customHeight="1">
      <c r="A940" s="73"/>
      <c r="B940" s="73"/>
      <c r="C940" s="73"/>
      <c r="D940" s="73"/>
      <c r="E940" s="73"/>
      <c r="F940" s="72"/>
    </row>
    <row r="941" ht="14.25" customHeight="1">
      <c r="A941" s="73"/>
      <c r="B941" s="73"/>
      <c r="C941" s="73"/>
      <c r="D941" s="73"/>
      <c r="E941" s="73"/>
      <c r="F941" s="72"/>
    </row>
    <row r="942" ht="14.25" customHeight="1">
      <c r="A942" s="73"/>
      <c r="B942" s="73"/>
      <c r="C942" s="73"/>
      <c r="D942" s="73"/>
      <c r="E942" s="73"/>
      <c r="F942" s="72"/>
    </row>
    <row r="943" ht="14.25" customHeight="1">
      <c r="A943" s="73"/>
      <c r="B943" s="73"/>
      <c r="C943" s="73"/>
      <c r="D943" s="73"/>
      <c r="E943" s="73"/>
      <c r="F943" s="72"/>
    </row>
    <row r="944" ht="14.25" customHeight="1">
      <c r="A944" s="73"/>
      <c r="B944" s="73"/>
      <c r="C944" s="73"/>
      <c r="D944" s="73"/>
      <c r="E944" s="73"/>
      <c r="F944" s="72"/>
    </row>
    <row r="945" ht="14.25" customHeight="1">
      <c r="A945" s="73"/>
      <c r="B945" s="73"/>
      <c r="C945" s="73"/>
      <c r="D945" s="73"/>
      <c r="E945" s="73"/>
      <c r="F945" s="72"/>
    </row>
    <row r="946" ht="14.25" customHeight="1">
      <c r="A946" s="73"/>
      <c r="B946" s="73"/>
      <c r="C946" s="73"/>
      <c r="D946" s="73"/>
      <c r="E946" s="73"/>
      <c r="F946" s="72"/>
    </row>
    <row r="947" ht="14.25" customHeight="1">
      <c r="A947" s="73"/>
      <c r="B947" s="73"/>
      <c r="C947" s="73"/>
      <c r="D947" s="73"/>
      <c r="E947" s="73"/>
      <c r="F947" s="72"/>
    </row>
    <row r="948" ht="14.25" customHeight="1">
      <c r="A948" s="73"/>
      <c r="B948" s="73"/>
      <c r="C948" s="73"/>
      <c r="D948" s="73"/>
      <c r="E948" s="73"/>
      <c r="F948" s="72"/>
    </row>
    <row r="949" ht="14.25" customHeight="1">
      <c r="A949" s="73"/>
      <c r="B949" s="73"/>
      <c r="C949" s="73"/>
      <c r="D949" s="73"/>
      <c r="E949" s="73"/>
      <c r="F949" s="72"/>
    </row>
    <row r="950" ht="14.25" customHeight="1">
      <c r="A950" s="73"/>
      <c r="B950" s="73"/>
      <c r="C950" s="73"/>
      <c r="D950" s="73"/>
      <c r="E950" s="73"/>
      <c r="F950" s="72"/>
    </row>
    <row r="951" ht="14.25" customHeight="1">
      <c r="A951" s="73"/>
      <c r="B951" s="73"/>
      <c r="C951" s="73"/>
      <c r="D951" s="73"/>
      <c r="E951" s="73"/>
      <c r="F951" s="72"/>
    </row>
    <row r="952" ht="14.25" customHeight="1">
      <c r="A952" s="73"/>
      <c r="B952" s="73"/>
      <c r="C952" s="73"/>
      <c r="D952" s="73"/>
      <c r="E952" s="73"/>
      <c r="F952" s="72"/>
    </row>
    <row r="953" ht="14.25" customHeight="1">
      <c r="A953" s="73"/>
      <c r="B953" s="73"/>
      <c r="C953" s="73"/>
      <c r="D953" s="73"/>
      <c r="E953" s="73"/>
      <c r="F953" s="72"/>
    </row>
    <row r="954" ht="14.25" customHeight="1">
      <c r="A954" s="73"/>
      <c r="B954" s="73"/>
      <c r="C954" s="73"/>
      <c r="D954" s="73"/>
      <c r="E954" s="73"/>
      <c r="F954" s="72"/>
    </row>
    <row r="955" ht="14.25" customHeight="1">
      <c r="A955" s="73"/>
      <c r="B955" s="73"/>
      <c r="C955" s="73"/>
      <c r="D955" s="73"/>
      <c r="E955" s="73"/>
      <c r="F955" s="72"/>
    </row>
    <row r="956" ht="14.25" customHeight="1">
      <c r="A956" s="73"/>
      <c r="B956" s="73"/>
      <c r="C956" s="73"/>
      <c r="D956" s="73"/>
      <c r="E956" s="73"/>
      <c r="F956" s="72"/>
    </row>
    <row r="957" ht="14.25" customHeight="1">
      <c r="A957" s="73"/>
      <c r="B957" s="73"/>
      <c r="C957" s="73"/>
      <c r="D957" s="73"/>
      <c r="E957" s="73"/>
      <c r="F957" s="72"/>
    </row>
    <row r="958" ht="14.25" customHeight="1">
      <c r="A958" s="73"/>
      <c r="B958" s="73"/>
      <c r="C958" s="73"/>
      <c r="D958" s="73"/>
      <c r="E958" s="73"/>
      <c r="F958" s="72"/>
    </row>
    <row r="959" ht="14.25" customHeight="1">
      <c r="A959" s="73"/>
      <c r="B959" s="73"/>
      <c r="C959" s="73"/>
      <c r="D959" s="73"/>
      <c r="E959" s="73"/>
      <c r="F959" s="72"/>
    </row>
    <row r="960" ht="14.25" customHeight="1">
      <c r="A960" s="73"/>
      <c r="B960" s="73"/>
      <c r="C960" s="73"/>
      <c r="D960" s="73"/>
      <c r="E960" s="73"/>
      <c r="F960" s="72"/>
    </row>
    <row r="961" ht="14.25" customHeight="1">
      <c r="A961" s="73"/>
      <c r="B961" s="73"/>
      <c r="C961" s="73"/>
      <c r="D961" s="73"/>
      <c r="E961" s="73"/>
      <c r="F961" s="72"/>
    </row>
    <row r="962" ht="14.25" customHeight="1">
      <c r="A962" s="73"/>
      <c r="B962" s="73"/>
      <c r="C962" s="73"/>
      <c r="D962" s="73"/>
      <c r="E962" s="73"/>
      <c r="F962" s="72"/>
    </row>
    <row r="963" ht="14.25" customHeight="1">
      <c r="A963" s="73"/>
      <c r="B963" s="73"/>
      <c r="C963" s="73"/>
      <c r="D963" s="73"/>
      <c r="E963" s="73"/>
      <c r="F963" s="72"/>
    </row>
    <row r="964" ht="14.25" customHeight="1">
      <c r="A964" s="73"/>
      <c r="B964" s="73"/>
      <c r="C964" s="73"/>
      <c r="D964" s="73"/>
      <c r="E964" s="73"/>
      <c r="F964" s="72"/>
    </row>
    <row r="965" ht="14.25" customHeight="1">
      <c r="A965" s="73"/>
      <c r="B965" s="73"/>
      <c r="C965" s="73"/>
      <c r="D965" s="73"/>
      <c r="E965" s="73"/>
      <c r="F965" s="72"/>
    </row>
    <row r="966" ht="14.25" customHeight="1">
      <c r="A966" s="73"/>
      <c r="B966" s="73"/>
      <c r="C966" s="73"/>
      <c r="D966" s="73"/>
      <c r="E966" s="73"/>
      <c r="F966" s="72"/>
    </row>
    <row r="967" ht="14.25" customHeight="1">
      <c r="A967" s="73"/>
      <c r="B967" s="73"/>
      <c r="C967" s="73"/>
      <c r="D967" s="73"/>
      <c r="E967" s="73"/>
      <c r="F967" s="72"/>
    </row>
    <row r="968" ht="14.25" customHeight="1">
      <c r="A968" s="73"/>
      <c r="B968" s="73"/>
      <c r="C968" s="73"/>
      <c r="D968" s="73"/>
      <c r="E968" s="73"/>
      <c r="F968" s="72"/>
    </row>
    <row r="969" ht="14.25" customHeight="1">
      <c r="A969" s="73"/>
      <c r="B969" s="73"/>
      <c r="C969" s="73"/>
      <c r="D969" s="73"/>
      <c r="E969" s="73"/>
      <c r="F969" s="72"/>
    </row>
    <row r="970" ht="14.25" customHeight="1">
      <c r="A970" s="73"/>
      <c r="B970" s="73"/>
      <c r="C970" s="73"/>
      <c r="D970" s="73"/>
      <c r="E970" s="73"/>
      <c r="F970" s="72"/>
    </row>
    <row r="971" ht="14.25" customHeight="1">
      <c r="A971" s="73"/>
      <c r="B971" s="73"/>
      <c r="C971" s="73"/>
      <c r="D971" s="73"/>
      <c r="E971" s="73"/>
      <c r="F971" s="72"/>
    </row>
    <row r="972" ht="14.25" customHeight="1">
      <c r="A972" s="73"/>
      <c r="B972" s="73"/>
      <c r="C972" s="73"/>
      <c r="D972" s="73"/>
      <c r="E972" s="73"/>
      <c r="F972" s="72"/>
    </row>
    <row r="973" ht="14.25" customHeight="1">
      <c r="A973" s="73"/>
      <c r="B973" s="73"/>
      <c r="C973" s="73"/>
      <c r="D973" s="73"/>
      <c r="E973" s="73"/>
      <c r="F973" s="72"/>
    </row>
    <row r="974" ht="14.25" customHeight="1">
      <c r="A974" s="73"/>
      <c r="B974" s="73"/>
      <c r="C974" s="73"/>
      <c r="D974" s="73"/>
      <c r="E974" s="73"/>
      <c r="F974" s="72"/>
    </row>
    <row r="975" ht="14.25" customHeight="1">
      <c r="A975" s="73"/>
      <c r="B975" s="73"/>
      <c r="C975" s="73"/>
      <c r="D975" s="73"/>
      <c r="E975" s="73"/>
      <c r="F975" s="72"/>
    </row>
    <row r="976" ht="14.25" customHeight="1">
      <c r="A976" s="73"/>
      <c r="B976" s="73"/>
      <c r="C976" s="73"/>
      <c r="D976" s="73"/>
      <c r="E976" s="73"/>
      <c r="F976" s="72"/>
    </row>
    <row r="977" ht="14.25" customHeight="1">
      <c r="A977" s="73"/>
      <c r="B977" s="73"/>
      <c r="C977" s="73"/>
      <c r="D977" s="73"/>
      <c r="E977" s="73"/>
      <c r="F977" s="72"/>
    </row>
    <row r="978" ht="14.25" customHeight="1">
      <c r="A978" s="73"/>
      <c r="B978" s="73"/>
      <c r="C978" s="73"/>
      <c r="D978" s="73"/>
      <c r="E978" s="73"/>
      <c r="F978" s="72"/>
    </row>
    <row r="979" ht="14.25" customHeight="1">
      <c r="A979" s="73"/>
      <c r="B979" s="73"/>
      <c r="C979" s="73"/>
      <c r="D979" s="73"/>
      <c r="E979" s="73"/>
      <c r="F979" s="72"/>
    </row>
    <row r="980" ht="14.25" customHeight="1">
      <c r="A980" s="73"/>
      <c r="B980" s="73"/>
      <c r="C980" s="73"/>
      <c r="D980" s="73"/>
      <c r="E980" s="73"/>
      <c r="F980" s="72"/>
    </row>
    <row r="981" ht="14.25" customHeight="1">
      <c r="A981" s="73"/>
      <c r="B981" s="73"/>
      <c r="C981" s="73"/>
      <c r="D981" s="73"/>
      <c r="E981" s="73"/>
      <c r="F981" s="72"/>
    </row>
    <row r="982" ht="14.25" customHeight="1">
      <c r="A982" s="73"/>
      <c r="B982" s="73"/>
      <c r="C982" s="73"/>
      <c r="D982" s="73"/>
      <c r="E982" s="73"/>
      <c r="F982" s="72"/>
    </row>
    <row r="983" ht="14.25" customHeight="1">
      <c r="A983" s="73"/>
      <c r="B983" s="73"/>
      <c r="C983" s="73"/>
      <c r="D983" s="73"/>
      <c r="E983" s="73"/>
      <c r="F983" s="72"/>
    </row>
  </sheetData>
  <mergeCells count="145">
    <mergeCell ref="G2:J2"/>
    <mergeCell ref="K2:N2"/>
    <mergeCell ref="O2:R2"/>
    <mergeCell ref="S2:V2"/>
    <mergeCell ref="W2:Z2"/>
    <mergeCell ref="AA2:AD2"/>
    <mergeCell ref="AE2:AG2"/>
    <mergeCell ref="P3:Q3"/>
    <mergeCell ref="T3:U3"/>
    <mergeCell ref="X3:Y3"/>
    <mergeCell ref="AB3:AC3"/>
    <mergeCell ref="AI6:AL6"/>
    <mergeCell ref="AJ13:AK13"/>
    <mergeCell ref="AJ14:AK14"/>
    <mergeCell ref="A1:F1"/>
    <mergeCell ref="G1:AD1"/>
    <mergeCell ref="A2:B3"/>
    <mergeCell ref="C2:C3"/>
    <mergeCell ref="D2:D3"/>
    <mergeCell ref="E2:E3"/>
    <mergeCell ref="F2:F3"/>
    <mergeCell ref="H3:I3"/>
    <mergeCell ref="L3:M3"/>
    <mergeCell ref="B13:B14"/>
    <mergeCell ref="B21:B24"/>
    <mergeCell ref="C21:C24"/>
    <mergeCell ref="C28:C29"/>
    <mergeCell ref="C31:C33"/>
    <mergeCell ref="O49:R49"/>
    <mergeCell ref="S49:V49"/>
    <mergeCell ref="W49:Z49"/>
    <mergeCell ref="AA49:AD49"/>
    <mergeCell ref="AE49:AE50"/>
    <mergeCell ref="AF49:AF50"/>
    <mergeCell ref="AI52:AL52"/>
    <mergeCell ref="B31:B33"/>
    <mergeCell ref="B34:B35"/>
    <mergeCell ref="A45:E45"/>
    <mergeCell ref="A48:AF48"/>
    <mergeCell ref="A49:B50"/>
    <mergeCell ref="C49:C50"/>
    <mergeCell ref="D49:D50"/>
    <mergeCell ref="H50:I50"/>
    <mergeCell ref="D64:D65"/>
    <mergeCell ref="E64:E65"/>
    <mergeCell ref="F64:F65"/>
    <mergeCell ref="G64:H64"/>
    <mergeCell ref="I64:J64"/>
    <mergeCell ref="K64:L64"/>
    <mergeCell ref="AA66:AE66"/>
    <mergeCell ref="G49:J49"/>
    <mergeCell ref="K49:N49"/>
    <mergeCell ref="E49:E50"/>
    <mergeCell ref="F49:F50"/>
    <mergeCell ref="A53:A54"/>
    <mergeCell ref="A59:E59"/>
    <mergeCell ref="A63:R63"/>
    <mergeCell ref="A64:B65"/>
    <mergeCell ref="C64:C65"/>
    <mergeCell ref="R64:R65"/>
    <mergeCell ref="I78:J78"/>
    <mergeCell ref="K78:L78"/>
    <mergeCell ref="M78:N78"/>
    <mergeCell ref="O78:P78"/>
    <mergeCell ref="Q78:R78"/>
    <mergeCell ref="S78:T78"/>
    <mergeCell ref="W78:X78"/>
    <mergeCell ref="Y78:Z78"/>
    <mergeCell ref="V80:V89"/>
    <mergeCell ref="M64:N64"/>
    <mergeCell ref="O64:P64"/>
    <mergeCell ref="C66:C72"/>
    <mergeCell ref="A74:E74"/>
    <mergeCell ref="A77:V77"/>
    <mergeCell ref="A78:B79"/>
    <mergeCell ref="C78:D78"/>
    <mergeCell ref="U78:V78"/>
    <mergeCell ref="H97:I98"/>
    <mergeCell ref="J97:K98"/>
    <mergeCell ref="E213:E214"/>
    <mergeCell ref="F213:F214"/>
    <mergeCell ref="B213:C214"/>
    <mergeCell ref="B217:B218"/>
    <mergeCell ref="C217:C218"/>
    <mergeCell ref="D217:D218"/>
    <mergeCell ref="B222:F222"/>
    <mergeCell ref="C191:C194"/>
    <mergeCell ref="C201:C203"/>
    <mergeCell ref="C204:C205"/>
    <mergeCell ref="B211:F211"/>
    <mergeCell ref="B212:G212"/>
    <mergeCell ref="D213:D214"/>
    <mergeCell ref="G213:G214"/>
    <mergeCell ref="E78:F78"/>
    <mergeCell ref="G78:H78"/>
    <mergeCell ref="A90:B91"/>
    <mergeCell ref="B96:S96"/>
    <mergeCell ref="B97:C98"/>
    <mergeCell ref="D97:E98"/>
    <mergeCell ref="F97:G98"/>
    <mergeCell ref="P97:Q98"/>
    <mergeCell ref="L97:M98"/>
    <mergeCell ref="N97:O98"/>
    <mergeCell ref="S97:S103"/>
    <mergeCell ref="N104:O104"/>
    <mergeCell ref="B109:F109"/>
    <mergeCell ref="C110:F110"/>
    <mergeCell ref="B111:B112"/>
    <mergeCell ref="L112:O112"/>
    <mergeCell ref="C111:C112"/>
    <mergeCell ref="I112:J112"/>
    <mergeCell ref="B114:E115"/>
    <mergeCell ref="F114:F115"/>
    <mergeCell ref="I115:I116"/>
    <mergeCell ref="J115:J116"/>
    <mergeCell ref="B117:F117"/>
    <mergeCell ref="D118:F118"/>
    <mergeCell ref="D122:E122"/>
    <mergeCell ref="B126:I126"/>
    <mergeCell ref="B145:G145"/>
    <mergeCell ref="E148:F148"/>
    <mergeCell ref="E149:E150"/>
    <mergeCell ref="F149:F150"/>
    <mergeCell ref="B148:C148"/>
    <mergeCell ref="B151:B152"/>
    <mergeCell ref="C151:C152"/>
    <mergeCell ref="E151:E152"/>
    <mergeCell ref="F151:F152"/>
    <mergeCell ref="B154:D156"/>
    <mergeCell ref="B170:G171"/>
    <mergeCell ref="B172:G172"/>
    <mergeCell ref="B173:C174"/>
    <mergeCell ref="D173:D174"/>
    <mergeCell ref="E173:E174"/>
    <mergeCell ref="F173:F174"/>
    <mergeCell ref="G173:G174"/>
    <mergeCell ref="D175:D176"/>
    <mergeCell ref="C175:C176"/>
    <mergeCell ref="C177:C178"/>
    <mergeCell ref="D177:D178"/>
    <mergeCell ref="C184:C185"/>
    <mergeCell ref="C187:C188"/>
    <mergeCell ref="D191:D194"/>
    <mergeCell ref="D198:D199"/>
    <mergeCell ref="D201:D203"/>
  </mergeCells>
  <conditionalFormatting sqref="AE4:AE44">
    <cfRule type="cellIs" dxfId="0" priority="1" operator="lessThan">
      <formula>-1</formula>
    </cfRule>
  </conditionalFormatting>
  <conditionalFormatting sqref="AE45">
    <cfRule type="cellIs" dxfId="1" priority="2" operator="greaterThan">
      <formula>0</formula>
    </cfRule>
  </conditionalFormatting>
  <conditionalFormatting sqref="AE51:AE58">
    <cfRule type="cellIs" dxfId="0" priority="3" operator="lessThan">
      <formula>0</formula>
    </cfRule>
  </conditionalFormatting>
  <conditionalFormatting sqref="AF4">
    <cfRule type="cellIs" dxfId="0" priority="4" operator="greaterThan">
      <formula>$F$4</formula>
    </cfRule>
  </conditionalFormatting>
  <conditionalFormatting sqref="AF5">
    <cfRule type="cellIs" dxfId="0" priority="5" operator="greaterThan">
      <formula>$F$5</formula>
    </cfRule>
  </conditionalFormatting>
  <conditionalFormatting sqref="AF6">
    <cfRule type="cellIs" dxfId="0" priority="6" operator="greaterThan">
      <formula>$F$6</formula>
    </cfRule>
  </conditionalFormatting>
  <conditionalFormatting sqref="AF7">
    <cfRule type="cellIs" dxfId="0" priority="7" operator="greaterThan">
      <formula>$F$7</formula>
    </cfRule>
  </conditionalFormatting>
  <conditionalFormatting sqref="AF8">
    <cfRule type="cellIs" dxfId="0" priority="8" operator="greaterThan">
      <formula>$F$8</formula>
    </cfRule>
  </conditionalFormatting>
  <conditionalFormatting sqref="AF9">
    <cfRule type="cellIs" dxfId="0" priority="9" operator="greaterThan">
      <formula>$F$9</formula>
    </cfRule>
  </conditionalFormatting>
  <conditionalFormatting sqref="AF10">
    <cfRule type="cellIs" dxfId="0" priority="10" operator="greaterThan">
      <formula>$F$10</formula>
    </cfRule>
  </conditionalFormatting>
  <conditionalFormatting sqref="AF11">
    <cfRule type="cellIs" dxfId="0" priority="11" operator="greaterThan">
      <formula>$F$11</formula>
    </cfRule>
  </conditionalFormatting>
  <conditionalFormatting sqref="AF12">
    <cfRule type="cellIs" dxfId="0" priority="12" operator="greaterThan">
      <formula>$F$12</formula>
    </cfRule>
  </conditionalFormatting>
  <conditionalFormatting sqref="AF13">
    <cfRule type="cellIs" dxfId="0" priority="13" operator="greaterThan">
      <formula>$F$13</formula>
    </cfRule>
  </conditionalFormatting>
  <conditionalFormatting sqref="AF14">
    <cfRule type="cellIs" dxfId="0" priority="14" operator="greaterThan">
      <formula>$F$14</formula>
    </cfRule>
  </conditionalFormatting>
  <conditionalFormatting sqref="AF15">
    <cfRule type="cellIs" dxfId="0" priority="15" operator="greaterThan">
      <formula>$F$15</formula>
    </cfRule>
  </conditionalFormatting>
  <conditionalFormatting sqref="AF16:AF18">
    <cfRule type="cellIs" dxfId="0" priority="16" operator="greaterThan">
      <formula>$F$16</formula>
    </cfRule>
  </conditionalFormatting>
  <conditionalFormatting sqref="AF19">
    <cfRule type="cellIs" dxfId="0" priority="17" operator="greaterThan">
      <formula>$F$19</formula>
    </cfRule>
  </conditionalFormatting>
  <conditionalFormatting sqref="AF20">
    <cfRule type="cellIs" dxfId="0" priority="18" operator="greaterThan">
      <formula>$F$20</formula>
    </cfRule>
  </conditionalFormatting>
  <conditionalFormatting sqref="AF21">
    <cfRule type="cellIs" dxfId="0" priority="19" operator="greaterThan">
      <formula>$F$21</formula>
    </cfRule>
  </conditionalFormatting>
  <conditionalFormatting sqref="AF22">
    <cfRule type="cellIs" dxfId="0" priority="20" operator="greaterThan">
      <formula>$F$22</formula>
    </cfRule>
  </conditionalFormatting>
  <conditionalFormatting sqref="AF25">
    <cfRule type="cellIs" dxfId="0" priority="21" operator="greaterThan">
      <formula>$F$25</formula>
    </cfRule>
  </conditionalFormatting>
  <conditionalFormatting sqref="AF26">
    <cfRule type="cellIs" dxfId="0" priority="22" operator="greaterThan">
      <formula>$F$26</formula>
    </cfRule>
  </conditionalFormatting>
  <conditionalFormatting sqref="AF27">
    <cfRule type="cellIs" dxfId="0" priority="23" operator="greaterThan">
      <formula>$F$27</formula>
    </cfRule>
  </conditionalFormatting>
  <conditionalFormatting sqref="AF28">
    <cfRule type="cellIs" dxfId="0" priority="24" operator="greaterThan">
      <formula>$F$28</formula>
    </cfRule>
  </conditionalFormatting>
  <conditionalFormatting sqref="AF29">
    <cfRule type="cellIs" dxfId="0" priority="25" operator="greaterThan">
      <formula>$F$29</formula>
    </cfRule>
  </conditionalFormatting>
  <conditionalFormatting sqref="AF30">
    <cfRule type="cellIs" dxfId="0" priority="26" operator="greaterThan">
      <formula>$F$30</formula>
    </cfRule>
  </conditionalFormatting>
  <conditionalFormatting sqref="AF31">
    <cfRule type="cellIs" dxfId="0" priority="27" operator="greaterThan">
      <formula>$F$31</formula>
    </cfRule>
  </conditionalFormatting>
  <conditionalFormatting sqref="AF32 AF36 AF40">
    <cfRule type="cellIs" dxfId="0" priority="28" operator="greaterThan">
      <formula>$F$32</formula>
    </cfRule>
  </conditionalFormatting>
  <conditionalFormatting sqref="AF33 AF37 AF41">
    <cfRule type="cellIs" dxfId="0" priority="29" operator="greaterThan">
      <formula>$F$33</formula>
    </cfRule>
  </conditionalFormatting>
  <conditionalFormatting sqref="AF34 AF38 AF42:AF44">
    <cfRule type="cellIs" dxfId="0" priority="30" operator="greaterThan">
      <formula>$F$34</formula>
    </cfRule>
  </conditionalFormatting>
  <conditionalFormatting sqref="AF35 AF39">
    <cfRule type="cellIs" dxfId="0" priority="31" operator="greaterThan">
      <formula>$F$35</formula>
    </cfRule>
  </conditionalFormatting>
  <conditionalFormatting sqref="AF45">
    <cfRule type="cellIs" dxfId="1" priority="32" operator="lessThan">
      <formula>46700</formula>
    </cfRule>
  </conditionalFormatting>
  <printOptions/>
  <pageMargins bottom="0.75" footer="0.0" header="0.0" left="0.25" right="0.25" top="0.75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0.63"/>
    <col customWidth="1" min="5" max="5" width="28.88"/>
    <col customWidth="1" min="6" max="6" width="11.63"/>
    <col customWidth="1" min="7" max="7" width="10.63"/>
    <col customWidth="1" min="8" max="8" width="11.63"/>
    <col customWidth="1" min="9" max="9" width="10.63"/>
    <col customWidth="1" min="10" max="10" width="11.63"/>
    <col customWidth="1" min="11" max="11" width="10.63"/>
    <col customWidth="1" min="12" max="12" width="11.63"/>
    <col customWidth="1" min="13" max="13" width="10.63"/>
    <col customWidth="1" min="14" max="14" width="11.63"/>
    <col customWidth="1" min="15" max="15" width="10.63"/>
    <col customWidth="1" min="16" max="16" width="11.63"/>
    <col customWidth="1" min="17" max="17" width="10.63"/>
    <col customWidth="1" min="18" max="18" width="12.5"/>
    <col customWidth="1" min="19" max="19" width="11.63"/>
    <col customWidth="1" min="20" max="20" width="13.63"/>
    <col customWidth="1" min="21" max="21" width="16.5"/>
    <col customWidth="1" min="22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>
      <c r="D7" s="1" t="s">
        <v>691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3"/>
    </row>
    <row r="8" ht="14.25" customHeight="1">
      <c r="D8" s="4" t="s">
        <v>2</v>
      </c>
      <c r="E8" s="5"/>
      <c r="F8" s="8">
        <v>46209.0</v>
      </c>
      <c r="G8" s="3"/>
      <c r="H8" s="8">
        <v>46210.0</v>
      </c>
      <c r="I8" s="3"/>
      <c r="J8" s="8">
        <v>46211.0</v>
      </c>
      <c r="K8" s="3"/>
      <c r="L8" s="8">
        <v>46212.0</v>
      </c>
      <c r="M8" s="3"/>
      <c r="N8" s="8">
        <v>46213.0</v>
      </c>
      <c r="O8" s="3"/>
      <c r="P8" s="8">
        <v>46214.0</v>
      </c>
      <c r="Q8" s="3"/>
      <c r="R8" s="8">
        <v>46215.0</v>
      </c>
      <c r="S8" s="3"/>
      <c r="T8" s="85"/>
      <c r="U8" s="85"/>
    </row>
    <row r="9" ht="14.25" customHeight="1">
      <c r="D9" s="10"/>
      <c r="E9" s="11"/>
      <c r="F9" s="13" t="s">
        <v>26</v>
      </c>
      <c r="G9" s="13" t="s">
        <v>197</v>
      </c>
      <c r="H9" s="13" t="s">
        <v>26</v>
      </c>
      <c r="I9" s="13" t="s">
        <v>197</v>
      </c>
      <c r="J9" s="13" t="s">
        <v>26</v>
      </c>
      <c r="K9" s="13" t="s">
        <v>197</v>
      </c>
      <c r="L9" s="13" t="s">
        <v>26</v>
      </c>
      <c r="M9" s="13" t="s">
        <v>197</v>
      </c>
      <c r="N9" s="13" t="s">
        <v>26</v>
      </c>
      <c r="O9" s="13" t="s">
        <v>197</v>
      </c>
      <c r="P9" s="13" t="s">
        <v>26</v>
      </c>
      <c r="Q9" s="13" t="s">
        <v>197</v>
      </c>
      <c r="R9" s="13" t="s">
        <v>26</v>
      </c>
      <c r="S9" s="13" t="s">
        <v>197</v>
      </c>
      <c r="T9" s="120" t="s">
        <v>224</v>
      </c>
      <c r="U9" s="104">
        <v>27.0</v>
      </c>
    </row>
    <row r="10" ht="14.25" customHeight="1">
      <c r="D10" s="25">
        <v>1.0</v>
      </c>
      <c r="E10" s="39" t="s">
        <v>225</v>
      </c>
      <c r="F10" s="124">
        <v>715.0</v>
      </c>
      <c r="G10" s="125" t="s">
        <v>229</v>
      </c>
      <c r="H10" s="127">
        <v>100.0</v>
      </c>
      <c r="I10" s="123" t="s">
        <v>232</v>
      </c>
      <c r="J10" s="128">
        <v>600.0</v>
      </c>
      <c r="K10" s="123" t="s">
        <v>234</v>
      </c>
      <c r="L10" s="27"/>
      <c r="M10" s="85"/>
      <c r="N10" s="85"/>
      <c r="O10" s="85"/>
      <c r="P10" s="27"/>
      <c r="Q10" s="85"/>
      <c r="R10" s="85"/>
      <c r="S10" s="85"/>
      <c r="T10" s="27">
        <f t="shared" ref="T10:T19" si="1">R10+P10+N10+L10+J10+H10+F10</f>
        <v>1415</v>
      </c>
      <c r="U10" s="131"/>
    </row>
    <row r="11" ht="14.25" customHeight="1">
      <c r="D11" s="25">
        <v>2.0</v>
      </c>
      <c r="E11" s="39" t="s">
        <v>235</v>
      </c>
      <c r="F11" s="39"/>
      <c r="G11" s="39"/>
      <c r="H11" s="132">
        <v>800.0</v>
      </c>
      <c r="I11" s="66" t="s">
        <v>238</v>
      </c>
      <c r="J11" s="27"/>
      <c r="K11" s="85"/>
      <c r="L11" s="27"/>
      <c r="M11" s="85"/>
      <c r="N11" s="85">
        <v>668.2</v>
      </c>
      <c r="O11" s="123" t="s">
        <v>239</v>
      </c>
      <c r="P11" s="85"/>
      <c r="Q11" s="85"/>
      <c r="R11" s="85"/>
      <c r="S11" s="85"/>
      <c r="T11" s="27">
        <f t="shared" si="1"/>
        <v>1468.2</v>
      </c>
      <c r="U11" s="44"/>
    </row>
    <row r="12" ht="14.25" customHeight="1">
      <c r="D12" s="25">
        <v>3.0</v>
      </c>
      <c r="E12" s="39" t="s">
        <v>241</v>
      </c>
      <c r="F12" s="39">
        <v>300.0</v>
      </c>
      <c r="G12" s="122" t="s">
        <v>692</v>
      </c>
      <c r="H12" s="85">
        <v>300.0</v>
      </c>
      <c r="I12" s="123" t="s">
        <v>245</v>
      </c>
      <c r="J12" s="27">
        <v>300.0</v>
      </c>
      <c r="K12" s="123" t="s">
        <v>278</v>
      </c>
      <c r="L12" s="27">
        <v>600.0</v>
      </c>
      <c r="M12" s="123" t="s">
        <v>249</v>
      </c>
      <c r="N12" s="85">
        <v>1000.0</v>
      </c>
      <c r="O12" s="123" t="s">
        <v>250</v>
      </c>
      <c r="P12" s="85"/>
      <c r="Q12" s="85"/>
      <c r="R12" s="85"/>
      <c r="S12" s="85"/>
      <c r="T12" s="27">
        <f t="shared" si="1"/>
        <v>2500</v>
      </c>
      <c r="U12" s="44"/>
    </row>
    <row r="13" ht="14.25" customHeight="1">
      <c r="D13" s="25">
        <v>4.0</v>
      </c>
      <c r="E13" s="39" t="s">
        <v>253</v>
      </c>
      <c r="F13" s="124">
        <v>285.0</v>
      </c>
      <c r="G13" s="122" t="s">
        <v>254</v>
      </c>
      <c r="H13" s="136">
        <v>800.0</v>
      </c>
      <c r="I13" s="123" t="s">
        <v>255</v>
      </c>
      <c r="J13" s="27"/>
      <c r="K13" s="85"/>
      <c r="L13" s="27"/>
      <c r="M13" s="85"/>
      <c r="N13" s="85"/>
      <c r="O13" s="85"/>
      <c r="P13" s="85"/>
      <c r="Q13" s="85"/>
      <c r="R13" s="85"/>
      <c r="S13" s="85"/>
      <c r="T13" s="27">
        <f t="shared" si="1"/>
        <v>1085</v>
      </c>
      <c r="U13" s="44"/>
    </row>
    <row r="14" ht="14.25" customHeight="1">
      <c r="D14" s="25">
        <v>5.0</v>
      </c>
      <c r="E14" s="39" t="s">
        <v>257</v>
      </c>
      <c r="F14" s="124">
        <v>233.0</v>
      </c>
      <c r="G14" s="122" t="s">
        <v>261</v>
      </c>
      <c r="H14" s="85"/>
      <c r="I14" s="85"/>
      <c r="J14" s="85"/>
      <c r="K14" s="85"/>
      <c r="L14" s="124">
        <v>400.0</v>
      </c>
      <c r="M14" s="123" t="s">
        <v>262</v>
      </c>
      <c r="N14" s="85"/>
      <c r="O14" s="85"/>
      <c r="P14" s="85"/>
      <c r="Q14" s="85"/>
      <c r="R14" s="85"/>
      <c r="S14" s="85"/>
      <c r="T14" s="27">
        <f t="shared" si="1"/>
        <v>633</v>
      </c>
      <c r="U14" s="44"/>
    </row>
    <row r="15" ht="14.25" customHeight="1">
      <c r="D15" s="25">
        <v>6.0</v>
      </c>
      <c r="E15" s="39" t="s">
        <v>264</v>
      </c>
      <c r="F15" s="39"/>
      <c r="G15" s="39"/>
      <c r="H15" s="85"/>
      <c r="I15" s="85"/>
      <c r="J15" s="85"/>
      <c r="K15" s="85"/>
      <c r="L15" s="39"/>
      <c r="M15" s="85"/>
      <c r="N15" s="85">
        <v>95.0</v>
      </c>
      <c r="O15" s="136" t="s">
        <v>290</v>
      </c>
      <c r="P15" s="85"/>
      <c r="Q15" s="85"/>
      <c r="R15" s="85"/>
      <c r="S15" s="85"/>
      <c r="T15" s="27">
        <f t="shared" si="1"/>
        <v>95</v>
      </c>
      <c r="U15" s="44"/>
    </row>
    <row r="16" ht="14.25" customHeight="1">
      <c r="D16" s="25">
        <v>7.0</v>
      </c>
      <c r="E16" s="311" t="s">
        <v>273</v>
      </c>
      <c r="F16" s="39">
        <v>600.0</v>
      </c>
      <c r="G16" s="122" t="s">
        <v>276</v>
      </c>
      <c r="H16" s="27"/>
      <c r="J16" s="27">
        <v>700.0</v>
      </c>
      <c r="K16" s="66" t="s">
        <v>247</v>
      </c>
      <c r="L16" s="27"/>
      <c r="M16" s="85"/>
      <c r="N16" s="85"/>
      <c r="O16" s="85"/>
      <c r="P16" s="85">
        <v>500.0</v>
      </c>
      <c r="Q16" s="123" t="s">
        <v>279</v>
      </c>
      <c r="R16" s="85">
        <v>300.0</v>
      </c>
      <c r="S16" s="123" t="s">
        <v>280</v>
      </c>
      <c r="T16" s="27">
        <f t="shared" si="1"/>
        <v>2100</v>
      </c>
      <c r="U16" s="44"/>
    </row>
    <row r="17" ht="14.25" customHeight="1">
      <c r="D17" s="25">
        <v>8.0</v>
      </c>
      <c r="E17" s="311" t="s">
        <v>281</v>
      </c>
      <c r="F17" s="85"/>
      <c r="G17" s="85"/>
      <c r="J17" s="73">
        <v>860.0</v>
      </c>
      <c r="K17" s="66" t="s">
        <v>288</v>
      </c>
      <c r="L17" s="145"/>
      <c r="M17" s="85"/>
      <c r="N17" s="85">
        <v>820.0</v>
      </c>
      <c r="O17" s="136" t="s">
        <v>290</v>
      </c>
      <c r="P17" s="85"/>
      <c r="Q17" s="85"/>
      <c r="R17" s="85"/>
      <c r="S17" s="85"/>
      <c r="T17" s="27">
        <f t="shared" si="1"/>
        <v>1680</v>
      </c>
      <c r="U17" s="44"/>
    </row>
    <row r="18" ht="14.25" customHeight="1">
      <c r="D18" s="25">
        <v>9.0</v>
      </c>
      <c r="E18" s="311" t="s">
        <v>295</v>
      </c>
      <c r="F18" s="85"/>
      <c r="G18" s="85"/>
      <c r="H18" s="85"/>
      <c r="I18" s="85"/>
      <c r="J18" s="85"/>
      <c r="K18" s="85"/>
      <c r="L18" s="39">
        <v>100.0</v>
      </c>
      <c r="M18" s="123" t="s">
        <v>297</v>
      </c>
      <c r="N18" s="85"/>
      <c r="O18" s="85"/>
      <c r="P18" s="85"/>
      <c r="Q18" s="85"/>
      <c r="R18" s="85"/>
      <c r="S18" s="85"/>
      <c r="T18" s="27">
        <f t="shared" si="1"/>
        <v>100</v>
      </c>
      <c r="U18" s="44"/>
    </row>
    <row r="19" ht="14.25" customHeight="1">
      <c r="D19" s="25">
        <v>10.0</v>
      </c>
      <c r="E19" s="311" t="s">
        <v>300</v>
      </c>
      <c r="F19" s="85"/>
      <c r="G19" s="85"/>
      <c r="H19" s="85"/>
      <c r="I19" s="85"/>
      <c r="J19" s="85"/>
      <c r="K19" s="85"/>
      <c r="L19" s="85"/>
      <c r="M19" s="85"/>
      <c r="N19" s="85">
        <v>200.0</v>
      </c>
      <c r="O19" s="123" t="s">
        <v>302</v>
      </c>
      <c r="P19" s="85"/>
      <c r="Q19" s="85"/>
      <c r="R19" s="85"/>
      <c r="S19" s="85"/>
      <c r="T19" s="27">
        <f t="shared" si="1"/>
        <v>200</v>
      </c>
      <c r="U19" s="12"/>
    </row>
    <row r="20" ht="14.25" customHeight="1">
      <c r="D20" s="150" t="s">
        <v>122</v>
      </c>
      <c r="E20" s="5"/>
      <c r="F20" s="151">
        <f>SUM(F10:F19)</f>
        <v>2133</v>
      </c>
      <c r="G20" s="151"/>
      <c r="H20" s="151">
        <f>SUM(H10:H19)</f>
        <v>2000</v>
      </c>
      <c r="I20" s="151"/>
      <c r="J20" s="151">
        <f>SUM(J10:J19)</f>
        <v>2460</v>
      </c>
      <c r="K20" s="151"/>
      <c r="L20" s="151">
        <f>SUM(L10:L19)</f>
        <v>1100</v>
      </c>
      <c r="M20" s="151"/>
      <c r="N20" s="151">
        <f>SUM(N10:N19)</f>
        <v>2783.2</v>
      </c>
      <c r="O20" s="151"/>
      <c r="P20" s="151">
        <f>SUM(P10:P19)</f>
        <v>500</v>
      </c>
      <c r="Q20" s="151"/>
      <c r="R20" s="151">
        <f>SUM(R10:R19)</f>
        <v>300</v>
      </c>
      <c r="S20" s="151"/>
      <c r="T20" s="135">
        <f>SUM(T10:T19)</f>
        <v>11276.2</v>
      </c>
      <c r="U20" s="158">
        <f>T20*U9</f>
        <v>304457.4</v>
      </c>
    </row>
    <row r="21" ht="14.25" customHeight="1">
      <c r="D21" s="10"/>
      <c r="E21" s="11"/>
      <c r="F21" s="86">
        <f>F20*27</f>
        <v>57591</v>
      </c>
      <c r="G21" s="41">
        <v>57591.3</v>
      </c>
      <c r="H21" s="86">
        <f>H20*27</f>
        <v>54000</v>
      </c>
      <c r="I21" s="41">
        <v>54000.42</v>
      </c>
      <c r="J21" s="86">
        <f>J20*27</f>
        <v>66420</v>
      </c>
      <c r="K21" s="41">
        <v>66406.51</v>
      </c>
      <c r="L21" s="86">
        <f>L20*27</f>
        <v>29700</v>
      </c>
      <c r="M21" s="41">
        <v>29701.98</v>
      </c>
      <c r="N21" s="86">
        <f>N20*27</f>
        <v>75146.4</v>
      </c>
      <c r="O21" s="41">
        <v>75148.43</v>
      </c>
      <c r="P21" s="86">
        <f>P20*27</f>
        <v>13500</v>
      </c>
      <c r="Q21" s="41">
        <v>13500.06</v>
      </c>
      <c r="R21" s="86">
        <f>R20*27</f>
        <v>8100</v>
      </c>
      <c r="S21" s="136">
        <v>8100.05</v>
      </c>
      <c r="T21" s="24">
        <f>R21+P21+N21+L21+J21+H21+F21</f>
        <v>304457.4</v>
      </c>
      <c r="U21" s="85"/>
    </row>
    <row r="22" ht="14.25" customHeight="1"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158"/>
      <c r="S22" s="85" t="s">
        <v>314</v>
      </c>
      <c r="T22" s="47">
        <f>S21+Q21+O21+M21+K21+I21+G21</f>
        <v>304448.75</v>
      </c>
      <c r="U22" s="85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P8:Q8"/>
    <mergeCell ref="R8:S8"/>
    <mergeCell ref="U10:U19"/>
    <mergeCell ref="D20:E21"/>
    <mergeCell ref="D7:U7"/>
    <mergeCell ref="D8:E9"/>
    <mergeCell ref="F8:G8"/>
    <mergeCell ref="H8:I8"/>
    <mergeCell ref="J8:K8"/>
    <mergeCell ref="L8:M8"/>
    <mergeCell ref="N8:O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34.75"/>
    <col customWidth="1" min="3" max="3" width="36.88"/>
    <col customWidth="1" min="4" max="4" width="28.5"/>
    <col customWidth="1" min="5" max="5" width="19.75"/>
    <col customWidth="1" min="6" max="6" width="21.5"/>
    <col customWidth="1" min="7" max="26" width="10.63"/>
  </cols>
  <sheetData>
    <row r="1" ht="14.25" customHeight="1">
      <c r="A1" s="344" t="s">
        <v>216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4.25" customHeight="1">
      <c r="A2" s="408" t="s">
        <v>2</v>
      </c>
      <c r="B2" s="3"/>
      <c r="C2" s="409" t="s">
        <v>3</v>
      </c>
      <c r="D2" s="409" t="s">
        <v>4</v>
      </c>
      <c r="E2" s="409" t="s">
        <v>5</v>
      </c>
      <c r="F2" s="410" t="s">
        <v>6</v>
      </c>
      <c r="G2" s="8">
        <v>46195.0</v>
      </c>
      <c r="H2" s="3"/>
      <c r="I2" s="8">
        <v>46196.0</v>
      </c>
      <c r="J2" s="3"/>
      <c r="K2" s="8">
        <v>46197.0</v>
      </c>
      <c r="L2" s="3"/>
      <c r="M2" s="8">
        <v>46198.0</v>
      </c>
      <c r="N2" s="3"/>
      <c r="O2" s="8">
        <v>46199.0</v>
      </c>
      <c r="P2" s="3"/>
      <c r="Q2" s="8">
        <v>46200.0</v>
      </c>
      <c r="R2" s="3"/>
      <c r="S2" s="13" t="s">
        <v>7</v>
      </c>
      <c r="T2" s="410" t="s">
        <v>8</v>
      </c>
    </row>
    <row r="3" ht="14.25" customHeight="1">
      <c r="A3" s="409"/>
      <c r="B3" s="409"/>
      <c r="C3" s="409"/>
      <c r="D3" s="409"/>
      <c r="E3" s="409"/>
      <c r="F3" s="410"/>
      <c r="G3" s="13" t="s">
        <v>9</v>
      </c>
      <c r="H3" s="13" t="s">
        <v>10</v>
      </c>
      <c r="I3" s="13" t="s">
        <v>9</v>
      </c>
      <c r="J3" s="13" t="s">
        <v>10</v>
      </c>
      <c r="K3" s="13" t="s">
        <v>9</v>
      </c>
      <c r="L3" s="13" t="s">
        <v>10</v>
      </c>
      <c r="M3" s="13" t="s">
        <v>9</v>
      </c>
      <c r="N3" s="13" t="s">
        <v>10</v>
      </c>
      <c r="O3" s="13" t="s">
        <v>9</v>
      </c>
      <c r="P3" s="13" t="s">
        <v>10</v>
      </c>
      <c r="Q3" s="13" t="s">
        <v>9</v>
      </c>
      <c r="R3" s="13" t="s">
        <v>10</v>
      </c>
      <c r="S3" s="13"/>
      <c r="T3" s="410"/>
    </row>
    <row r="4" ht="14.25" customHeight="1">
      <c r="A4" s="21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>
        <f t="shared" ref="S4:S20" si="1">F4-(G4+I4+K4+M4+O4+R4)</f>
        <v>1200</v>
      </c>
      <c r="T4" s="18">
        <f t="shared" ref="T4:T34" si="2">SUM(G4:R4)</f>
        <v>0</v>
      </c>
      <c r="U4" s="19"/>
      <c r="V4" s="19"/>
      <c r="W4" s="19"/>
      <c r="X4" s="19"/>
      <c r="Y4" s="19"/>
      <c r="Z4" s="19"/>
    </row>
    <row r="5" ht="14.25" customHeight="1">
      <c r="A5" s="21">
        <v>2.0</v>
      </c>
      <c r="B5" s="12"/>
      <c r="C5" s="12"/>
      <c r="D5" s="21" t="s">
        <v>17</v>
      </c>
      <c r="E5" s="21"/>
      <c r="F5" s="22">
        <v>500.0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>
        <f t="shared" si="1"/>
        <v>500</v>
      </c>
      <c r="T5" s="18">
        <f t="shared" si="2"/>
        <v>0</v>
      </c>
      <c r="U5" s="19"/>
      <c r="V5" s="19"/>
      <c r="W5" s="19"/>
      <c r="X5" s="19"/>
      <c r="Y5" s="19"/>
      <c r="Z5" s="19"/>
    </row>
    <row r="6" ht="14.25" customHeight="1">
      <c r="A6" s="27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18">
        <f t="shared" si="1"/>
        <v>2500</v>
      </c>
      <c r="T6" s="18">
        <f t="shared" si="2"/>
        <v>0</v>
      </c>
    </row>
    <row r="7" ht="14.25" customHeight="1">
      <c r="A7" s="27">
        <v>4.0</v>
      </c>
      <c r="B7" s="12"/>
      <c r="C7" s="12"/>
      <c r="D7" s="27" t="s">
        <v>17</v>
      </c>
      <c r="E7" s="27"/>
      <c r="F7" s="28">
        <v>500.0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18">
        <f t="shared" si="1"/>
        <v>500</v>
      </c>
      <c r="T7" s="18">
        <f t="shared" si="2"/>
        <v>0</v>
      </c>
    </row>
    <row r="8" ht="14.25" customHeight="1">
      <c r="A8" s="27">
        <v>5.0</v>
      </c>
      <c r="B8" s="27" t="s">
        <v>30</v>
      </c>
      <c r="C8" s="27" t="s">
        <v>19</v>
      </c>
      <c r="D8" s="27" t="s">
        <v>31</v>
      </c>
      <c r="E8" s="27" t="s">
        <v>38</v>
      </c>
      <c r="F8" s="28">
        <v>1500.0</v>
      </c>
      <c r="G8" s="24">
        <v>1000.0</v>
      </c>
      <c r="H8" s="24"/>
      <c r="I8" s="24"/>
      <c r="J8" s="24"/>
      <c r="K8" s="24">
        <v>1000.0</v>
      </c>
      <c r="L8" s="24"/>
      <c r="M8" s="24"/>
      <c r="N8" s="24"/>
      <c r="O8" s="24"/>
      <c r="P8" s="24"/>
      <c r="Q8" s="24"/>
      <c r="R8" s="24"/>
      <c r="S8" s="18">
        <f t="shared" si="1"/>
        <v>-500</v>
      </c>
      <c r="T8" s="18">
        <f t="shared" si="2"/>
        <v>2000</v>
      </c>
    </row>
    <row r="9" ht="14.25" customHeight="1">
      <c r="A9" s="27">
        <v>6.0</v>
      </c>
      <c r="B9" s="27" t="s">
        <v>37</v>
      </c>
      <c r="C9" s="27" t="s">
        <v>19</v>
      </c>
      <c r="D9" s="27" t="s">
        <v>31</v>
      </c>
      <c r="E9" s="27" t="s">
        <v>36</v>
      </c>
      <c r="F9" s="28">
        <v>1500.0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18">
        <f t="shared" si="1"/>
        <v>1500</v>
      </c>
      <c r="T9" s="18">
        <f t="shared" si="2"/>
        <v>0</v>
      </c>
    </row>
    <row r="10" ht="14.25" customHeight="1">
      <c r="A10" s="27">
        <v>7.0</v>
      </c>
      <c r="B10" s="135" t="s">
        <v>39</v>
      </c>
      <c r="C10" s="27" t="s">
        <v>19</v>
      </c>
      <c r="D10" s="27"/>
      <c r="E10" s="27"/>
      <c r="F10" s="28">
        <v>1500.0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18">
        <f t="shared" si="1"/>
        <v>1500</v>
      </c>
      <c r="T10" s="18">
        <f t="shared" si="2"/>
        <v>0</v>
      </c>
    </row>
    <row r="11" ht="14.25" customHeight="1">
      <c r="A11" s="21">
        <v>8.0</v>
      </c>
      <c r="B11" s="21" t="s">
        <v>41</v>
      </c>
      <c r="C11" s="21" t="s">
        <v>42</v>
      </c>
      <c r="D11" s="21" t="s">
        <v>43</v>
      </c>
      <c r="E11" s="21" t="s">
        <v>44</v>
      </c>
      <c r="F11" s="22">
        <v>700.0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>
        <f t="shared" si="1"/>
        <v>700</v>
      </c>
      <c r="T11" s="18">
        <f t="shared" si="2"/>
        <v>0</v>
      </c>
      <c r="U11" s="19"/>
      <c r="V11" s="19"/>
      <c r="W11" s="19"/>
      <c r="X11" s="19"/>
      <c r="Y11" s="19"/>
      <c r="Z11" s="19"/>
    </row>
    <row r="12" ht="14.25" customHeight="1">
      <c r="A12" s="21">
        <v>9.0</v>
      </c>
      <c r="B12" s="21" t="s">
        <v>45</v>
      </c>
      <c r="C12" s="21" t="s">
        <v>46</v>
      </c>
      <c r="D12" s="21" t="s">
        <v>47</v>
      </c>
      <c r="E12" s="21" t="s">
        <v>48</v>
      </c>
      <c r="F12" s="22">
        <v>1500.0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>
        <f t="shared" si="1"/>
        <v>1500</v>
      </c>
      <c r="T12" s="18">
        <f t="shared" si="2"/>
        <v>0</v>
      </c>
      <c r="U12" s="19"/>
      <c r="V12" s="19"/>
      <c r="W12" s="19"/>
      <c r="X12" s="19"/>
      <c r="Y12" s="19"/>
      <c r="Z12" s="19"/>
    </row>
    <row r="13" ht="14.25" customHeight="1">
      <c r="A13" s="27">
        <v>10.0</v>
      </c>
      <c r="B13" s="26" t="s">
        <v>50</v>
      </c>
      <c r="C13" s="27" t="s">
        <v>51</v>
      </c>
      <c r="D13" s="27" t="s">
        <v>52</v>
      </c>
      <c r="E13" s="27" t="s">
        <v>53</v>
      </c>
      <c r="F13" s="28">
        <v>1500.0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18">
        <f t="shared" si="1"/>
        <v>1500</v>
      </c>
      <c r="T13" s="18">
        <f t="shared" si="2"/>
        <v>0</v>
      </c>
    </row>
    <row r="14" ht="14.25" customHeight="1">
      <c r="A14" s="27">
        <v>11.0</v>
      </c>
      <c r="B14" s="12"/>
      <c r="C14" s="27" t="s">
        <v>54</v>
      </c>
      <c r="D14" s="27" t="s">
        <v>17</v>
      </c>
      <c r="E14" s="27"/>
      <c r="F14" s="28">
        <v>500.0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18">
        <f t="shared" si="1"/>
        <v>500</v>
      </c>
      <c r="T14" s="18">
        <f t="shared" si="2"/>
        <v>0</v>
      </c>
    </row>
    <row r="15" ht="14.25" customHeight="1">
      <c r="A15" s="27">
        <v>12.0</v>
      </c>
      <c r="B15" s="27" t="s">
        <v>57</v>
      </c>
      <c r="C15" s="27" t="s">
        <v>51</v>
      </c>
      <c r="D15" s="27" t="s">
        <v>58</v>
      </c>
      <c r="E15" s="27" t="s">
        <v>59</v>
      </c>
      <c r="F15" s="28">
        <v>1500.0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18">
        <f t="shared" si="1"/>
        <v>1500</v>
      </c>
      <c r="T15" s="18">
        <f t="shared" si="2"/>
        <v>0</v>
      </c>
    </row>
    <row r="16" ht="14.25" customHeight="1">
      <c r="A16" s="21">
        <v>13.0</v>
      </c>
      <c r="B16" s="21" t="s">
        <v>61</v>
      </c>
      <c r="C16" s="21" t="s">
        <v>63</v>
      </c>
      <c r="D16" s="21" t="s">
        <v>65</v>
      </c>
      <c r="E16" s="21" t="s">
        <v>66</v>
      </c>
      <c r="F16" s="22">
        <v>2500.0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>
        <f t="shared" si="1"/>
        <v>2500</v>
      </c>
      <c r="T16" s="18">
        <f t="shared" si="2"/>
        <v>0</v>
      </c>
      <c r="U16" s="19"/>
      <c r="V16" s="19"/>
      <c r="W16" s="19"/>
      <c r="X16" s="19"/>
      <c r="Y16" s="19"/>
      <c r="Z16" s="19"/>
    </row>
    <row r="17" ht="14.25" customHeight="1">
      <c r="A17" s="21">
        <v>14.0</v>
      </c>
      <c r="B17" s="21" t="s">
        <v>68</v>
      </c>
      <c r="C17" s="21" t="s">
        <v>63</v>
      </c>
      <c r="D17" s="21" t="s">
        <v>69</v>
      </c>
      <c r="E17" s="21" t="s">
        <v>70</v>
      </c>
      <c r="F17" s="22">
        <v>2500.0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>
        <f t="shared" si="1"/>
        <v>2500</v>
      </c>
      <c r="T17" s="18">
        <f t="shared" si="2"/>
        <v>0</v>
      </c>
      <c r="U17" s="19"/>
      <c r="V17" s="19"/>
      <c r="W17" s="19"/>
      <c r="X17" s="19"/>
      <c r="Y17" s="19"/>
      <c r="Z17" s="19"/>
    </row>
    <row r="18" ht="14.25" customHeight="1">
      <c r="A18" s="21">
        <v>15.0</v>
      </c>
      <c r="B18" s="21" t="s">
        <v>71</v>
      </c>
      <c r="C18" s="21" t="s">
        <v>63</v>
      </c>
      <c r="D18" s="21" t="s">
        <v>58</v>
      </c>
      <c r="E18" s="21" t="s">
        <v>72</v>
      </c>
      <c r="F18" s="22">
        <v>4000.0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>
        <f t="shared" si="1"/>
        <v>4000</v>
      </c>
      <c r="T18" s="18">
        <f t="shared" si="2"/>
        <v>0</v>
      </c>
      <c r="U18" s="19"/>
      <c r="V18" s="19"/>
      <c r="W18" s="19"/>
      <c r="X18" s="19"/>
      <c r="Y18" s="19"/>
      <c r="Z18" s="19"/>
    </row>
    <row r="19" ht="14.25" customHeight="1">
      <c r="A19" s="27">
        <v>16.0</v>
      </c>
      <c r="B19" s="26" t="s">
        <v>74</v>
      </c>
      <c r="C19" s="26" t="s">
        <v>75</v>
      </c>
      <c r="D19" s="27" t="s">
        <v>65</v>
      </c>
      <c r="E19" s="27" t="s">
        <v>76</v>
      </c>
      <c r="F19" s="28">
        <v>2500.0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18">
        <f t="shared" si="1"/>
        <v>2500</v>
      </c>
      <c r="T19" s="18">
        <f t="shared" si="2"/>
        <v>0</v>
      </c>
    </row>
    <row r="20" ht="14.25" customHeight="1">
      <c r="A20" s="27">
        <v>17.0</v>
      </c>
      <c r="B20" s="44"/>
      <c r="C20" s="44"/>
      <c r="D20" s="27" t="s">
        <v>77</v>
      </c>
      <c r="E20" s="27"/>
      <c r="F20" s="161">
        <v>1000.0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411">
        <f t="shared" si="1"/>
        <v>1000</v>
      </c>
      <c r="T20" s="18">
        <f t="shared" si="2"/>
        <v>0</v>
      </c>
    </row>
    <row r="21" ht="14.25" customHeight="1">
      <c r="A21" s="27">
        <v>18.0</v>
      </c>
      <c r="B21" s="44"/>
      <c r="C21" s="44"/>
      <c r="D21" s="27" t="s">
        <v>78</v>
      </c>
      <c r="E21" s="27"/>
      <c r="F21" s="4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44"/>
      <c r="T21" s="18">
        <f t="shared" si="2"/>
        <v>0</v>
      </c>
    </row>
    <row r="22" ht="14.25" customHeight="1">
      <c r="A22" s="27">
        <v>19.0</v>
      </c>
      <c r="B22" s="12"/>
      <c r="C22" s="12"/>
      <c r="D22" s="27" t="s">
        <v>81</v>
      </c>
      <c r="E22" s="27"/>
      <c r="F22" s="12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12"/>
      <c r="T22" s="18">
        <f t="shared" si="2"/>
        <v>0</v>
      </c>
    </row>
    <row r="23" ht="14.25" customHeight="1">
      <c r="A23" s="27">
        <v>20.0</v>
      </c>
      <c r="B23" s="27" t="s">
        <v>82</v>
      </c>
      <c r="C23" s="27" t="s">
        <v>75</v>
      </c>
      <c r="D23" s="27" t="s">
        <v>65</v>
      </c>
      <c r="E23" s="27" t="s">
        <v>83</v>
      </c>
      <c r="F23" s="28">
        <v>1500.0</v>
      </c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18">
        <f t="shared" ref="S23:S34" si="3">F23-(G23+I23+K23+M23+O23+R23)</f>
        <v>1500</v>
      </c>
      <c r="T23" s="18">
        <f t="shared" si="2"/>
        <v>0</v>
      </c>
    </row>
    <row r="24" ht="14.25" customHeight="1">
      <c r="A24" s="27">
        <v>21.0</v>
      </c>
      <c r="B24" s="27" t="s">
        <v>89</v>
      </c>
      <c r="C24" s="27" t="s">
        <v>75</v>
      </c>
      <c r="D24" s="27" t="s">
        <v>58</v>
      </c>
      <c r="E24" s="27" t="s">
        <v>90</v>
      </c>
      <c r="F24" s="28">
        <v>3000.0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18">
        <f t="shared" si="3"/>
        <v>3000</v>
      </c>
      <c r="T24" s="18">
        <f t="shared" si="2"/>
        <v>0</v>
      </c>
    </row>
    <row r="25" ht="14.25" customHeight="1">
      <c r="A25" s="27">
        <v>22.0</v>
      </c>
      <c r="B25" s="27" t="s">
        <v>93</v>
      </c>
      <c r="C25" s="27" t="s">
        <v>75</v>
      </c>
      <c r="D25" s="27" t="s">
        <v>69</v>
      </c>
      <c r="E25" s="27" t="s">
        <v>94</v>
      </c>
      <c r="F25" s="28">
        <v>2500.0</v>
      </c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18">
        <f t="shared" si="3"/>
        <v>2500</v>
      </c>
      <c r="T25" s="18">
        <f t="shared" si="2"/>
        <v>0</v>
      </c>
    </row>
    <row r="26" ht="14.25" customHeight="1">
      <c r="A26" s="21">
        <v>23.0</v>
      </c>
      <c r="B26" s="21" t="s">
        <v>96</v>
      </c>
      <c r="C26" s="55" t="s">
        <v>98</v>
      </c>
      <c r="D26" s="21" t="s">
        <v>99</v>
      </c>
      <c r="E26" s="21" t="s">
        <v>100</v>
      </c>
      <c r="F26" s="22">
        <v>2500.0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>
        <f t="shared" si="3"/>
        <v>2500</v>
      </c>
      <c r="T26" s="18">
        <f t="shared" si="2"/>
        <v>0</v>
      </c>
      <c r="U26" s="19"/>
      <c r="V26" s="19"/>
      <c r="W26" s="19"/>
      <c r="X26" s="19"/>
      <c r="Y26" s="19"/>
      <c r="Z26" s="19"/>
    </row>
    <row r="27" ht="14.25" customHeight="1">
      <c r="A27" s="21">
        <v>24.0</v>
      </c>
      <c r="B27" s="21" t="s">
        <v>102</v>
      </c>
      <c r="C27" s="12"/>
      <c r="D27" s="21" t="s">
        <v>17</v>
      </c>
      <c r="E27" s="21"/>
      <c r="F27" s="22">
        <v>500.0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>
        <f t="shared" si="3"/>
        <v>500</v>
      </c>
      <c r="T27" s="18">
        <f t="shared" si="2"/>
        <v>0</v>
      </c>
      <c r="U27" s="19"/>
      <c r="V27" s="19"/>
      <c r="W27" s="19"/>
      <c r="X27" s="19"/>
      <c r="Y27" s="19"/>
      <c r="Z27" s="19"/>
    </row>
    <row r="28" ht="14.25" customHeight="1">
      <c r="A28" s="27">
        <v>25.0</v>
      </c>
      <c r="B28" s="27" t="s">
        <v>104</v>
      </c>
      <c r="C28" s="27" t="s">
        <v>105</v>
      </c>
      <c r="D28" s="27" t="s">
        <v>20</v>
      </c>
      <c r="E28" s="27" t="s">
        <v>106</v>
      </c>
      <c r="F28" s="28">
        <v>2500.0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18">
        <f t="shared" si="3"/>
        <v>2500</v>
      </c>
      <c r="T28" s="18">
        <f t="shared" si="2"/>
        <v>0</v>
      </c>
    </row>
    <row r="29" ht="14.25" customHeight="1">
      <c r="A29" s="27">
        <v>26.0</v>
      </c>
      <c r="B29" s="26" t="s">
        <v>107</v>
      </c>
      <c r="C29" s="26" t="s">
        <v>105</v>
      </c>
      <c r="D29" s="27" t="s">
        <v>109</v>
      </c>
      <c r="E29" s="27" t="s">
        <v>110</v>
      </c>
      <c r="F29" s="28">
        <v>1000.0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18">
        <f t="shared" si="3"/>
        <v>1000</v>
      </c>
      <c r="T29" s="18">
        <f t="shared" si="2"/>
        <v>0</v>
      </c>
    </row>
    <row r="30" ht="14.25" customHeight="1">
      <c r="A30" s="27">
        <v>27.0</v>
      </c>
      <c r="B30" s="44"/>
      <c r="C30" s="44"/>
      <c r="D30" s="27" t="s">
        <v>111</v>
      </c>
      <c r="E30" s="27"/>
      <c r="F30" s="28">
        <v>500.0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18">
        <f t="shared" si="3"/>
        <v>500</v>
      </c>
      <c r="T30" s="18">
        <f t="shared" si="2"/>
        <v>0</v>
      </c>
    </row>
    <row r="31" ht="14.25" customHeight="1">
      <c r="A31" s="27">
        <v>28.0</v>
      </c>
      <c r="B31" s="12"/>
      <c r="C31" s="12"/>
      <c r="D31" s="27" t="s">
        <v>111</v>
      </c>
      <c r="E31" s="27"/>
      <c r="F31" s="28">
        <v>500.0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18">
        <f t="shared" si="3"/>
        <v>500</v>
      </c>
      <c r="T31" s="18">
        <f t="shared" si="2"/>
        <v>0</v>
      </c>
    </row>
    <row r="32" ht="14.25" customHeight="1">
      <c r="A32" s="27">
        <v>29.0</v>
      </c>
      <c r="B32" s="26" t="s">
        <v>114</v>
      </c>
      <c r="C32" s="27"/>
      <c r="D32" s="27"/>
      <c r="E32" s="27" t="s">
        <v>115</v>
      </c>
      <c r="F32" s="28">
        <v>800.0</v>
      </c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18">
        <f t="shared" si="3"/>
        <v>800</v>
      </c>
      <c r="T32" s="18">
        <f t="shared" si="2"/>
        <v>0</v>
      </c>
    </row>
    <row r="33" ht="14.25" customHeight="1">
      <c r="A33" s="27">
        <v>30.0</v>
      </c>
      <c r="B33" s="12"/>
      <c r="C33" s="27"/>
      <c r="D33" s="27" t="s">
        <v>17</v>
      </c>
      <c r="E33" s="27"/>
      <c r="F33" s="28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18">
        <f t="shared" si="3"/>
        <v>0</v>
      </c>
      <c r="T33" s="18">
        <f t="shared" si="2"/>
        <v>0</v>
      </c>
    </row>
    <row r="34" ht="14.25" customHeight="1">
      <c r="A34" s="27">
        <v>31.0</v>
      </c>
      <c r="B34" s="27" t="s">
        <v>118</v>
      </c>
      <c r="C34" s="27"/>
      <c r="D34" s="27" t="s">
        <v>119</v>
      </c>
      <c r="E34" s="27" t="s">
        <v>120</v>
      </c>
      <c r="F34" s="28">
        <v>3000.0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18">
        <f t="shared" si="3"/>
        <v>3000</v>
      </c>
      <c r="T34" s="18">
        <f t="shared" si="2"/>
        <v>0</v>
      </c>
    </row>
    <row r="35" ht="14.25" customHeight="1">
      <c r="A35" s="73"/>
      <c r="B35" s="73"/>
      <c r="C35" s="73"/>
      <c r="D35" s="73"/>
      <c r="E35" s="73"/>
      <c r="F35" s="72">
        <f>SUM(F4:F34)</f>
        <v>45700</v>
      </c>
    </row>
    <row r="36" ht="14.25" customHeight="1">
      <c r="A36" s="73"/>
      <c r="B36" s="73"/>
      <c r="C36" s="73"/>
      <c r="D36" s="73"/>
      <c r="E36" s="73"/>
      <c r="F36" s="72"/>
    </row>
    <row r="37" ht="14.25" customHeight="1">
      <c r="A37" s="73"/>
      <c r="B37" s="73"/>
      <c r="C37" s="73"/>
      <c r="D37" s="73"/>
      <c r="E37" s="73"/>
      <c r="F37" s="72"/>
    </row>
    <row r="38" ht="14.25" customHeight="1">
      <c r="A38" s="344" t="s">
        <v>131</v>
      </c>
      <c r="B38" s="2"/>
      <c r="C38" s="2"/>
      <c r="D38" s="2"/>
      <c r="E38" s="2"/>
      <c r="F38" s="3"/>
    </row>
    <row r="39" ht="14.25" customHeight="1">
      <c r="A39" s="412" t="s">
        <v>2</v>
      </c>
      <c r="B39" s="3"/>
      <c r="C39" s="413" t="s">
        <v>3</v>
      </c>
      <c r="D39" s="413" t="s">
        <v>4</v>
      </c>
      <c r="E39" s="413" t="s">
        <v>5</v>
      </c>
      <c r="F39" s="414" t="s">
        <v>134</v>
      </c>
    </row>
    <row r="40" ht="14.25" customHeight="1">
      <c r="A40" s="27">
        <v>1.0</v>
      </c>
      <c r="B40" s="27" t="s">
        <v>138</v>
      </c>
      <c r="C40" s="27" t="s">
        <v>139</v>
      </c>
      <c r="D40" s="27" t="s">
        <v>140</v>
      </c>
      <c r="E40" s="27" t="s">
        <v>141</v>
      </c>
      <c r="F40" s="28">
        <v>2500.0</v>
      </c>
    </row>
    <row r="41" ht="14.25" customHeight="1">
      <c r="A41" s="27">
        <v>2.0</v>
      </c>
      <c r="B41" s="27" t="s">
        <v>147</v>
      </c>
      <c r="C41" s="27" t="s">
        <v>139</v>
      </c>
      <c r="D41" s="27" t="s">
        <v>119</v>
      </c>
      <c r="E41" s="27" t="s">
        <v>148</v>
      </c>
      <c r="F41" s="28">
        <v>1500.0</v>
      </c>
    </row>
    <row r="42" ht="14.25" customHeight="1">
      <c r="A42" s="27">
        <v>3.0</v>
      </c>
      <c r="B42" s="27" t="s">
        <v>157</v>
      </c>
      <c r="C42" s="27" t="s">
        <v>139</v>
      </c>
      <c r="D42" s="27" t="s">
        <v>158</v>
      </c>
      <c r="E42" s="27" t="s">
        <v>16</v>
      </c>
      <c r="F42" s="28">
        <v>2000.0</v>
      </c>
    </row>
    <row r="43" ht="14.25" customHeight="1">
      <c r="A43" s="27">
        <v>4.0</v>
      </c>
      <c r="B43" s="27" t="s">
        <v>165</v>
      </c>
      <c r="C43" s="27" t="s">
        <v>166</v>
      </c>
      <c r="D43" s="27" t="s">
        <v>119</v>
      </c>
      <c r="E43" s="27" t="s">
        <v>167</v>
      </c>
      <c r="F43" s="28">
        <v>1500.0</v>
      </c>
    </row>
    <row r="44" ht="14.25" customHeight="1">
      <c r="A44" s="27">
        <v>5.0</v>
      </c>
      <c r="B44" s="27" t="s">
        <v>168</v>
      </c>
      <c r="C44" s="27" t="s">
        <v>166</v>
      </c>
      <c r="D44" s="27" t="s">
        <v>119</v>
      </c>
      <c r="E44" s="27" t="s">
        <v>169</v>
      </c>
      <c r="F44" s="28">
        <v>1500.0</v>
      </c>
    </row>
    <row r="45" ht="14.25" customHeight="1">
      <c r="A45" s="27">
        <v>6.0</v>
      </c>
      <c r="B45" s="27" t="s">
        <v>170</v>
      </c>
      <c r="C45" s="27" t="s">
        <v>171</v>
      </c>
      <c r="D45" s="27" t="s">
        <v>158</v>
      </c>
      <c r="E45" s="27" t="s">
        <v>172</v>
      </c>
      <c r="F45" s="28">
        <v>2000.0</v>
      </c>
    </row>
    <row r="46" ht="14.25" customHeight="1">
      <c r="A46" s="415"/>
      <c r="B46" s="148"/>
      <c r="C46" s="148"/>
      <c r="D46" s="148"/>
      <c r="E46" s="148"/>
      <c r="F46" s="72">
        <f>SUM(F40:F45)</f>
        <v>11000</v>
      </c>
    </row>
    <row r="47" ht="14.25" customHeight="1">
      <c r="A47" s="73"/>
      <c r="B47" s="73"/>
      <c r="C47" s="73"/>
      <c r="D47" s="73"/>
      <c r="E47" s="73"/>
      <c r="F47" s="72"/>
    </row>
    <row r="48" ht="14.25" customHeight="1">
      <c r="A48" s="73"/>
      <c r="B48" s="73"/>
      <c r="C48" s="73"/>
      <c r="D48" s="73"/>
      <c r="E48" s="73"/>
      <c r="F48" s="72"/>
    </row>
    <row r="49" ht="14.25" customHeight="1">
      <c r="A49" s="73"/>
      <c r="B49" s="73"/>
      <c r="C49" s="73"/>
      <c r="D49" s="73"/>
      <c r="E49" s="73"/>
      <c r="F49" s="72"/>
    </row>
    <row r="50" ht="14.25" customHeight="1">
      <c r="A50" s="73"/>
      <c r="B50" s="73"/>
      <c r="C50" s="73"/>
      <c r="D50" s="73"/>
      <c r="E50" s="73"/>
      <c r="F50" s="72"/>
    </row>
    <row r="51" ht="14.25" customHeight="1">
      <c r="A51" s="73"/>
      <c r="B51" s="73"/>
      <c r="C51" s="73"/>
      <c r="D51" s="73"/>
      <c r="E51" s="73"/>
      <c r="F51" s="72"/>
    </row>
    <row r="52" ht="14.25" customHeight="1">
      <c r="A52" s="73"/>
      <c r="B52" s="73"/>
      <c r="C52" s="73"/>
      <c r="D52" s="73"/>
      <c r="E52" s="73"/>
      <c r="F52" s="72"/>
    </row>
    <row r="53" ht="14.25" customHeight="1">
      <c r="A53" s="73"/>
      <c r="B53" s="73"/>
      <c r="C53" s="73"/>
      <c r="D53" s="73"/>
      <c r="E53" s="73"/>
      <c r="F53" s="72"/>
    </row>
    <row r="54" ht="14.25" customHeight="1">
      <c r="A54" s="73"/>
      <c r="B54" s="73"/>
      <c r="C54" s="73"/>
      <c r="D54" s="73"/>
      <c r="E54" s="73"/>
      <c r="F54" s="72"/>
    </row>
    <row r="55" ht="14.25" customHeight="1">
      <c r="A55" s="73"/>
      <c r="B55" s="73"/>
      <c r="C55" s="73"/>
      <c r="D55" s="73"/>
      <c r="E55" s="73"/>
      <c r="F55" s="72"/>
    </row>
    <row r="56" ht="14.25" customHeight="1">
      <c r="A56" s="73"/>
      <c r="B56" s="73"/>
      <c r="C56" s="73"/>
      <c r="D56" s="73"/>
      <c r="E56" s="73"/>
      <c r="F56" s="72"/>
    </row>
    <row r="57" ht="14.25" customHeight="1">
      <c r="A57" s="73"/>
      <c r="B57" s="73"/>
      <c r="C57" s="73"/>
      <c r="D57" s="73"/>
      <c r="E57" s="73"/>
      <c r="F57" s="72"/>
    </row>
    <row r="58" ht="14.25" customHeight="1">
      <c r="A58" s="73"/>
      <c r="B58" s="73"/>
      <c r="C58" s="73"/>
      <c r="D58" s="73"/>
      <c r="E58" s="73"/>
      <c r="F58" s="72"/>
    </row>
    <row r="59" ht="14.25" customHeight="1">
      <c r="A59" s="73"/>
      <c r="B59" s="73"/>
      <c r="C59" s="73"/>
      <c r="D59" s="73"/>
      <c r="E59" s="73"/>
      <c r="F59" s="72"/>
    </row>
    <row r="60" ht="14.25" customHeight="1">
      <c r="A60" s="73"/>
      <c r="B60" s="73"/>
      <c r="C60" s="73"/>
      <c r="D60" s="73"/>
      <c r="E60" s="73"/>
      <c r="F60" s="72"/>
    </row>
    <row r="61" ht="14.25" customHeight="1">
      <c r="A61" s="73"/>
      <c r="B61" s="73"/>
      <c r="C61" s="73"/>
      <c r="D61" s="73"/>
      <c r="E61" s="73"/>
      <c r="F61" s="72"/>
    </row>
    <row r="62" ht="14.25" customHeight="1">
      <c r="A62" s="73"/>
      <c r="B62" s="73"/>
      <c r="C62" s="73"/>
      <c r="D62" s="73"/>
      <c r="E62" s="73"/>
      <c r="F62" s="72"/>
    </row>
    <row r="63" ht="14.25" customHeight="1">
      <c r="A63" s="73"/>
      <c r="B63" s="73"/>
      <c r="C63" s="73"/>
      <c r="D63" s="73"/>
      <c r="E63" s="73"/>
      <c r="F63" s="72"/>
    </row>
    <row r="64" ht="14.25" customHeight="1">
      <c r="A64" s="73"/>
      <c r="B64" s="73"/>
      <c r="C64" s="73"/>
      <c r="D64" s="73"/>
      <c r="E64" s="73"/>
      <c r="F64" s="72"/>
    </row>
    <row r="65" ht="14.25" customHeight="1">
      <c r="A65" s="73"/>
      <c r="B65" s="73"/>
      <c r="C65" s="73"/>
      <c r="D65" s="73"/>
      <c r="E65" s="73"/>
      <c r="F65" s="72"/>
    </row>
    <row r="66" ht="14.25" customHeight="1">
      <c r="A66" s="73"/>
      <c r="B66" s="73"/>
      <c r="C66" s="73"/>
      <c r="D66" s="73"/>
      <c r="E66" s="73"/>
      <c r="F66" s="72"/>
    </row>
    <row r="67" ht="14.25" customHeight="1">
      <c r="A67" s="73"/>
      <c r="B67" s="73"/>
      <c r="C67" s="73"/>
      <c r="D67" s="73"/>
      <c r="E67" s="73"/>
      <c r="F67" s="72"/>
    </row>
    <row r="68" ht="14.25" customHeight="1">
      <c r="A68" s="73"/>
      <c r="B68" s="73"/>
      <c r="C68" s="73"/>
      <c r="D68" s="73"/>
      <c r="E68" s="73"/>
      <c r="F68" s="72"/>
    </row>
    <row r="69" ht="14.25" customHeight="1">
      <c r="A69" s="73"/>
      <c r="B69" s="73"/>
      <c r="C69" s="73"/>
      <c r="D69" s="73"/>
      <c r="E69" s="73"/>
      <c r="F69" s="72"/>
    </row>
    <row r="70" ht="14.25" customHeight="1">
      <c r="A70" s="73"/>
      <c r="B70" s="73"/>
      <c r="C70" s="73"/>
      <c r="D70" s="73"/>
      <c r="E70" s="73"/>
      <c r="F70" s="72"/>
    </row>
    <row r="71" ht="14.25" customHeight="1">
      <c r="A71" s="73"/>
      <c r="B71" s="73"/>
      <c r="C71" s="73"/>
      <c r="D71" s="73"/>
      <c r="E71" s="73"/>
      <c r="F71" s="72"/>
    </row>
    <row r="72" ht="14.25" customHeight="1">
      <c r="A72" s="73"/>
      <c r="B72" s="73"/>
      <c r="C72" s="73"/>
      <c r="D72" s="73"/>
      <c r="E72" s="73"/>
      <c r="F72" s="72"/>
    </row>
    <row r="73" ht="14.25" customHeight="1">
      <c r="A73" s="73"/>
      <c r="B73" s="73"/>
      <c r="C73" s="73"/>
      <c r="D73" s="73"/>
      <c r="E73" s="73"/>
      <c r="F73" s="72"/>
    </row>
    <row r="74" ht="14.25" customHeight="1">
      <c r="A74" s="73"/>
      <c r="B74" s="73"/>
      <c r="C74" s="73"/>
      <c r="D74" s="73"/>
      <c r="E74" s="73"/>
      <c r="F74" s="72"/>
    </row>
    <row r="75" ht="14.25" customHeight="1">
      <c r="A75" s="73"/>
      <c r="B75" s="73"/>
      <c r="C75" s="73"/>
      <c r="D75" s="73"/>
      <c r="E75" s="73"/>
      <c r="F75" s="72"/>
    </row>
    <row r="76" ht="14.25" customHeight="1">
      <c r="A76" s="73"/>
      <c r="B76" s="73"/>
      <c r="C76" s="73"/>
      <c r="D76" s="73"/>
      <c r="E76" s="73"/>
      <c r="F76" s="72"/>
    </row>
    <row r="77" ht="14.25" customHeight="1">
      <c r="A77" s="73"/>
      <c r="B77" s="73"/>
      <c r="C77" s="73"/>
      <c r="D77" s="73"/>
      <c r="E77" s="73"/>
      <c r="F77" s="72"/>
    </row>
    <row r="78" ht="14.25" customHeight="1">
      <c r="A78" s="73"/>
      <c r="B78" s="73"/>
      <c r="C78" s="73"/>
      <c r="D78" s="73"/>
      <c r="E78" s="73"/>
      <c r="F78" s="72"/>
    </row>
    <row r="79" ht="14.25" customHeight="1">
      <c r="A79" s="73"/>
      <c r="B79" s="73"/>
      <c r="C79" s="73"/>
      <c r="D79" s="73"/>
      <c r="E79" s="73"/>
      <c r="F79" s="72"/>
    </row>
    <row r="80" ht="14.25" customHeight="1">
      <c r="A80" s="73"/>
      <c r="B80" s="73"/>
      <c r="C80" s="73"/>
      <c r="D80" s="73"/>
      <c r="E80" s="73"/>
      <c r="F80" s="72"/>
    </row>
    <row r="81" ht="14.25" customHeight="1">
      <c r="A81" s="73"/>
      <c r="B81" s="73"/>
      <c r="C81" s="73"/>
      <c r="D81" s="73"/>
      <c r="E81" s="73"/>
      <c r="F81" s="72"/>
    </row>
    <row r="82" ht="14.25" customHeight="1">
      <c r="A82" s="73"/>
      <c r="B82" s="73"/>
      <c r="C82" s="73"/>
      <c r="D82" s="73"/>
      <c r="E82" s="73"/>
      <c r="F82" s="72"/>
    </row>
    <row r="83" ht="14.25" customHeight="1">
      <c r="A83" s="73"/>
      <c r="B83" s="73"/>
      <c r="C83" s="73"/>
      <c r="D83" s="73"/>
      <c r="E83" s="73"/>
      <c r="F83" s="72"/>
    </row>
    <row r="84" ht="14.25" customHeight="1">
      <c r="A84" s="73"/>
      <c r="B84" s="73"/>
      <c r="C84" s="73"/>
      <c r="D84" s="73"/>
      <c r="E84" s="73"/>
      <c r="F84" s="72"/>
    </row>
    <row r="85" ht="14.25" customHeight="1">
      <c r="A85" s="73"/>
      <c r="B85" s="73"/>
      <c r="C85" s="73"/>
      <c r="D85" s="73"/>
      <c r="E85" s="73"/>
      <c r="F85" s="72"/>
    </row>
    <row r="86" ht="14.25" customHeight="1">
      <c r="A86" s="73"/>
      <c r="B86" s="73"/>
      <c r="C86" s="73"/>
      <c r="D86" s="73"/>
      <c r="E86" s="73"/>
      <c r="F86" s="72"/>
    </row>
    <row r="87" ht="14.25" customHeight="1">
      <c r="A87" s="73"/>
      <c r="B87" s="73"/>
      <c r="C87" s="73"/>
      <c r="D87" s="73"/>
      <c r="E87" s="73"/>
      <c r="F87" s="72"/>
    </row>
    <row r="88" ht="14.25" customHeight="1">
      <c r="A88" s="73"/>
      <c r="B88" s="73"/>
      <c r="C88" s="73"/>
      <c r="D88" s="73"/>
      <c r="E88" s="73"/>
      <c r="F88" s="72"/>
    </row>
    <row r="89" ht="14.25" customHeight="1">
      <c r="A89" s="73"/>
      <c r="B89" s="73"/>
      <c r="C89" s="73"/>
      <c r="D89" s="73"/>
      <c r="E89" s="73"/>
      <c r="F89" s="72"/>
    </row>
    <row r="90" ht="14.25" customHeight="1">
      <c r="A90" s="73"/>
      <c r="B90" s="73"/>
      <c r="C90" s="73"/>
      <c r="D90" s="73"/>
      <c r="E90" s="73"/>
      <c r="F90" s="72"/>
    </row>
    <row r="91" ht="14.25" customHeight="1">
      <c r="A91" s="73"/>
      <c r="B91" s="73"/>
      <c r="C91" s="73"/>
      <c r="D91" s="73"/>
      <c r="E91" s="73"/>
      <c r="F91" s="72"/>
    </row>
    <row r="92" ht="14.25" customHeight="1">
      <c r="A92" s="73"/>
      <c r="B92" s="73"/>
      <c r="C92" s="73"/>
      <c r="D92" s="73"/>
      <c r="E92" s="73"/>
      <c r="F92" s="72"/>
    </row>
    <row r="93" ht="14.25" customHeight="1">
      <c r="A93" s="73"/>
      <c r="B93" s="73"/>
      <c r="C93" s="73"/>
      <c r="D93" s="73"/>
      <c r="E93" s="73"/>
      <c r="F93" s="72"/>
    </row>
    <row r="94" ht="14.25" customHeight="1">
      <c r="A94" s="73"/>
      <c r="B94" s="73"/>
      <c r="C94" s="73"/>
      <c r="D94" s="73"/>
      <c r="E94" s="73"/>
      <c r="F94" s="72"/>
    </row>
    <row r="95" ht="14.25" customHeight="1">
      <c r="A95" s="73"/>
      <c r="B95" s="73"/>
      <c r="C95" s="73"/>
      <c r="D95" s="73"/>
      <c r="E95" s="73"/>
      <c r="F95" s="72"/>
    </row>
    <row r="96" ht="14.25" customHeight="1">
      <c r="A96" s="73"/>
      <c r="B96" s="73"/>
      <c r="C96" s="73"/>
      <c r="D96" s="73"/>
      <c r="E96" s="73"/>
      <c r="F96" s="72"/>
    </row>
    <row r="97" ht="14.25" customHeight="1">
      <c r="A97" s="73"/>
      <c r="B97" s="73"/>
      <c r="C97" s="73"/>
      <c r="D97" s="73"/>
      <c r="E97" s="73"/>
      <c r="F97" s="72"/>
    </row>
    <row r="98" ht="14.25" customHeight="1">
      <c r="A98" s="73"/>
      <c r="B98" s="73"/>
      <c r="C98" s="73"/>
      <c r="D98" s="73"/>
      <c r="E98" s="73"/>
      <c r="F98" s="72"/>
    </row>
    <row r="99" ht="14.25" customHeight="1">
      <c r="A99" s="73"/>
      <c r="B99" s="73"/>
      <c r="C99" s="73"/>
      <c r="D99" s="73"/>
      <c r="E99" s="73"/>
      <c r="F99" s="72"/>
    </row>
    <row r="100" ht="14.25" customHeight="1">
      <c r="A100" s="73"/>
      <c r="B100" s="73"/>
      <c r="C100" s="73"/>
      <c r="D100" s="73"/>
      <c r="E100" s="73"/>
      <c r="F100" s="72"/>
    </row>
    <row r="101" ht="14.25" customHeight="1">
      <c r="A101" s="73"/>
      <c r="B101" s="73"/>
      <c r="C101" s="73"/>
      <c r="D101" s="73"/>
      <c r="E101" s="73"/>
      <c r="F101" s="72"/>
    </row>
    <row r="102" ht="14.25" customHeight="1">
      <c r="A102" s="73"/>
      <c r="B102" s="73"/>
      <c r="C102" s="73"/>
      <c r="D102" s="73"/>
      <c r="E102" s="73"/>
      <c r="F102" s="72"/>
    </row>
    <row r="103" ht="14.25" customHeight="1">
      <c r="A103" s="73"/>
      <c r="B103" s="73"/>
      <c r="C103" s="73"/>
      <c r="D103" s="73"/>
      <c r="E103" s="73"/>
      <c r="F103" s="72"/>
    </row>
    <row r="104" ht="14.25" customHeight="1">
      <c r="A104" s="73"/>
      <c r="B104" s="73"/>
      <c r="C104" s="73"/>
      <c r="D104" s="73"/>
      <c r="E104" s="73"/>
      <c r="F104" s="72"/>
    </row>
    <row r="105" ht="14.25" customHeight="1">
      <c r="A105" s="73"/>
      <c r="B105" s="73"/>
      <c r="C105" s="73"/>
      <c r="D105" s="73"/>
      <c r="E105" s="73"/>
      <c r="F105" s="72"/>
    </row>
    <row r="106" ht="14.25" customHeight="1">
      <c r="A106" s="73"/>
      <c r="B106" s="73"/>
      <c r="C106" s="73"/>
      <c r="D106" s="73"/>
      <c r="E106" s="73"/>
      <c r="F106" s="72"/>
    </row>
    <row r="107" ht="14.25" customHeight="1">
      <c r="A107" s="73"/>
      <c r="B107" s="73"/>
      <c r="C107" s="73"/>
      <c r="D107" s="73"/>
      <c r="E107" s="73"/>
      <c r="F107" s="72"/>
    </row>
    <row r="108" ht="14.25" customHeight="1">
      <c r="A108" s="73"/>
      <c r="B108" s="73"/>
      <c r="C108" s="73"/>
      <c r="D108" s="73"/>
      <c r="E108" s="73"/>
      <c r="F108" s="72"/>
    </row>
    <row r="109" ht="14.25" customHeight="1">
      <c r="A109" s="73"/>
      <c r="B109" s="73"/>
      <c r="C109" s="73"/>
      <c r="D109" s="73"/>
      <c r="E109" s="73"/>
      <c r="F109" s="72"/>
    </row>
    <row r="110" ht="14.25" customHeight="1">
      <c r="A110" s="73"/>
      <c r="B110" s="73"/>
      <c r="C110" s="73"/>
      <c r="D110" s="73"/>
      <c r="E110" s="73"/>
      <c r="F110" s="72"/>
    </row>
    <row r="111" ht="14.25" customHeight="1">
      <c r="A111" s="73"/>
      <c r="B111" s="73"/>
      <c r="C111" s="73"/>
      <c r="D111" s="73"/>
      <c r="E111" s="73"/>
      <c r="F111" s="72"/>
    </row>
    <row r="112" ht="14.25" customHeight="1">
      <c r="A112" s="73"/>
      <c r="B112" s="73"/>
      <c r="C112" s="73"/>
      <c r="D112" s="73"/>
      <c r="E112" s="73"/>
      <c r="F112" s="72"/>
    </row>
    <row r="113" ht="14.25" customHeight="1">
      <c r="A113" s="73"/>
      <c r="B113" s="73"/>
      <c r="C113" s="73"/>
      <c r="D113" s="73"/>
      <c r="E113" s="73"/>
      <c r="F113" s="72"/>
    </row>
    <row r="114" ht="14.25" customHeight="1">
      <c r="A114" s="73"/>
      <c r="B114" s="73"/>
      <c r="C114" s="73"/>
      <c r="D114" s="73"/>
      <c r="E114" s="73"/>
      <c r="F114" s="72"/>
    </row>
    <row r="115" ht="14.25" customHeight="1">
      <c r="A115" s="73"/>
      <c r="B115" s="73"/>
      <c r="C115" s="73"/>
      <c r="D115" s="73"/>
      <c r="E115" s="73"/>
      <c r="F115" s="72"/>
    </row>
    <row r="116" ht="14.25" customHeight="1">
      <c r="A116" s="73"/>
      <c r="B116" s="73"/>
      <c r="C116" s="73"/>
      <c r="D116" s="73"/>
      <c r="E116" s="73"/>
      <c r="F116" s="72"/>
    </row>
    <row r="117" ht="14.25" customHeight="1">
      <c r="A117" s="73"/>
      <c r="B117" s="73"/>
      <c r="C117" s="73"/>
      <c r="D117" s="73"/>
      <c r="E117" s="73"/>
      <c r="F117" s="72"/>
    </row>
    <row r="118" ht="14.25" customHeight="1">
      <c r="A118" s="73"/>
      <c r="B118" s="73"/>
      <c r="C118" s="73"/>
      <c r="D118" s="73"/>
      <c r="E118" s="73"/>
      <c r="F118" s="72"/>
    </row>
    <row r="119" ht="14.25" customHeight="1">
      <c r="A119" s="73"/>
      <c r="B119" s="73"/>
      <c r="C119" s="73"/>
      <c r="D119" s="73"/>
      <c r="E119" s="73"/>
      <c r="F119" s="72"/>
    </row>
    <row r="120" ht="14.25" customHeight="1">
      <c r="A120" s="73"/>
      <c r="B120" s="73"/>
      <c r="C120" s="73"/>
      <c r="D120" s="73"/>
      <c r="E120" s="73"/>
      <c r="F120" s="72"/>
    </row>
    <row r="121" ht="14.25" customHeight="1">
      <c r="A121" s="73"/>
      <c r="B121" s="73"/>
      <c r="C121" s="73"/>
      <c r="D121" s="73"/>
      <c r="E121" s="73"/>
      <c r="F121" s="72"/>
    </row>
    <row r="122" ht="14.25" customHeight="1">
      <c r="A122" s="73"/>
      <c r="B122" s="73"/>
      <c r="C122" s="73"/>
      <c r="D122" s="73"/>
      <c r="E122" s="73"/>
      <c r="F122" s="72"/>
    </row>
    <row r="123" ht="14.25" customHeight="1">
      <c r="A123" s="73"/>
      <c r="B123" s="73"/>
      <c r="C123" s="73"/>
      <c r="D123" s="73"/>
      <c r="E123" s="73"/>
      <c r="F123" s="72"/>
    </row>
    <row r="124" ht="14.25" customHeight="1">
      <c r="A124" s="73"/>
      <c r="B124" s="73"/>
      <c r="C124" s="73"/>
      <c r="D124" s="73"/>
      <c r="E124" s="73"/>
      <c r="F124" s="72"/>
    </row>
    <row r="125" ht="14.25" customHeight="1">
      <c r="A125" s="73"/>
      <c r="B125" s="73"/>
      <c r="C125" s="73"/>
      <c r="D125" s="73"/>
      <c r="E125" s="73"/>
      <c r="F125" s="72"/>
    </row>
    <row r="126" ht="14.25" customHeight="1">
      <c r="A126" s="73"/>
      <c r="B126" s="73"/>
      <c r="C126" s="73"/>
      <c r="D126" s="73"/>
      <c r="E126" s="73"/>
      <c r="F126" s="72"/>
    </row>
    <row r="127" ht="14.25" customHeight="1">
      <c r="A127" s="73"/>
      <c r="B127" s="73"/>
      <c r="C127" s="73"/>
      <c r="D127" s="73"/>
      <c r="E127" s="73"/>
      <c r="F127" s="72"/>
    </row>
    <row r="128" ht="14.25" customHeight="1">
      <c r="A128" s="73"/>
      <c r="B128" s="73"/>
      <c r="C128" s="73"/>
      <c r="D128" s="73"/>
      <c r="E128" s="73"/>
      <c r="F128" s="72"/>
    </row>
    <row r="129" ht="14.25" customHeight="1">
      <c r="A129" s="73"/>
      <c r="B129" s="73"/>
      <c r="C129" s="73"/>
      <c r="D129" s="73"/>
      <c r="E129" s="73"/>
      <c r="F129" s="72"/>
    </row>
    <row r="130" ht="14.25" customHeight="1">
      <c r="A130" s="73"/>
      <c r="B130" s="73"/>
      <c r="C130" s="73"/>
      <c r="D130" s="73"/>
      <c r="E130" s="73"/>
      <c r="F130" s="72"/>
    </row>
    <row r="131" ht="14.25" customHeight="1">
      <c r="A131" s="73"/>
      <c r="B131" s="73"/>
      <c r="C131" s="73"/>
      <c r="D131" s="73"/>
      <c r="E131" s="73"/>
      <c r="F131" s="72"/>
    </row>
    <row r="132" ht="14.25" customHeight="1">
      <c r="A132" s="73"/>
      <c r="B132" s="73"/>
      <c r="C132" s="73"/>
      <c r="D132" s="73"/>
      <c r="E132" s="73"/>
      <c r="F132" s="72"/>
    </row>
    <row r="133" ht="14.25" customHeight="1">
      <c r="A133" s="73"/>
      <c r="B133" s="73"/>
      <c r="C133" s="73"/>
      <c r="D133" s="73"/>
      <c r="E133" s="73"/>
      <c r="F133" s="72"/>
    </row>
    <row r="134" ht="14.25" customHeight="1">
      <c r="A134" s="73"/>
      <c r="B134" s="73"/>
      <c r="C134" s="73"/>
      <c r="D134" s="73"/>
      <c r="E134" s="73"/>
      <c r="F134" s="72"/>
    </row>
    <row r="135" ht="14.25" customHeight="1">
      <c r="A135" s="73"/>
      <c r="B135" s="73"/>
      <c r="C135" s="73"/>
      <c r="D135" s="73"/>
      <c r="E135" s="73"/>
      <c r="F135" s="72"/>
    </row>
    <row r="136" ht="14.25" customHeight="1">
      <c r="A136" s="73"/>
      <c r="B136" s="73"/>
      <c r="C136" s="73"/>
      <c r="D136" s="73"/>
      <c r="E136" s="73"/>
      <c r="F136" s="72"/>
    </row>
    <row r="137" ht="14.25" customHeight="1">
      <c r="A137" s="73"/>
      <c r="B137" s="73"/>
      <c r="C137" s="73"/>
      <c r="D137" s="73"/>
      <c r="E137" s="73"/>
      <c r="F137" s="72"/>
    </row>
    <row r="138" ht="14.25" customHeight="1">
      <c r="A138" s="73"/>
      <c r="B138" s="73"/>
      <c r="C138" s="73"/>
      <c r="D138" s="73"/>
      <c r="E138" s="73"/>
      <c r="F138" s="72"/>
    </row>
    <row r="139" ht="14.25" customHeight="1">
      <c r="A139" s="73"/>
      <c r="B139" s="73"/>
      <c r="C139" s="73"/>
      <c r="D139" s="73"/>
      <c r="E139" s="73"/>
      <c r="F139" s="72"/>
    </row>
    <row r="140" ht="14.25" customHeight="1">
      <c r="A140" s="73"/>
      <c r="B140" s="73"/>
      <c r="C140" s="73"/>
      <c r="D140" s="73"/>
      <c r="E140" s="73"/>
      <c r="F140" s="72"/>
    </row>
    <row r="141" ht="14.25" customHeight="1">
      <c r="A141" s="73"/>
      <c r="B141" s="73"/>
      <c r="C141" s="73"/>
      <c r="D141" s="73"/>
      <c r="E141" s="73"/>
      <c r="F141" s="72"/>
    </row>
    <row r="142" ht="14.25" customHeight="1">
      <c r="A142" s="73"/>
      <c r="B142" s="73"/>
      <c r="C142" s="73"/>
      <c r="D142" s="73"/>
      <c r="E142" s="73"/>
      <c r="F142" s="72"/>
    </row>
    <row r="143" ht="14.25" customHeight="1">
      <c r="A143" s="73"/>
      <c r="B143" s="73"/>
      <c r="C143" s="73"/>
      <c r="D143" s="73"/>
      <c r="E143" s="73"/>
      <c r="F143" s="72"/>
    </row>
    <row r="144" ht="14.25" customHeight="1">
      <c r="A144" s="73"/>
      <c r="B144" s="73"/>
      <c r="C144" s="73"/>
      <c r="D144" s="73"/>
      <c r="E144" s="73"/>
      <c r="F144" s="72"/>
    </row>
    <row r="145" ht="14.25" customHeight="1">
      <c r="A145" s="73"/>
      <c r="B145" s="73"/>
      <c r="C145" s="73"/>
      <c r="D145" s="73"/>
      <c r="E145" s="73"/>
      <c r="F145" s="72"/>
    </row>
    <row r="146" ht="14.25" customHeight="1">
      <c r="A146" s="73"/>
      <c r="B146" s="73"/>
      <c r="C146" s="73"/>
      <c r="D146" s="73"/>
      <c r="E146" s="73"/>
      <c r="F146" s="72"/>
    </row>
    <row r="147" ht="14.25" customHeight="1">
      <c r="A147" s="73"/>
      <c r="B147" s="73"/>
      <c r="C147" s="73"/>
      <c r="D147" s="73"/>
      <c r="E147" s="73"/>
      <c r="F147" s="72"/>
    </row>
    <row r="148" ht="14.25" customHeight="1">
      <c r="A148" s="73"/>
      <c r="B148" s="73"/>
      <c r="C148" s="73"/>
      <c r="D148" s="73"/>
      <c r="E148" s="73"/>
      <c r="F148" s="72"/>
    </row>
    <row r="149" ht="14.25" customHeight="1">
      <c r="A149" s="73"/>
      <c r="B149" s="73"/>
      <c r="C149" s="73"/>
      <c r="D149" s="73"/>
      <c r="E149" s="73"/>
      <c r="F149" s="72"/>
    </row>
    <row r="150" ht="14.25" customHeight="1">
      <c r="A150" s="73"/>
      <c r="B150" s="73"/>
      <c r="C150" s="73"/>
      <c r="D150" s="73"/>
      <c r="E150" s="73"/>
      <c r="F150" s="72"/>
    </row>
    <row r="151" ht="14.25" customHeight="1">
      <c r="A151" s="73"/>
      <c r="B151" s="73"/>
      <c r="C151" s="73"/>
      <c r="D151" s="73"/>
      <c r="E151" s="73"/>
      <c r="F151" s="72"/>
    </row>
    <row r="152" ht="14.25" customHeight="1">
      <c r="A152" s="73"/>
      <c r="B152" s="73"/>
      <c r="C152" s="73"/>
      <c r="D152" s="73"/>
      <c r="E152" s="73"/>
      <c r="F152" s="72"/>
    </row>
    <row r="153" ht="14.25" customHeight="1">
      <c r="A153" s="73"/>
      <c r="B153" s="73"/>
      <c r="C153" s="73"/>
      <c r="D153" s="73"/>
      <c r="E153" s="73"/>
      <c r="F153" s="72"/>
    </row>
    <row r="154" ht="14.25" customHeight="1">
      <c r="A154" s="73"/>
      <c r="B154" s="73"/>
      <c r="C154" s="73"/>
      <c r="D154" s="73"/>
      <c r="E154" s="73"/>
      <c r="F154" s="72"/>
    </row>
    <row r="155" ht="14.25" customHeight="1">
      <c r="A155" s="73"/>
      <c r="B155" s="73"/>
      <c r="C155" s="73"/>
      <c r="D155" s="73"/>
      <c r="E155" s="73"/>
      <c r="F155" s="72"/>
    </row>
    <row r="156" ht="14.25" customHeight="1">
      <c r="A156" s="73"/>
      <c r="B156" s="73"/>
      <c r="C156" s="73"/>
      <c r="D156" s="73"/>
      <c r="E156" s="73"/>
      <c r="F156" s="72"/>
    </row>
    <row r="157" ht="14.25" customHeight="1">
      <c r="A157" s="73"/>
      <c r="B157" s="73"/>
      <c r="C157" s="73"/>
      <c r="D157" s="73"/>
      <c r="E157" s="73"/>
      <c r="F157" s="72"/>
    </row>
    <row r="158" ht="14.25" customHeight="1">
      <c r="A158" s="73"/>
      <c r="B158" s="73"/>
      <c r="C158" s="73"/>
      <c r="D158" s="73"/>
      <c r="E158" s="73"/>
      <c r="F158" s="72"/>
    </row>
    <row r="159" ht="14.25" customHeight="1">
      <c r="A159" s="73"/>
      <c r="B159" s="73"/>
      <c r="C159" s="73"/>
      <c r="D159" s="73"/>
      <c r="E159" s="73"/>
      <c r="F159" s="72"/>
    </row>
    <row r="160" ht="14.25" customHeight="1">
      <c r="A160" s="73"/>
      <c r="B160" s="73"/>
      <c r="C160" s="73"/>
      <c r="D160" s="73"/>
      <c r="E160" s="73"/>
      <c r="F160" s="72"/>
    </row>
    <row r="161" ht="14.25" customHeight="1">
      <c r="A161" s="73"/>
      <c r="B161" s="73"/>
      <c r="C161" s="73"/>
      <c r="D161" s="73"/>
      <c r="E161" s="73"/>
      <c r="F161" s="72"/>
    </row>
    <row r="162" ht="14.25" customHeight="1">
      <c r="A162" s="73"/>
      <c r="B162" s="73"/>
      <c r="C162" s="73"/>
      <c r="D162" s="73"/>
      <c r="E162" s="73"/>
      <c r="F162" s="72"/>
    </row>
    <row r="163" ht="14.25" customHeight="1">
      <c r="A163" s="73"/>
      <c r="B163" s="73"/>
      <c r="C163" s="73"/>
      <c r="D163" s="73"/>
      <c r="E163" s="73"/>
      <c r="F163" s="72"/>
    </row>
    <row r="164" ht="14.25" customHeight="1">
      <c r="A164" s="73"/>
      <c r="B164" s="73"/>
      <c r="C164" s="73"/>
      <c r="D164" s="73"/>
      <c r="E164" s="73"/>
      <c r="F164" s="72"/>
    </row>
    <row r="165" ht="14.25" customHeight="1">
      <c r="A165" s="73"/>
      <c r="B165" s="73"/>
      <c r="C165" s="73"/>
      <c r="D165" s="73"/>
      <c r="E165" s="73"/>
      <c r="F165" s="72"/>
    </row>
    <row r="166" ht="14.25" customHeight="1">
      <c r="A166" s="73"/>
      <c r="B166" s="73"/>
      <c r="C166" s="73"/>
      <c r="D166" s="73"/>
      <c r="E166" s="73"/>
      <c r="F166" s="72"/>
    </row>
    <row r="167" ht="14.25" customHeight="1">
      <c r="A167" s="73"/>
      <c r="B167" s="73"/>
      <c r="C167" s="73"/>
      <c r="D167" s="73"/>
      <c r="E167" s="73"/>
      <c r="F167" s="72"/>
    </row>
    <row r="168" ht="14.25" customHeight="1">
      <c r="A168" s="73"/>
      <c r="B168" s="73"/>
      <c r="C168" s="73"/>
      <c r="D168" s="73"/>
      <c r="E168" s="73"/>
      <c r="F168" s="72"/>
    </row>
    <row r="169" ht="14.25" customHeight="1">
      <c r="A169" s="73"/>
      <c r="B169" s="73"/>
      <c r="C169" s="73"/>
      <c r="D169" s="73"/>
      <c r="E169" s="73"/>
      <c r="F169" s="72"/>
    </row>
    <row r="170" ht="14.25" customHeight="1">
      <c r="A170" s="73"/>
      <c r="B170" s="73"/>
      <c r="C170" s="73"/>
      <c r="D170" s="73"/>
      <c r="E170" s="73"/>
      <c r="F170" s="72"/>
    </row>
    <row r="171" ht="14.25" customHeight="1">
      <c r="A171" s="73"/>
      <c r="B171" s="73"/>
      <c r="C171" s="73"/>
      <c r="D171" s="73"/>
      <c r="E171" s="73"/>
      <c r="F171" s="72"/>
    </row>
    <row r="172" ht="14.25" customHeight="1">
      <c r="A172" s="73"/>
      <c r="B172" s="73"/>
      <c r="C172" s="73"/>
      <c r="D172" s="73"/>
      <c r="E172" s="73"/>
      <c r="F172" s="72"/>
    </row>
    <row r="173" ht="14.25" customHeight="1">
      <c r="A173" s="73"/>
      <c r="B173" s="73"/>
      <c r="C173" s="73"/>
      <c r="D173" s="73"/>
      <c r="E173" s="73"/>
      <c r="F173" s="72"/>
    </row>
    <row r="174" ht="14.25" customHeight="1">
      <c r="A174" s="73"/>
      <c r="B174" s="73"/>
      <c r="C174" s="73"/>
      <c r="D174" s="73"/>
      <c r="E174" s="73"/>
      <c r="F174" s="72"/>
    </row>
    <row r="175" ht="14.25" customHeight="1">
      <c r="A175" s="73"/>
      <c r="B175" s="73"/>
      <c r="C175" s="73"/>
      <c r="D175" s="73"/>
      <c r="E175" s="73"/>
      <c r="F175" s="72"/>
    </row>
    <row r="176" ht="14.25" customHeight="1">
      <c r="A176" s="73"/>
      <c r="B176" s="73"/>
      <c r="C176" s="73"/>
      <c r="D176" s="73"/>
      <c r="E176" s="73"/>
      <c r="F176" s="72"/>
    </row>
    <row r="177" ht="14.25" customHeight="1">
      <c r="A177" s="73"/>
      <c r="B177" s="73"/>
      <c r="C177" s="73"/>
      <c r="D177" s="73"/>
      <c r="E177" s="73"/>
      <c r="F177" s="72"/>
    </row>
    <row r="178" ht="14.25" customHeight="1">
      <c r="A178" s="73"/>
      <c r="B178" s="73"/>
      <c r="C178" s="73"/>
      <c r="D178" s="73"/>
      <c r="E178" s="73"/>
      <c r="F178" s="72"/>
    </row>
    <row r="179" ht="14.25" customHeight="1">
      <c r="A179" s="73"/>
      <c r="B179" s="73"/>
      <c r="C179" s="73"/>
      <c r="D179" s="73"/>
      <c r="E179" s="73"/>
      <c r="F179" s="72"/>
    </row>
    <row r="180" ht="14.25" customHeight="1">
      <c r="A180" s="73"/>
      <c r="B180" s="73"/>
      <c r="C180" s="73"/>
      <c r="D180" s="73"/>
      <c r="E180" s="73"/>
      <c r="F180" s="72"/>
    </row>
    <row r="181" ht="14.25" customHeight="1">
      <c r="A181" s="73"/>
      <c r="B181" s="73"/>
      <c r="C181" s="73"/>
      <c r="D181" s="73"/>
      <c r="E181" s="73"/>
      <c r="F181" s="72"/>
    </row>
    <row r="182" ht="14.25" customHeight="1">
      <c r="A182" s="73"/>
      <c r="B182" s="73"/>
      <c r="C182" s="73"/>
      <c r="D182" s="73"/>
      <c r="E182" s="73"/>
      <c r="F182" s="72"/>
    </row>
    <row r="183" ht="14.25" customHeight="1">
      <c r="A183" s="73"/>
      <c r="B183" s="73"/>
      <c r="C183" s="73"/>
      <c r="D183" s="73"/>
      <c r="E183" s="73"/>
      <c r="F183" s="72"/>
    </row>
    <row r="184" ht="14.25" customHeight="1">
      <c r="A184" s="73"/>
      <c r="B184" s="73"/>
      <c r="C184" s="73"/>
      <c r="D184" s="73"/>
      <c r="E184" s="73"/>
      <c r="F184" s="72"/>
    </row>
    <row r="185" ht="14.25" customHeight="1">
      <c r="A185" s="73"/>
      <c r="B185" s="73"/>
      <c r="C185" s="73"/>
      <c r="D185" s="73"/>
      <c r="E185" s="73"/>
      <c r="F185" s="72"/>
    </row>
    <row r="186" ht="14.25" customHeight="1">
      <c r="A186" s="73"/>
      <c r="B186" s="73"/>
      <c r="C186" s="73"/>
      <c r="D186" s="73"/>
      <c r="E186" s="73"/>
      <c r="F186" s="72"/>
    </row>
    <row r="187" ht="14.25" customHeight="1">
      <c r="A187" s="73"/>
      <c r="B187" s="73"/>
      <c r="C187" s="73"/>
      <c r="D187" s="73"/>
      <c r="E187" s="73"/>
      <c r="F187" s="72"/>
    </row>
    <row r="188" ht="14.25" customHeight="1">
      <c r="A188" s="73"/>
      <c r="B188" s="73"/>
      <c r="C188" s="73"/>
      <c r="D188" s="73"/>
      <c r="E188" s="73"/>
      <c r="F188" s="72"/>
    </row>
    <row r="189" ht="14.25" customHeight="1">
      <c r="A189" s="73"/>
      <c r="B189" s="73"/>
      <c r="C189" s="73"/>
      <c r="D189" s="73"/>
      <c r="E189" s="73"/>
      <c r="F189" s="72"/>
    </row>
    <row r="190" ht="14.25" customHeight="1">
      <c r="A190" s="73"/>
      <c r="B190" s="73"/>
      <c r="C190" s="73"/>
      <c r="D190" s="73"/>
      <c r="E190" s="73"/>
      <c r="F190" s="72"/>
    </row>
    <row r="191" ht="14.25" customHeight="1">
      <c r="A191" s="73"/>
      <c r="B191" s="73"/>
      <c r="C191" s="73"/>
      <c r="D191" s="73"/>
      <c r="E191" s="73"/>
      <c r="F191" s="72"/>
    </row>
    <row r="192" ht="14.25" customHeight="1">
      <c r="A192" s="73"/>
      <c r="B192" s="73"/>
      <c r="C192" s="73"/>
      <c r="D192" s="73"/>
      <c r="E192" s="73"/>
      <c r="F192" s="72"/>
    </row>
    <row r="193" ht="14.25" customHeight="1">
      <c r="A193" s="73"/>
      <c r="B193" s="73"/>
      <c r="C193" s="73"/>
      <c r="D193" s="73"/>
      <c r="E193" s="73"/>
      <c r="F193" s="72"/>
    </row>
    <row r="194" ht="14.25" customHeight="1">
      <c r="A194" s="73"/>
      <c r="B194" s="73"/>
      <c r="C194" s="73"/>
      <c r="D194" s="73"/>
      <c r="E194" s="73"/>
      <c r="F194" s="72"/>
    </row>
    <row r="195" ht="14.25" customHeight="1">
      <c r="A195" s="73"/>
      <c r="B195" s="73"/>
      <c r="C195" s="73"/>
      <c r="D195" s="73"/>
      <c r="E195" s="73"/>
      <c r="F195" s="72"/>
    </row>
    <row r="196" ht="14.25" customHeight="1">
      <c r="A196" s="73"/>
      <c r="B196" s="73"/>
      <c r="C196" s="73"/>
      <c r="D196" s="73"/>
      <c r="E196" s="73"/>
      <c r="F196" s="72"/>
    </row>
    <row r="197" ht="14.25" customHeight="1">
      <c r="A197" s="73"/>
      <c r="B197" s="73"/>
      <c r="C197" s="73"/>
      <c r="D197" s="73"/>
      <c r="E197" s="73"/>
      <c r="F197" s="72"/>
    </row>
    <row r="198" ht="14.25" customHeight="1">
      <c r="A198" s="73"/>
      <c r="B198" s="73"/>
      <c r="C198" s="73"/>
      <c r="D198" s="73"/>
      <c r="E198" s="73"/>
      <c r="F198" s="72"/>
    </row>
    <row r="199" ht="14.25" customHeight="1">
      <c r="A199" s="73"/>
      <c r="B199" s="73"/>
      <c r="C199" s="73"/>
      <c r="D199" s="73"/>
      <c r="E199" s="73"/>
      <c r="F199" s="72"/>
    </row>
    <row r="200" ht="14.25" customHeight="1">
      <c r="A200" s="73"/>
      <c r="B200" s="73"/>
      <c r="C200" s="73"/>
      <c r="D200" s="73"/>
      <c r="E200" s="73"/>
      <c r="F200" s="72"/>
    </row>
    <row r="201" ht="14.25" customHeight="1">
      <c r="A201" s="73"/>
      <c r="B201" s="73"/>
      <c r="C201" s="73"/>
      <c r="D201" s="73"/>
      <c r="E201" s="73"/>
      <c r="F201" s="72"/>
    </row>
    <row r="202" ht="14.25" customHeight="1">
      <c r="A202" s="73"/>
      <c r="B202" s="73"/>
      <c r="C202" s="73"/>
      <c r="D202" s="73"/>
      <c r="E202" s="73"/>
      <c r="F202" s="72"/>
    </row>
    <row r="203" ht="14.25" customHeight="1">
      <c r="A203" s="73"/>
      <c r="B203" s="73"/>
      <c r="C203" s="73"/>
      <c r="D203" s="73"/>
      <c r="E203" s="73"/>
      <c r="F203" s="72"/>
    </row>
    <row r="204" ht="14.25" customHeight="1">
      <c r="A204" s="73"/>
      <c r="B204" s="73"/>
      <c r="C204" s="73"/>
      <c r="D204" s="73"/>
      <c r="E204" s="73"/>
      <c r="F204" s="72"/>
    </row>
    <row r="205" ht="14.25" customHeight="1">
      <c r="A205" s="73"/>
      <c r="B205" s="73"/>
      <c r="C205" s="73"/>
      <c r="D205" s="73"/>
      <c r="E205" s="73"/>
      <c r="F205" s="72"/>
    </row>
    <row r="206" ht="14.25" customHeight="1">
      <c r="A206" s="73"/>
      <c r="B206" s="73"/>
      <c r="C206" s="73"/>
      <c r="D206" s="73"/>
      <c r="E206" s="73"/>
      <c r="F206" s="72"/>
    </row>
    <row r="207" ht="14.25" customHeight="1">
      <c r="A207" s="73"/>
      <c r="B207" s="73"/>
      <c r="C207" s="73"/>
      <c r="D207" s="73"/>
      <c r="E207" s="73"/>
      <c r="F207" s="72"/>
    </row>
    <row r="208" ht="14.25" customHeight="1">
      <c r="A208" s="73"/>
      <c r="B208" s="73"/>
      <c r="C208" s="73"/>
      <c r="D208" s="73"/>
      <c r="E208" s="73"/>
      <c r="F208" s="72"/>
    </row>
    <row r="209" ht="14.25" customHeight="1">
      <c r="A209" s="73"/>
      <c r="B209" s="73"/>
      <c r="C209" s="73"/>
      <c r="D209" s="73"/>
      <c r="E209" s="73"/>
      <c r="F209" s="72"/>
    </row>
    <row r="210" ht="14.25" customHeight="1">
      <c r="A210" s="73"/>
      <c r="B210" s="73"/>
      <c r="C210" s="73"/>
      <c r="D210" s="73"/>
      <c r="E210" s="73"/>
      <c r="F210" s="72"/>
    </row>
    <row r="211" ht="14.25" customHeight="1">
      <c r="A211" s="73"/>
      <c r="B211" s="73"/>
      <c r="C211" s="73"/>
      <c r="D211" s="73"/>
      <c r="E211" s="73"/>
      <c r="F211" s="72"/>
    </row>
    <row r="212" ht="14.25" customHeight="1">
      <c r="A212" s="73"/>
      <c r="B212" s="73"/>
      <c r="C212" s="73"/>
      <c r="D212" s="73"/>
      <c r="E212" s="73"/>
      <c r="F212" s="72"/>
    </row>
    <row r="213" ht="14.25" customHeight="1">
      <c r="A213" s="73"/>
      <c r="B213" s="73"/>
      <c r="C213" s="73"/>
      <c r="D213" s="73"/>
      <c r="E213" s="73"/>
      <c r="F213" s="72"/>
    </row>
    <row r="214" ht="14.25" customHeight="1">
      <c r="A214" s="73"/>
      <c r="B214" s="73"/>
      <c r="C214" s="73"/>
      <c r="D214" s="73"/>
      <c r="E214" s="73"/>
      <c r="F214" s="72"/>
    </row>
    <row r="215" ht="14.25" customHeight="1">
      <c r="A215" s="73"/>
      <c r="B215" s="73"/>
      <c r="C215" s="73"/>
      <c r="D215" s="73"/>
      <c r="E215" s="73"/>
      <c r="F215" s="72"/>
    </row>
    <row r="216" ht="14.25" customHeight="1">
      <c r="A216" s="73"/>
      <c r="B216" s="73"/>
      <c r="C216" s="73"/>
      <c r="D216" s="73"/>
      <c r="E216" s="73"/>
      <c r="F216" s="72"/>
    </row>
    <row r="217" ht="14.25" customHeight="1">
      <c r="A217" s="73"/>
      <c r="B217" s="73"/>
      <c r="C217" s="73"/>
      <c r="D217" s="73"/>
      <c r="E217" s="73"/>
      <c r="F217" s="72"/>
    </row>
    <row r="218" ht="14.25" customHeight="1">
      <c r="A218" s="73"/>
      <c r="B218" s="73"/>
      <c r="C218" s="73"/>
      <c r="D218" s="73"/>
      <c r="E218" s="73"/>
      <c r="F218" s="72"/>
    </row>
    <row r="219" ht="14.25" customHeight="1">
      <c r="A219" s="73"/>
      <c r="B219" s="73"/>
      <c r="C219" s="73"/>
      <c r="D219" s="73"/>
      <c r="E219" s="73"/>
      <c r="F219" s="72"/>
    </row>
    <row r="220" ht="14.25" customHeight="1">
      <c r="A220" s="73"/>
      <c r="B220" s="73"/>
      <c r="C220" s="73"/>
      <c r="D220" s="73"/>
      <c r="E220" s="73"/>
      <c r="F220" s="72"/>
    </row>
    <row r="221" ht="14.25" customHeight="1">
      <c r="A221" s="73"/>
      <c r="B221" s="73"/>
      <c r="C221" s="73"/>
      <c r="D221" s="73"/>
      <c r="E221" s="73"/>
      <c r="F221" s="72"/>
    </row>
    <row r="222" ht="14.25" customHeight="1">
      <c r="A222" s="73"/>
      <c r="B222" s="73"/>
      <c r="C222" s="73"/>
      <c r="D222" s="73"/>
      <c r="E222" s="73"/>
      <c r="F222" s="72"/>
    </row>
    <row r="223" ht="14.25" customHeight="1">
      <c r="A223" s="73"/>
      <c r="B223" s="73"/>
      <c r="C223" s="73"/>
      <c r="D223" s="73"/>
      <c r="E223" s="73"/>
      <c r="F223" s="72"/>
    </row>
    <row r="224" ht="14.25" customHeight="1">
      <c r="A224" s="73"/>
      <c r="B224" s="73"/>
      <c r="C224" s="73"/>
      <c r="D224" s="73"/>
      <c r="E224" s="73"/>
      <c r="F224" s="72"/>
    </row>
    <row r="225" ht="14.25" customHeight="1">
      <c r="A225" s="73"/>
      <c r="B225" s="73"/>
      <c r="C225" s="73"/>
      <c r="D225" s="73"/>
      <c r="E225" s="73"/>
      <c r="F225" s="72"/>
    </row>
    <row r="226" ht="14.25" customHeight="1">
      <c r="A226" s="73"/>
      <c r="B226" s="73"/>
      <c r="C226" s="73"/>
      <c r="D226" s="73"/>
      <c r="E226" s="73"/>
      <c r="F226" s="72"/>
    </row>
    <row r="227" ht="14.25" customHeight="1">
      <c r="A227" s="73"/>
      <c r="B227" s="73"/>
      <c r="C227" s="73"/>
      <c r="D227" s="73"/>
      <c r="E227" s="73"/>
      <c r="F227" s="72"/>
    </row>
    <row r="228" ht="14.25" customHeight="1">
      <c r="A228" s="73"/>
      <c r="B228" s="73"/>
      <c r="C228" s="73"/>
      <c r="D228" s="73"/>
      <c r="E228" s="73"/>
      <c r="F228" s="72"/>
    </row>
    <row r="229" ht="14.25" customHeight="1">
      <c r="A229" s="73"/>
      <c r="B229" s="73"/>
      <c r="C229" s="73"/>
      <c r="D229" s="73"/>
      <c r="E229" s="73"/>
      <c r="F229" s="72"/>
    </row>
    <row r="230" ht="14.25" customHeight="1">
      <c r="A230" s="73"/>
      <c r="B230" s="73"/>
      <c r="C230" s="73"/>
      <c r="D230" s="73"/>
      <c r="E230" s="73"/>
      <c r="F230" s="72"/>
    </row>
    <row r="231" ht="14.25" customHeight="1">
      <c r="A231" s="73"/>
      <c r="B231" s="73"/>
      <c r="C231" s="73"/>
      <c r="D231" s="73"/>
      <c r="E231" s="73"/>
      <c r="F231" s="72"/>
    </row>
    <row r="232" ht="14.25" customHeight="1">
      <c r="A232" s="73"/>
      <c r="B232" s="73"/>
      <c r="C232" s="73"/>
      <c r="D232" s="73"/>
      <c r="E232" s="73"/>
      <c r="F232" s="72"/>
    </row>
    <row r="233" ht="14.25" customHeight="1">
      <c r="A233" s="73"/>
      <c r="B233" s="73"/>
      <c r="C233" s="73"/>
      <c r="D233" s="73"/>
      <c r="E233" s="73"/>
      <c r="F233" s="72"/>
    </row>
    <row r="234" ht="14.25" customHeight="1">
      <c r="A234" s="73"/>
      <c r="B234" s="73"/>
      <c r="C234" s="73"/>
      <c r="D234" s="73"/>
      <c r="E234" s="73"/>
      <c r="F234" s="72"/>
    </row>
    <row r="235" ht="14.25" customHeight="1">
      <c r="A235" s="73"/>
      <c r="B235" s="73"/>
      <c r="C235" s="73"/>
      <c r="D235" s="73"/>
      <c r="E235" s="73"/>
      <c r="F235" s="72"/>
    </row>
    <row r="236" ht="14.25" customHeight="1">
      <c r="A236" s="73"/>
      <c r="B236" s="73"/>
      <c r="C236" s="73"/>
      <c r="D236" s="73"/>
      <c r="E236" s="73"/>
      <c r="F236" s="72"/>
    </row>
    <row r="237" ht="14.25" customHeight="1">
      <c r="A237" s="73"/>
      <c r="B237" s="73"/>
      <c r="C237" s="73"/>
      <c r="D237" s="73"/>
      <c r="E237" s="73"/>
      <c r="F237" s="72"/>
    </row>
    <row r="238" ht="14.25" customHeight="1">
      <c r="A238" s="73"/>
      <c r="B238" s="73"/>
      <c r="C238" s="73"/>
      <c r="D238" s="73"/>
      <c r="E238" s="73"/>
      <c r="F238" s="72"/>
    </row>
    <row r="239" ht="14.25" customHeight="1">
      <c r="A239" s="73"/>
      <c r="B239" s="73"/>
      <c r="C239" s="73"/>
      <c r="D239" s="73"/>
      <c r="E239" s="73"/>
      <c r="F239" s="72"/>
    </row>
    <row r="240" ht="14.25" customHeight="1">
      <c r="A240" s="73"/>
      <c r="B240" s="73"/>
      <c r="C240" s="73"/>
      <c r="D240" s="73"/>
      <c r="E240" s="73"/>
      <c r="F240" s="72"/>
    </row>
    <row r="241" ht="14.25" customHeight="1">
      <c r="A241" s="73"/>
      <c r="B241" s="73"/>
      <c r="C241" s="73"/>
      <c r="D241" s="73"/>
      <c r="E241" s="73"/>
      <c r="F241" s="72"/>
    </row>
    <row r="242" ht="14.25" customHeight="1">
      <c r="A242" s="73"/>
      <c r="B242" s="73"/>
      <c r="C242" s="73"/>
      <c r="D242" s="73"/>
      <c r="E242" s="73"/>
      <c r="F242" s="72"/>
    </row>
    <row r="243" ht="14.25" customHeight="1">
      <c r="A243" s="73"/>
      <c r="B243" s="73"/>
      <c r="C243" s="73"/>
      <c r="D243" s="73"/>
      <c r="E243" s="73"/>
      <c r="F243" s="72"/>
    </row>
    <row r="244" ht="14.25" customHeight="1">
      <c r="A244" s="73"/>
      <c r="B244" s="73"/>
      <c r="C244" s="73"/>
      <c r="D244" s="73"/>
      <c r="E244" s="73"/>
      <c r="F244" s="72"/>
    </row>
    <row r="245" ht="14.25" customHeight="1">
      <c r="A245" s="73"/>
      <c r="B245" s="73"/>
      <c r="C245" s="73"/>
      <c r="D245" s="73"/>
      <c r="E245" s="73"/>
      <c r="F245" s="72"/>
    </row>
    <row r="246" ht="14.25" customHeight="1">
      <c r="A246" s="73"/>
      <c r="B246" s="73"/>
      <c r="C246" s="73"/>
      <c r="D246" s="73"/>
      <c r="E246" s="73"/>
      <c r="F246" s="72"/>
    </row>
    <row r="247" ht="14.25" customHeight="1">
      <c r="A247" s="73"/>
      <c r="B247" s="73"/>
      <c r="C247" s="73"/>
      <c r="D247" s="73"/>
      <c r="E247" s="73"/>
      <c r="F247" s="72"/>
    </row>
    <row r="248" ht="14.25" customHeight="1">
      <c r="A248" s="73"/>
      <c r="B248" s="73"/>
      <c r="C248" s="73"/>
      <c r="D248" s="73"/>
      <c r="E248" s="73"/>
      <c r="F248" s="72"/>
    </row>
    <row r="249" ht="14.25" customHeight="1">
      <c r="A249" s="73"/>
      <c r="B249" s="73"/>
      <c r="C249" s="73"/>
      <c r="D249" s="73"/>
      <c r="E249" s="73"/>
      <c r="F249" s="72"/>
    </row>
    <row r="250" ht="14.25" customHeight="1">
      <c r="A250" s="73"/>
      <c r="B250" s="73"/>
      <c r="C250" s="73"/>
      <c r="D250" s="73"/>
      <c r="E250" s="73"/>
      <c r="F250" s="72"/>
    </row>
    <row r="251" ht="14.25" customHeight="1">
      <c r="A251" s="73"/>
      <c r="B251" s="73"/>
      <c r="C251" s="73"/>
      <c r="D251" s="73"/>
      <c r="E251" s="73"/>
      <c r="F251" s="72"/>
    </row>
    <row r="252" ht="14.25" customHeight="1">
      <c r="A252" s="73"/>
      <c r="B252" s="73"/>
      <c r="C252" s="73"/>
      <c r="D252" s="73"/>
      <c r="E252" s="73"/>
      <c r="F252" s="72"/>
    </row>
    <row r="253" ht="14.25" customHeight="1">
      <c r="A253" s="73"/>
      <c r="B253" s="73"/>
      <c r="C253" s="73"/>
      <c r="D253" s="73"/>
      <c r="E253" s="73"/>
      <c r="F253" s="72"/>
    </row>
    <row r="254" ht="14.25" customHeight="1">
      <c r="A254" s="73"/>
      <c r="B254" s="73"/>
      <c r="C254" s="73"/>
      <c r="D254" s="73"/>
      <c r="E254" s="73"/>
      <c r="F254" s="72"/>
    </row>
    <row r="255" ht="14.25" customHeight="1">
      <c r="A255" s="73"/>
      <c r="B255" s="73"/>
      <c r="C255" s="73"/>
      <c r="D255" s="73"/>
      <c r="E255" s="73"/>
      <c r="F255" s="72"/>
    </row>
    <row r="256" ht="14.25" customHeight="1">
      <c r="A256" s="73"/>
      <c r="B256" s="73"/>
      <c r="C256" s="73"/>
      <c r="D256" s="73"/>
      <c r="E256" s="73"/>
      <c r="F256" s="72"/>
    </row>
    <row r="257" ht="14.25" customHeight="1">
      <c r="A257" s="73"/>
      <c r="B257" s="73"/>
      <c r="C257" s="73"/>
      <c r="D257" s="73"/>
      <c r="E257" s="73"/>
      <c r="F257" s="72"/>
    </row>
    <row r="258" ht="14.25" customHeight="1">
      <c r="A258" s="73"/>
      <c r="B258" s="73"/>
      <c r="C258" s="73"/>
      <c r="D258" s="73"/>
      <c r="E258" s="73"/>
      <c r="F258" s="72"/>
    </row>
    <row r="259" ht="14.25" customHeight="1">
      <c r="A259" s="73"/>
      <c r="B259" s="73"/>
      <c r="C259" s="73"/>
      <c r="D259" s="73"/>
      <c r="E259" s="73"/>
      <c r="F259" s="72"/>
    </row>
    <row r="260" ht="14.25" customHeight="1">
      <c r="A260" s="73"/>
      <c r="B260" s="73"/>
      <c r="C260" s="73"/>
      <c r="D260" s="73"/>
      <c r="E260" s="73"/>
      <c r="F260" s="72"/>
    </row>
    <row r="261" ht="14.25" customHeight="1">
      <c r="A261" s="73"/>
      <c r="B261" s="73"/>
      <c r="C261" s="73"/>
      <c r="D261" s="73"/>
      <c r="E261" s="73"/>
      <c r="F261" s="72"/>
    </row>
    <row r="262" ht="14.25" customHeight="1">
      <c r="A262" s="73"/>
      <c r="B262" s="73"/>
      <c r="C262" s="73"/>
      <c r="D262" s="73"/>
      <c r="E262" s="73"/>
      <c r="F262" s="72"/>
    </row>
    <row r="263" ht="14.25" customHeight="1">
      <c r="A263" s="73"/>
      <c r="B263" s="73"/>
      <c r="C263" s="73"/>
      <c r="D263" s="73"/>
      <c r="E263" s="73"/>
      <c r="F263" s="72"/>
    </row>
    <row r="264" ht="14.25" customHeight="1">
      <c r="A264" s="73"/>
      <c r="B264" s="73"/>
      <c r="C264" s="73"/>
      <c r="D264" s="73"/>
      <c r="E264" s="73"/>
      <c r="F264" s="72"/>
    </row>
    <row r="265" ht="14.25" customHeight="1">
      <c r="A265" s="73"/>
      <c r="B265" s="73"/>
      <c r="C265" s="73"/>
      <c r="D265" s="73"/>
      <c r="E265" s="73"/>
      <c r="F265" s="72"/>
    </row>
    <row r="266" ht="14.25" customHeight="1">
      <c r="A266" s="73"/>
      <c r="B266" s="73"/>
      <c r="C266" s="73"/>
      <c r="D266" s="73"/>
      <c r="E266" s="73"/>
      <c r="F266" s="72"/>
    </row>
    <row r="267" ht="14.25" customHeight="1">
      <c r="A267" s="73"/>
      <c r="B267" s="73"/>
      <c r="C267" s="73"/>
      <c r="D267" s="73"/>
      <c r="E267" s="73"/>
      <c r="F267" s="72"/>
    </row>
    <row r="268" ht="14.25" customHeight="1">
      <c r="A268" s="73"/>
      <c r="B268" s="73"/>
      <c r="C268" s="73"/>
      <c r="D268" s="73"/>
      <c r="E268" s="73"/>
      <c r="F268" s="72"/>
    </row>
    <row r="269" ht="14.25" customHeight="1">
      <c r="A269" s="73"/>
      <c r="B269" s="73"/>
      <c r="C269" s="73"/>
      <c r="D269" s="73"/>
      <c r="E269" s="73"/>
      <c r="F269" s="72"/>
    </row>
    <row r="270" ht="14.25" customHeight="1">
      <c r="A270" s="73"/>
      <c r="B270" s="73"/>
      <c r="C270" s="73"/>
      <c r="D270" s="73"/>
      <c r="E270" s="73"/>
      <c r="F270" s="72"/>
    </row>
    <row r="271" ht="14.25" customHeight="1">
      <c r="A271" s="73"/>
      <c r="B271" s="73"/>
      <c r="C271" s="73"/>
      <c r="D271" s="73"/>
      <c r="E271" s="73"/>
      <c r="F271" s="72"/>
    </row>
    <row r="272" ht="14.25" customHeight="1">
      <c r="A272" s="73"/>
      <c r="B272" s="73"/>
      <c r="C272" s="73"/>
      <c r="D272" s="73"/>
      <c r="E272" s="73"/>
      <c r="F272" s="72"/>
    </row>
    <row r="273" ht="14.25" customHeight="1">
      <c r="A273" s="73"/>
      <c r="B273" s="73"/>
      <c r="C273" s="73"/>
      <c r="D273" s="73"/>
      <c r="E273" s="73"/>
      <c r="F273" s="72"/>
    </row>
    <row r="274" ht="14.25" customHeight="1">
      <c r="A274" s="73"/>
      <c r="B274" s="73"/>
      <c r="C274" s="73"/>
      <c r="D274" s="73"/>
      <c r="E274" s="73"/>
      <c r="F274" s="72"/>
    </row>
    <row r="275" ht="14.25" customHeight="1">
      <c r="A275" s="73"/>
      <c r="B275" s="73"/>
      <c r="C275" s="73"/>
      <c r="D275" s="73"/>
      <c r="E275" s="73"/>
      <c r="F275" s="72"/>
    </row>
    <row r="276" ht="14.25" customHeight="1">
      <c r="A276" s="73"/>
      <c r="B276" s="73"/>
      <c r="C276" s="73"/>
      <c r="D276" s="73"/>
      <c r="E276" s="73"/>
      <c r="F276" s="72"/>
    </row>
    <row r="277" ht="14.25" customHeight="1">
      <c r="A277" s="73"/>
      <c r="B277" s="73"/>
      <c r="C277" s="73"/>
      <c r="D277" s="73"/>
      <c r="E277" s="73"/>
      <c r="F277" s="72"/>
    </row>
    <row r="278" ht="14.25" customHeight="1">
      <c r="A278" s="73"/>
      <c r="B278" s="73"/>
      <c r="C278" s="73"/>
      <c r="D278" s="73"/>
      <c r="E278" s="73"/>
      <c r="F278" s="72"/>
    </row>
    <row r="279" ht="14.25" customHeight="1">
      <c r="A279" s="73"/>
      <c r="B279" s="73"/>
      <c r="C279" s="73"/>
      <c r="D279" s="73"/>
      <c r="E279" s="73"/>
      <c r="F279" s="72"/>
    </row>
    <row r="280" ht="14.25" customHeight="1">
      <c r="A280" s="73"/>
      <c r="B280" s="73"/>
      <c r="C280" s="73"/>
      <c r="D280" s="73"/>
      <c r="E280" s="73"/>
      <c r="F280" s="72"/>
    </row>
    <row r="281" ht="14.25" customHeight="1">
      <c r="A281" s="73"/>
      <c r="B281" s="73"/>
      <c r="C281" s="73"/>
      <c r="D281" s="73"/>
      <c r="E281" s="73"/>
      <c r="F281" s="72"/>
    </row>
    <row r="282" ht="14.25" customHeight="1">
      <c r="A282" s="73"/>
      <c r="B282" s="73"/>
      <c r="C282" s="73"/>
      <c r="D282" s="73"/>
      <c r="E282" s="73"/>
      <c r="F282" s="72"/>
    </row>
    <row r="283" ht="14.25" customHeight="1">
      <c r="A283" s="73"/>
      <c r="B283" s="73"/>
      <c r="C283" s="73"/>
      <c r="D283" s="73"/>
      <c r="E283" s="73"/>
      <c r="F283" s="72"/>
    </row>
    <row r="284" ht="14.25" customHeight="1">
      <c r="A284" s="73"/>
      <c r="B284" s="73"/>
      <c r="C284" s="73"/>
      <c r="D284" s="73"/>
      <c r="E284" s="73"/>
      <c r="F284" s="72"/>
    </row>
    <row r="285" ht="14.25" customHeight="1">
      <c r="A285" s="73"/>
      <c r="B285" s="73"/>
      <c r="C285" s="73"/>
      <c r="D285" s="73"/>
      <c r="E285" s="73"/>
      <c r="F285" s="72"/>
    </row>
    <row r="286" ht="14.25" customHeight="1">
      <c r="A286" s="73"/>
      <c r="B286" s="73"/>
      <c r="C286" s="73"/>
      <c r="D286" s="73"/>
      <c r="E286" s="73"/>
      <c r="F286" s="72"/>
    </row>
    <row r="287" ht="14.25" customHeight="1">
      <c r="A287" s="73"/>
      <c r="B287" s="73"/>
      <c r="C287" s="73"/>
      <c r="D287" s="73"/>
      <c r="E287" s="73"/>
      <c r="F287" s="72"/>
    </row>
    <row r="288" ht="14.25" customHeight="1">
      <c r="A288" s="73"/>
      <c r="B288" s="73"/>
      <c r="C288" s="73"/>
      <c r="D288" s="73"/>
      <c r="E288" s="73"/>
      <c r="F288" s="72"/>
    </row>
    <row r="289" ht="14.25" customHeight="1">
      <c r="A289" s="73"/>
      <c r="B289" s="73"/>
      <c r="C289" s="73"/>
      <c r="D289" s="73"/>
      <c r="E289" s="73"/>
      <c r="F289" s="72"/>
    </row>
    <row r="290" ht="14.25" customHeight="1">
      <c r="A290" s="73"/>
      <c r="B290" s="73"/>
      <c r="C290" s="73"/>
      <c r="D290" s="73"/>
      <c r="E290" s="73"/>
      <c r="F290" s="72"/>
    </row>
    <row r="291" ht="14.25" customHeight="1">
      <c r="A291" s="73"/>
      <c r="B291" s="73"/>
      <c r="C291" s="73"/>
      <c r="D291" s="73"/>
      <c r="E291" s="73"/>
      <c r="F291" s="72"/>
    </row>
    <row r="292" ht="14.25" customHeight="1">
      <c r="A292" s="73"/>
      <c r="B292" s="73"/>
      <c r="C292" s="73"/>
      <c r="D292" s="73"/>
      <c r="E292" s="73"/>
      <c r="F292" s="72"/>
    </row>
    <row r="293" ht="14.25" customHeight="1">
      <c r="A293" s="73"/>
      <c r="B293" s="73"/>
      <c r="C293" s="73"/>
      <c r="D293" s="73"/>
      <c r="E293" s="73"/>
      <c r="F293" s="72"/>
    </row>
    <row r="294" ht="14.25" customHeight="1">
      <c r="A294" s="73"/>
      <c r="B294" s="73"/>
      <c r="C294" s="73"/>
      <c r="D294" s="73"/>
      <c r="E294" s="73"/>
      <c r="F294" s="72"/>
    </row>
    <row r="295" ht="14.25" customHeight="1">
      <c r="A295" s="73"/>
      <c r="B295" s="73"/>
      <c r="C295" s="73"/>
      <c r="D295" s="73"/>
      <c r="E295" s="73"/>
      <c r="F295" s="72"/>
    </row>
    <row r="296" ht="14.25" customHeight="1">
      <c r="A296" s="73"/>
      <c r="B296" s="73"/>
      <c r="C296" s="73"/>
      <c r="D296" s="73"/>
      <c r="E296" s="73"/>
      <c r="F296" s="72"/>
    </row>
    <row r="297" ht="14.25" customHeight="1">
      <c r="A297" s="73"/>
      <c r="B297" s="73"/>
      <c r="C297" s="73"/>
      <c r="D297" s="73"/>
      <c r="E297" s="73"/>
      <c r="F297" s="72"/>
    </row>
    <row r="298" ht="14.25" customHeight="1">
      <c r="A298" s="73"/>
      <c r="B298" s="73"/>
      <c r="C298" s="73"/>
      <c r="D298" s="73"/>
      <c r="E298" s="73"/>
      <c r="F298" s="72"/>
    </row>
    <row r="299" ht="14.25" customHeight="1">
      <c r="A299" s="73"/>
      <c r="B299" s="73"/>
      <c r="C299" s="73"/>
      <c r="D299" s="73"/>
      <c r="E299" s="73"/>
      <c r="F299" s="72"/>
    </row>
    <row r="300" ht="14.25" customHeight="1">
      <c r="A300" s="73"/>
      <c r="B300" s="73"/>
      <c r="C300" s="73"/>
      <c r="D300" s="73"/>
      <c r="E300" s="73"/>
      <c r="F300" s="72"/>
    </row>
    <row r="301" ht="14.25" customHeight="1">
      <c r="A301" s="73"/>
      <c r="B301" s="73"/>
      <c r="C301" s="73"/>
      <c r="D301" s="73"/>
      <c r="E301" s="73"/>
      <c r="F301" s="72"/>
    </row>
    <row r="302" ht="14.25" customHeight="1">
      <c r="A302" s="73"/>
      <c r="B302" s="73"/>
      <c r="C302" s="73"/>
      <c r="D302" s="73"/>
      <c r="E302" s="73"/>
      <c r="F302" s="72"/>
    </row>
    <row r="303" ht="14.25" customHeight="1">
      <c r="A303" s="73"/>
      <c r="B303" s="73"/>
      <c r="C303" s="73"/>
      <c r="D303" s="73"/>
      <c r="E303" s="73"/>
      <c r="F303" s="72"/>
    </row>
    <row r="304" ht="14.25" customHeight="1">
      <c r="A304" s="73"/>
      <c r="B304" s="73"/>
      <c r="C304" s="73"/>
      <c r="D304" s="73"/>
      <c r="E304" s="73"/>
      <c r="F304" s="72"/>
    </row>
    <row r="305" ht="14.25" customHeight="1">
      <c r="A305" s="73"/>
      <c r="B305" s="73"/>
      <c r="C305" s="73"/>
      <c r="D305" s="73"/>
      <c r="E305" s="73"/>
      <c r="F305" s="72"/>
    </row>
    <row r="306" ht="14.25" customHeight="1">
      <c r="A306" s="73"/>
      <c r="B306" s="73"/>
      <c r="C306" s="73"/>
      <c r="D306" s="73"/>
      <c r="E306" s="73"/>
      <c r="F306" s="72"/>
    </row>
    <row r="307" ht="14.25" customHeight="1">
      <c r="A307" s="73"/>
      <c r="B307" s="73"/>
      <c r="C307" s="73"/>
      <c r="D307" s="73"/>
      <c r="E307" s="73"/>
      <c r="F307" s="72"/>
    </row>
    <row r="308" ht="14.25" customHeight="1">
      <c r="A308" s="73"/>
      <c r="B308" s="73"/>
      <c r="C308" s="73"/>
      <c r="D308" s="73"/>
      <c r="E308" s="73"/>
      <c r="F308" s="72"/>
    </row>
    <row r="309" ht="14.25" customHeight="1">
      <c r="A309" s="73"/>
      <c r="B309" s="73"/>
      <c r="C309" s="73"/>
      <c r="D309" s="73"/>
      <c r="E309" s="73"/>
      <c r="F309" s="72"/>
    </row>
    <row r="310" ht="14.25" customHeight="1">
      <c r="A310" s="73"/>
      <c r="B310" s="73"/>
      <c r="C310" s="73"/>
      <c r="D310" s="73"/>
      <c r="E310" s="73"/>
      <c r="F310" s="72"/>
    </row>
    <row r="311" ht="14.25" customHeight="1">
      <c r="A311" s="73"/>
      <c r="B311" s="73"/>
      <c r="C311" s="73"/>
      <c r="D311" s="73"/>
      <c r="E311" s="73"/>
      <c r="F311" s="72"/>
    </row>
    <row r="312" ht="14.25" customHeight="1">
      <c r="A312" s="73"/>
      <c r="B312" s="73"/>
      <c r="C312" s="73"/>
      <c r="D312" s="73"/>
      <c r="E312" s="73"/>
      <c r="F312" s="72"/>
    </row>
    <row r="313" ht="14.25" customHeight="1">
      <c r="A313" s="73"/>
      <c r="B313" s="73"/>
      <c r="C313" s="73"/>
      <c r="D313" s="73"/>
      <c r="E313" s="73"/>
      <c r="F313" s="72"/>
    </row>
    <row r="314" ht="14.25" customHeight="1">
      <c r="A314" s="73"/>
      <c r="B314" s="73"/>
      <c r="C314" s="73"/>
      <c r="D314" s="73"/>
      <c r="E314" s="73"/>
      <c r="F314" s="72"/>
    </row>
    <row r="315" ht="14.25" customHeight="1">
      <c r="A315" s="73"/>
      <c r="B315" s="73"/>
      <c r="C315" s="73"/>
      <c r="D315" s="73"/>
      <c r="E315" s="73"/>
      <c r="F315" s="72"/>
    </row>
    <row r="316" ht="14.25" customHeight="1">
      <c r="A316" s="73"/>
      <c r="B316" s="73"/>
      <c r="C316" s="73"/>
      <c r="D316" s="73"/>
      <c r="E316" s="73"/>
      <c r="F316" s="72"/>
    </row>
    <row r="317" ht="14.25" customHeight="1">
      <c r="A317" s="73"/>
      <c r="B317" s="73"/>
      <c r="C317" s="73"/>
      <c r="D317" s="73"/>
      <c r="E317" s="73"/>
      <c r="F317" s="72"/>
    </row>
    <row r="318" ht="14.25" customHeight="1">
      <c r="A318" s="73"/>
      <c r="B318" s="73"/>
      <c r="C318" s="73"/>
      <c r="D318" s="73"/>
      <c r="E318" s="73"/>
      <c r="F318" s="72"/>
    </row>
    <row r="319" ht="14.25" customHeight="1">
      <c r="A319" s="73"/>
      <c r="B319" s="73"/>
      <c r="C319" s="73"/>
      <c r="D319" s="73"/>
      <c r="E319" s="73"/>
      <c r="F319" s="72"/>
    </row>
    <row r="320" ht="14.25" customHeight="1">
      <c r="A320" s="73"/>
      <c r="B320" s="73"/>
      <c r="C320" s="73"/>
      <c r="D320" s="73"/>
      <c r="E320" s="73"/>
      <c r="F320" s="72"/>
    </row>
    <row r="321" ht="14.25" customHeight="1">
      <c r="A321" s="73"/>
      <c r="B321" s="73"/>
      <c r="C321" s="73"/>
      <c r="D321" s="73"/>
      <c r="E321" s="73"/>
      <c r="F321" s="72"/>
    </row>
    <row r="322" ht="14.25" customHeight="1">
      <c r="A322" s="73"/>
      <c r="B322" s="73"/>
      <c r="C322" s="73"/>
      <c r="D322" s="73"/>
      <c r="E322" s="73"/>
      <c r="F322" s="72"/>
    </row>
    <row r="323" ht="14.25" customHeight="1">
      <c r="A323" s="73"/>
      <c r="B323" s="73"/>
      <c r="C323" s="73"/>
      <c r="D323" s="73"/>
      <c r="E323" s="73"/>
      <c r="F323" s="72"/>
    </row>
    <row r="324" ht="14.25" customHeight="1">
      <c r="A324" s="73"/>
      <c r="B324" s="73"/>
      <c r="C324" s="73"/>
      <c r="D324" s="73"/>
      <c r="E324" s="73"/>
      <c r="F324" s="72"/>
    </row>
    <row r="325" ht="14.25" customHeight="1">
      <c r="A325" s="73"/>
      <c r="B325" s="73"/>
      <c r="C325" s="73"/>
      <c r="D325" s="73"/>
      <c r="E325" s="73"/>
      <c r="F325" s="72"/>
    </row>
    <row r="326" ht="14.25" customHeight="1">
      <c r="A326" s="73"/>
      <c r="B326" s="73"/>
      <c r="C326" s="73"/>
      <c r="D326" s="73"/>
      <c r="E326" s="73"/>
      <c r="F326" s="72"/>
    </row>
    <row r="327" ht="14.25" customHeight="1">
      <c r="A327" s="73"/>
      <c r="B327" s="73"/>
      <c r="C327" s="73"/>
      <c r="D327" s="73"/>
      <c r="E327" s="73"/>
      <c r="F327" s="72"/>
    </row>
    <row r="328" ht="14.25" customHeight="1">
      <c r="A328" s="73"/>
      <c r="B328" s="73"/>
      <c r="C328" s="73"/>
      <c r="D328" s="73"/>
      <c r="E328" s="73"/>
      <c r="F328" s="72"/>
    </row>
    <row r="329" ht="14.25" customHeight="1">
      <c r="A329" s="73"/>
      <c r="B329" s="73"/>
      <c r="C329" s="73"/>
      <c r="D329" s="73"/>
      <c r="E329" s="73"/>
      <c r="F329" s="72"/>
    </row>
    <row r="330" ht="14.25" customHeight="1">
      <c r="A330" s="73"/>
      <c r="B330" s="73"/>
      <c r="C330" s="73"/>
      <c r="D330" s="73"/>
      <c r="E330" s="73"/>
      <c r="F330" s="72"/>
    </row>
    <row r="331" ht="14.25" customHeight="1">
      <c r="A331" s="73"/>
      <c r="B331" s="73"/>
      <c r="C331" s="73"/>
      <c r="D331" s="73"/>
      <c r="E331" s="73"/>
      <c r="F331" s="72"/>
    </row>
    <row r="332" ht="14.25" customHeight="1">
      <c r="A332" s="73"/>
      <c r="B332" s="73"/>
      <c r="C332" s="73"/>
      <c r="D332" s="73"/>
      <c r="E332" s="73"/>
      <c r="F332" s="72"/>
    </row>
    <row r="333" ht="14.25" customHeight="1">
      <c r="A333" s="73"/>
      <c r="B333" s="73"/>
      <c r="C333" s="73"/>
      <c r="D333" s="73"/>
      <c r="E333" s="73"/>
      <c r="F333" s="72"/>
    </row>
    <row r="334" ht="14.25" customHeight="1">
      <c r="A334" s="73"/>
      <c r="B334" s="73"/>
      <c r="C334" s="73"/>
      <c r="D334" s="73"/>
      <c r="E334" s="73"/>
      <c r="F334" s="72"/>
    </row>
    <row r="335" ht="14.25" customHeight="1">
      <c r="A335" s="73"/>
      <c r="B335" s="73"/>
      <c r="C335" s="73"/>
      <c r="D335" s="73"/>
      <c r="E335" s="73"/>
      <c r="F335" s="72"/>
    </row>
    <row r="336" ht="14.25" customHeight="1">
      <c r="A336" s="73"/>
      <c r="B336" s="73"/>
      <c r="C336" s="73"/>
      <c r="D336" s="73"/>
      <c r="E336" s="73"/>
      <c r="F336" s="72"/>
    </row>
    <row r="337" ht="14.25" customHeight="1">
      <c r="A337" s="73"/>
      <c r="B337" s="73"/>
      <c r="C337" s="73"/>
      <c r="D337" s="73"/>
      <c r="E337" s="73"/>
      <c r="F337" s="72"/>
    </row>
    <row r="338" ht="14.25" customHeight="1">
      <c r="A338" s="73"/>
      <c r="B338" s="73"/>
      <c r="C338" s="73"/>
      <c r="D338" s="73"/>
      <c r="E338" s="73"/>
      <c r="F338" s="72"/>
    </row>
    <row r="339" ht="14.25" customHeight="1">
      <c r="A339" s="73"/>
      <c r="B339" s="73"/>
      <c r="C339" s="73"/>
      <c r="D339" s="73"/>
      <c r="E339" s="73"/>
      <c r="F339" s="72"/>
    </row>
    <row r="340" ht="14.25" customHeight="1">
      <c r="A340" s="73"/>
      <c r="B340" s="73"/>
      <c r="C340" s="73"/>
      <c r="D340" s="73"/>
      <c r="E340" s="73"/>
      <c r="F340" s="72"/>
    </row>
    <row r="341" ht="14.25" customHeight="1">
      <c r="A341" s="73"/>
      <c r="B341" s="73"/>
      <c r="C341" s="73"/>
      <c r="D341" s="73"/>
      <c r="E341" s="73"/>
      <c r="F341" s="72"/>
    </row>
    <row r="342" ht="14.25" customHeight="1">
      <c r="A342" s="73"/>
      <c r="B342" s="73"/>
      <c r="C342" s="73"/>
      <c r="D342" s="73"/>
      <c r="E342" s="73"/>
      <c r="F342" s="72"/>
    </row>
    <row r="343" ht="14.25" customHeight="1">
      <c r="A343" s="73"/>
      <c r="B343" s="73"/>
      <c r="C343" s="73"/>
      <c r="D343" s="73"/>
      <c r="E343" s="73"/>
      <c r="F343" s="72"/>
    </row>
    <row r="344" ht="14.25" customHeight="1">
      <c r="A344" s="73"/>
      <c r="B344" s="73"/>
      <c r="C344" s="73"/>
      <c r="D344" s="73"/>
      <c r="E344" s="73"/>
      <c r="F344" s="72"/>
    </row>
    <row r="345" ht="14.25" customHeight="1">
      <c r="A345" s="73"/>
      <c r="B345" s="73"/>
      <c r="C345" s="73"/>
      <c r="D345" s="73"/>
      <c r="E345" s="73"/>
      <c r="F345" s="72"/>
    </row>
    <row r="346" ht="14.25" customHeight="1">
      <c r="A346" s="73"/>
      <c r="B346" s="73"/>
      <c r="C346" s="73"/>
      <c r="D346" s="73"/>
      <c r="E346" s="73"/>
      <c r="F346" s="72"/>
    </row>
    <row r="347" ht="14.25" customHeight="1">
      <c r="A347" s="73"/>
      <c r="B347" s="73"/>
      <c r="C347" s="73"/>
      <c r="D347" s="73"/>
      <c r="E347" s="73"/>
      <c r="F347" s="72"/>
    </row>
    <row r="348" ht="14.25" customHeight="1">
      <c r="A348" s="73"/>
      <c r="B348" s="73"/>
      <c r="C348" s="73"/>
      <c r="D348" s="73"/>
      <c r="E348" s="73"/>
      <c r="F348" s="72"/>
    </row>
    <row r="349" ht="14.25" customHeight="1">
      <c r="A349" s="73"/>
      <c r="B349" s="73"/>
      <c r="C349" s="73"/>
      <c r="D349" s="73"/>
      <c r="E349" s="73"/>
      <c r="F349" s="72"/>
    </row>
    <row r="350" ht="14.25" customHeight="1">
      <c r="A350" s="73"/>
      <c r="B350" s="73"/>
      <c r="C350" s="73"/>
      <c r="D350" s="73"/>
      <c r="E350" s="73"/>
      <c r="F350" s="72"/>
    </row>
    <row r="351" ht="14.25" customHeight="1">
      <c r="A351" s="73"/>
      <c r="B351" s="73"/>
      <c r="C351" s="73"/>
      <c r="D351" s="73"/>
      <c r="E351" s="73"/>
      <c r="F351" s="72"/>
    </row>
    <row r="352" ht="14.25" customHeight="1">
      <c r="A352" s="73"/>
      <c r="B352" s="73"/>
      <c r="C352" s="73"/>
      <c r="D352" s="73"/>
      <c r="E352" s="73"/>
      <c r="F352" s="72"/>
    </row>
    <row r="353" ht="14.25" customHeight="1">
      <c r="A353" s="73"/>
      <c r="B353" s="73"/>
      <c r="C353" s="73"/>
      <c r="D353" s="73"/>
      <c r="E353" s="73"/>
      <c r="F353" s="72"/>
    </row>
    <row r="354" ht="14.25" customHeight="1">
      <c r="A354" s="73"/>
      <c r="B354" s="73"/>
      <c r="C354" s="73"/>
      <c r="D354" s="73"/>
      <c r="E354" s="73"/>
      <c r="F354" s="72"/>
    </row>
    <row r="355" ht="14.25" customHeight="1">
      <c r="A355" s="73"/>
      <c r="B355" s="73"/>
      <c r="C355" s="73"/>
      <c r="D355" s="73"/>
      <c r="E355" s="73"/>
      <c r="F355" s="72"/>
    </row>
    <row r="356" ht="14.25" customHeight="1">
      <c r="A356" s="73"/>
      <c r="B356" s="73"/>
      <c r="C356" s="73"/>
      <c r="D356" s="73"/>
      <c r="E356" s="73"/>
      <c r="F356" s="72"/>
    </row>
    <row r="357" ht="14.25" customHeight="1">
      <c r="A357" s="73"/>
      <c r="B357" s="73"/>
      <c r="C357" s="73"/>
      <c r="D357" s="73"/>
      <c r="E357" s="73"/>
      <c r="F357" s="72"/>
    </row>
    <row r="358" ht="14.25" customHeight="1">
      <c r="A358" s="73"/>
      <c r="B358" s="73"/>
      <c r="C358" s="73"/>
      <c r="D358" s="73"/>
      <c r="E358" s="73"/>
      <c r="F358" s="72"/>
    </row>
    <row r="359" ht="14.25" customHeight="1">
      <c r="A359" s="73"/>
      <c r="B359" s="73"/>
      <c r="C359" s="73"/>
      <c r="D359" s="73"/>
      <c r="E359" s="73"/>
      <c r="F359" s="72"/>
    </row>
    <row r="360" ht="14.25" customHeight="1">
      <c r="A360" s="73"/>
      <c r="B360" s="73"/>
      <c r="C360" s="73"/>
      <c r="D360" s="73"/>
      <c r="E360" s="73"/>
      <c r="F360" s="72"/>
    </row>
    <row r="361" ht="14.25" customHeight="1">
      <c r="A361" s="73"/>
      <c r="B361" s="73"/>
      <c r="C361" s="73"/>
      <c r="D361" s="73"/>
      <c r="E361" s="73"/>
      <c r="F361" s="72"/>
    </row>
    <row r="362" ht="14.25" customHeight="1">
      <c r="A362" s="73"/>
      <c r="B362" s="73"/>
      <c r="C362" s="73"/>
      <c r="D362" s="73"/>
      <c r="E362" s="73"/>
      <c r="F362" s="72"/>
    </row>
    <row r="363" ht="14.25" customHeight="1">
      <c r="A363" s="73"/>
      <c r="B363" s="73"/>
      <c r="C363" s="73"/>
      <c r="D363" s="73"/>
      <c r="E363" s="73"/>
      <c r="F363" s="72"/>
    </row>
    <row r="364" ht="14.25" customHeight="1">
      <c r="A364" s="73"/>
      <c r="B364" s="73"/>
      <c r="C364" s="73"/>
      <c r="D364" s="73"/>
      <c r="E364" s="73"/>
      <c r="F364" s="72"/>
    </row>
    <row r="365" ht="14.25" customHeight="1">
      <c r="A365" s="73"/>
      <c r="B365" s="73"/>
      <c r="C365" s="73"/>
      <c r="D365" s="73"/>
      <c r="E365" s="73"/>
      <c r="F365" s="72"/>
    </row>
    <row r="366" ht="14.25" customHeight="1">
      <c r="A366" s="73"/>
      <c r="B366" s="73"/>
      <c r="C366" s="73"/>
      <c r="D366" s="73"/>
      <c r="E366" s="73"/>
      <c r="F366" s="72"/>
    </row>
    <row r="367" ht="14.25" customHeight="1">
      <c r="A367" s="73"/>
      <c r="B367" s="73"/>
      <c r="C367" s="73"/>
      <c r="D367" s="73"/>
      <c r="E367" s="73"/>
      <c r="F367" s="72"/>
    </row>
    <row r="368" ht="14.25" customHeight="1">
      <c r="A368" s="73"/>
      <c r="B368" s="73"/>
      <c r="C368" s="73"/>
      <c r="D368" s="73"/>
      <c r="E368" s="73"/>
      <c r="F368" s="72"/>
    </row>
    <row r="369" ht="14.25" customHeight="1">
      <c r="A369" s="73"/>
      <c r="B369" s="73"/>
      <c r="C369" s="73"/>
      <c r="D369" s="73"/>
      <c r="E369" s="73"/>
      <c r="F369" s="72"/>
    </row>
    <row r="370" ht="14.25" customHeight="1">
      <c r="A370" s="73"/>
      <c r="B370" s="73"/>
      <c r="C370" s="73"/>
      <c r="D370" s="73"/>
      <c r="E370" s="73"/>
      <c r="F370" s="72"/>
    </row>
    <row r="371" ht="14.25" customHeight="1">
      <c r="A371" s="73"/>
      <c r="B371" s="73"/>
      <c r="C371" s="73"/>
      <c r="D371" s="73"/>
      <c r="E371" s="73"/>
      <c r="F371" s="72"/>
    </row>
    <row r="372" ht="14.25" customHeight="1">
      <c r="A372" s="73"/>
      <c r="B372" s="73"/>
      <c r="C372" s="73"/>
      <c r="D372" s="73"/>
      <c r="E372" s="73"/>
      <c r="F372" s="72"/>
    </row>
    <row r="373" ht="14.25" customHeight="1">
      <c r="A373" s="73"/>
      <c r="B373" s="73"/>
      <c r="C373" s="73"/>
      <c r="D373" s="73"/>
      <c r="E373" s="73"/>
      <c r="F373" s="72"/>
    </row>
    <row r="374" ht="14.25" customHeight="1">
      <c r="A374" s="73"/>
      <c r="B374" s="73"/>
      <c r="C374" s="73"/>
      <c r="D374" s="73"/>
      <c r="E374" s="73"/>
      <c r="F374" s="72"/>
    </row>
    <row r="375" ht="14.25" customHeight="1">
      <c r="A375" s="73"/>
      <c r="B375" s="73"/>
      <c r="C375" s="73"/>
      <c r="D375" s="73"/>
      <c r="E375" s="73"/>
      <c r="F375" s="72"/>
    </row>
    <row r="376" ht="14.25" customHeight="1">
      <c r="A376" s="73"/>
      <c r="B376" s="73"/>
      <c r="C376" s="73"/>
      <c r="D376" s="73"/>
      <c r="E376" s="73"/>
      <c r="F376" s="72"/>
    </row>
    <row r="377" ht="14.25" customHeight="1">
      <c r="A377" s="73"/>
      <c r="B377" s="73"/>
      <c r="C377" s="73"/>
      <c r="D377" s="73"/>
      <c r="E377" s="73"/>
      <c r="F377" s="72"/>
    </row>
    <row r="378" ht="14.25" customHeight="1">
      <c r="A378" s="73"/>
      <c r="B378" s="73"/>
      <c r="C378" s="73"/>
      <c r="D378" s="73"/>
      <c r="E378" s="73"/>
      <c r="F378" s="72"/>
    </row>
    <row r="379" ht="14.25" customHeight="1">
      <c r="A379" s="73"/>
      <c r="B379" s="73"/>
      <c r="C379" s="73"/>
      <c r="D379" s="73"/>
      <c r="E379" s="73"/>
      <c r="F379" s="72"/>
    </row>
    <row r="380" ht="14.25" customHeight="1">
      <c r="A380" s="73"/>
      <c r="B380" s="73"/>
      <c r="C380" s="73"/>
      <c r="D380" s="73"/>
      <c r="E380" s="73"/>
      <c r="F380" s="72"/>
    </row>
    <row r="381" ht="14.25" customHeight="1">
      <c r="A381" s="73"/>
      <c r="B381" s="73"/>
      <c r="C381" s="73"/>
      <c r="D381" s="73"/>
      <c r="E381" s="73"/>
      <c r="F381" s="72"/>
    </row>
    <row r="382" ht="14.25" customHeight="1">
      <c r="A382" s="73"/>
      <c r="B382" s="73"/>
      <c r="C382" s="73"/>
      <c r="D382" s="73"/>
      <c r="E382" s="73"/>
      <c r="F382" s="72"/>
    </row>
    <row r="383" ht="14.25" customHeight="1">
      <c r="A383" s="73"/>
      <c r="B383" s="73"/>
      <c r="C383" s="73"/>
      <c r="D383" s="73"/>
      <c r="E383" s="73"/>
      <c r="F383" s="72"/>
    </row>
    <row r="384" ht="14.25" customHeight="1">
      <c r="A384" s="73"/>
      <c r="B384" s="73"/>
      <c r="C384" s="73"/>
      <c r="D384" s="73"/>
      <c r="E384" s="73"/>
      <c r="F384" s="72"/>
    </row>
    <row r="385" ht="14.25" customHeight="1">
      <c r="A385" s="73"/>
      <c r="B385" s="73"/>
      <c r="C385" s="73"/>
      <c r="D385" s="73"/>
      <c r="E385" s="73"/>
      <c r="F385" s="72"/>
    </row>
    <row r="386" ht="14.25" customHeight="1">
      <c r="A386" s="73"/>
      <c r="B386" s="73"/>
      <c r="C386" s="73"/>
      <c r="D386" s="73"/>
      <c r="E386" s="73"/>
      <c r="F386" s="72"/>
    </row>
    <row r="387" ht="14.25" customHeight="1">
      <c r="A387" s="73"/>
      <c r="B387" s="73"/>
      <c r="C387" s="73"/>
      <c r="D387" s="73"/>
      <c r="E387" s="73"/>
      <c r="F387" s="72"/>
    </row>
    <row r="388" ht="14.25" customHeight="1">
      <c r="A388" s="73"/>
      <c r="B388" s="73"/>
      <c r="C388" s="73"/>
      <c r="D388" s="73"/>
      <c r="E388" s="73"/>
      <c r="F388" s="72"/>
    </row>
    <row r="389" ht="14.25" customHeight="1">
      <c r="A389" s="73"/>
      <c r="B389" s="73"/>
      <c r="C389" s="73"/>
      <c r="D389" s="73"/>
      <c r="E389" s="73"/>
      <c r="F389" s="72"/>
    </row>
    <row r="390" ht="14.25" customHeight="1">
      <c r="A390" s="73"/>
      <c r="B390" s="73"/>
      <c r="C390" s="73"/>
      <c r="D390" s="73"/>
      <c r="E390" s="73"/>
      <c r="F390" s="72"/>
    </row>
    <row r="391" ht="14.25" customHeight="1">
      <c r="A391" s="73"/>
      <c r="B391" s="73"/>
      <c r="C391" s="73"/>
      <c r="D391" s="73"/>
      <c r="E391" s="73"/>
      <c r="F391" s="72"/>
    </row>
    <row r="392" ht="14.25" customHeight="1">
      <c r="A392" s="73"/>
      <c r="B392" s="73"/>
      <c r="C392" s="73"/>
      <c r="D392" s="73"/>
      <c r="E392" s="73"/>
      <c r="F392" s="72"/>
    </row>
    <row r="393" ht="14.25" customHeight="1">
      <c r="A393" s="73"/>
      <c r="B393" s="73"/>
      <c r="C393" s="73"/>
      <c r="D393" s="73"/>
      <c r="E393" s="73"/>
      <c r="F393" s="72"/>
    </row>
    <row r="394" ht="14.25" customHeight="1">
      <c r="A394" s="73"/>
      <c r="B394" s="73"/>
      <c r="C394" s="73"/>
      <c r="D394" s="73"/>
      <c r="E394" s="73"/>
      <c r="F394" s="72"/>
    </row>
    <row r="395" ht="14.25" customHeight="1">
      <c r="A395" s="73"/>
      <c r="B395" s="73"/>
      <c r="C395" s="73"/>
      <c r="D395" s="73"/>
      <c r="E395" s="73"/>
      <c r="F395" s="72"/>
    </row>
    <row r="396" ht="14.25" customHeight="1">
      <c r="A396" s="73"/>
      <c r="B396" s="73"/>
      <c r="C396" s="73"/>
      <c r="D396" s="73"/>
      <c r="E396" s="73"/>
      <c r="F396" s="72"/>
    </row>
    <row r="397" ht="14.25" customHeight="1">
      <c r="A397" s="73"/>
      <c r="B397" s="73"/>
      <c r="C397" s="73"/>
      <c r="D397" s="73"/>
      <c r="E397" s="73"/>
      <c r="F397" s="72"/>
    </row>
    <row r="398" ht="14.25" customHeight="1">
      <c r="A398" s="73"/>
      <c r="B398" s="73"/>
      <c r="C398" s="73"/>
      <c r="D398" s="73"/>
      <c r="E398" s="73"/>
      <c r="F398" s="72"/>
    </row>
    <row r="399" ht="14.25" customHeight="1">
      <c r="A399" s="73"/>
      <c r="B399" s="73"/>
      <c r="C399" s="73"/>
      <c r="D399" s="73"/>
      <c r="E399" s="73"/>
      <c r="F399" s="72"/>
    </row>
    <row r="400" ht="14.25" customHeight="1">
      <c r="A400" s="73"/>
      <c r="B400" s="73"/>
      <c r="C400" s="73"/>
      <c r="D400" s="73"/>
      <c r="E400" s="73"/>
      <c r="F400" s="72"/>
    </row>
    <row r="401" ht="14.25" customHeight="1">
      <c r="A401" s="73"/>
      <c r="B401" s="73"/>
      <c r="C401" s="73"/>
      <c r="D401" s="73"/>
      <c r="E401" s="73"/>
      <c r="F401" s="72"/>
    </row>
    <row r="402" ht="14.25" customHeight="1">
      <c r="A402" s="73"/>
      <c r="B402" s="73"/>
      <c r="C402" s="73"/>
      <c r="D402" s="73"/>
      <c r="E402" s="73"/>
      <c r="F402" s="72"/>
    </row>
    <row r="403" ht="14.25" customHeight="1">
      <c r="A403" s="73"/>
      <c r="B403" s="73"/>
      <c r="C403" s="73"/>
      <c r="D403" s="73"/>
      <c r="E403" s="73"/>
      <c r="F403" s="72"/>
    </row>
    <row r="404" ht="14.25" customHeight="1">
      <c r="A404" s="73"/>
      <c r="B404" s="73"/>
      <c r="C404" s="73"/>
      <c r="D404" s="73"/>
      <c r="E404" s="73"/>
      <c r="F404" s="72"/>
    </row>
    <row r="405" ht="14.25" customHeight="1">
      <c r="A405" s="73"/>
      <c r="B405" s="73"/>
      <c r="C405" s="73"/>
      <c r="D405" s="73"/>
      <c r="E405" s="73"/>
      <c r="F405" s="72"/>
    </row>
    <row r="406" ht="14.25" customHeight="1">
      <c r="A406" s="73"/>
      <c r="B406" s="73"/>
      <c r="C406" s="73"/>
      <c r="D406" s="73"/>
      <c r="E406" s="73"/>
      <c r="F406" s="72"/>
    </row>
    <row r="407" ht="14.25" customHeight="1">
      <c r="A407" s="73"/>
      <c r="B407" s="73"/>
      <c r="C407" s="73"/>
      <c r="D407" s="73"/>
      <c r="E407" s="73"/>
      <c r="F407" s="72"/>
    </row>
    <row r="408" ht="14.25" customHeight="1">
      <c r="A408" s="73"/>
      <c r="B408" s="73"/>
      <c r="C408" s="73"/>
      <c r="D408" s="73"/>
      <c r="E408" s="73"/>
      <c r="F408" s="72"/>
    </row>
    <row r="409" ht="14.25" customHeight="1">
      <c r="A409" s="73"/>
      <c r="B409" s="73"/>
      <c r="C409" s="73"/>
      <c r="D409" s="73"/>
      <c r="E409" s="73"/>
      <c r="F409" s="72"/>
    </row>
    <row r="410" ht="14.25" customHeight="1">
      <c r="A410" s="73"/>
      <c r="B410" s="73"/>
      <c r="C410" s="73"/>
      <c r="D410" s="73"/>
      <c r="E410" s="73"/>
      <c r="F410" s="72"/>
    </row>
    <row r="411" ht="14.25" customHeight="1">
      <c r="A411" s="73"/>
      <c r="B411" s="73"/>
      <c r="C411" s="73"/>
      <c r="D411" s="73"/>
      <c r="E411" s="73"/>
      <c r="F411" s="72"/>
    </row>
    <row r="412" ht="14.25" customHeight="1">
      <c r="A412" s="73"/>
      <c r="B412" s="73"/>
      <c r="C412" s="73"/>
      <c r="D412" s="73"/>
      <c r="E412" s="73"/>
      <c r="F412" s="72"/>
    </row>
    <row r="413" ht="14.25" customHeight="1">
      <c r="A413" s="73"/>
      <c r="B413" s="73"/>
      <c r="C413" s="73"/>
      <c r="D413" s="73"/>
      <c r="E413" s="73"/>
      <c r="F413" s="72"/>
    </row>
    <row r="414" ht="14.25" customHeight="1">
      <c r="A414" s="73"/>
      <c r="B414" s="73"/>
      <c r="C414" s="73"/>
      <c r="D414" s="73"/>
      <c r="E414" s="73"/>
      <c r="F414" s="72"/>
    </row>
    <row r="415" ht="14.25" customHeight="1">
      <c r="A415" s="73"/>
      <c r="B415" s="73"/>
      <c r="C415" s="73"/>
      <c r="D415" s="73"/>
      <c r="E415" s="73"/>
      <c r="F415" s="72"/>
    </row>
    <row r="416" ht="14.25" customHeight="1">
      <c r="A416" s="73"/>
      <c r="B416" s="73"/>
      <c r="C416" s="73"/>
      <c r="D416" s="73"/>
      <c r="E416" s="73"/>
      <c r="F416" s="72"/>
    </row>
    <row r="417" ht="14.25" customHeight="1">
      <c r="A417" s="73"/>
      <c r="B417" s="73"/>
      <c r="C417" s="73"/>
      <c r="D417" s="73"/>
      <c r="E417" s="73"/>
      <c r="F417" s="72"/>
    </row>
    <row r="418" ht="14.25" customHeight="1">
      <c r="A418" s="73"/>
      <c r="B418" s="73"/>
      <c r="C418" s="73"/>
      <c r="D418" s="73"/>
      <c r="E418" s="73"/>
      <c r="F418" s="72"/>
    </row>
    <row r="419" ht="14.25" customHeight="1">
      <c r="A419" s="73"/>
      <c r="B419" s="73"/>
      <c r="C419" s="73"/>
      <c r="D419" s="73"/>
      <c r="E419" s="73"/>
      <c r="F419" s="72"/>
    </row>
    <row r="420" ht="14.25" customHeight="1">
      <c r="A420" s="73"/>
      <c r="B420" s="73"/>
      <c r="C420" s="73"/>
      <c r="D420" s="73"/>
      <c r="E420" s="73"/>
      <c r="F420" s="72"/>
    </row>
    <row r="421" ht="14.25" customHeight="1">
      <c r="A421" s="73"/>
      <c r="B421" s="73"/>
      <c r="C421" s="73"/>
      <c r="D421" s="73"/>
      <c r="E421" s="73"/>
      <c r="F421" s="72"/>
    </row>
    <row r="422" ht="14.25" customHeight="1">
      <c r="A422" s="73"/>
      <c r="B422" s="73"/>
      <c r="C422" s="73"/>
      <c r="D422" s="73"/>
      <c r="E422" s="73"/>
      <c r="F422" s="72"/>
    </row>
    <row r="423" ht="14.25" customHeight="1">
      <c r="A423" s="73"/>
      <c r="B423" s="73"/>
      <c r="C423" s="73"/>
      <c r="D423" s="73"/>
      <c r="E423" s="73"/>
      <c r="F423" s="72"/>
    </row>
    <row r="424" ht="14.25" customHeight="1">
      <c r="A424" s="73"/>
      <c r="B424" s="73"/>
      <c r="C424" s="73"/>
      <c r="D424" s="73"/>
      <c r="E424" s="73"/>
      <c r="F424" s="72"/>
    </row>
    <row r="425" ht="14.25" customHeight="1">
      <c r="A425" s="73"/>
      <c r="B425" s="73"/>
      <c r="C425" s="73"/>
      <c r="D425" s="73"/>
      <c r="E425" s="73"/>
      <c r="F425" s="72"/>
    </row>
    <row r="426" ht="14.25" customHeight="1">
      <c r="A426" s="73"/>
      <c r="B426" s="73"/>
      <c r="C426" s="73"/>
      <c r="D426" s="73"/>
      <c r="E426" s="73"/>
      <c r="F426" s="72"/>
    </row>
    <row r="427" ht="14.25" customHeight="1">
      <c r="A427" s="73"/>
      <c r="B427" s="73"/>
      <c r="C427" s="73"/>
      <c r="D427" s="73"/>
      <c r="E427" s="73"/>
      <c r="F427" s="72"/>
    </row>
    <row r="428" ht="14.25" customHeight="1">
      <c r="A428" s="73"/>
      <c r="B428" s="73"/>
      <c r="C428" s="73"/>
      <c r="D428" s="73"/>
      <c r="E428" s="73"/>
      <c r="F428" s="72"/>
    </row>
    <row r="429" ht="14.25" customHeight="1">
      <c r="A429" s="73"/>
      <c r="B429" s="73"/>
      <c r="C429" s="73"/>
      <c r="D429" s="73"/>
      <c r="E429" s="73"/>
      <c r="F429" s="72"/>
    </row>
    <row r="430" ht="14.25" customHeight="1">
      <c r="A430" s="73"/>
      <c r="B430" s="73"/>
      <c r="C430" s="73"/>
      <c r="D430" s="73"/>
      <c r="E430" s="73"/>
      <c r="F430" s="72"/>
    </row>
    <row r="431" ht="14.25" customHeight="1">
      <c r="A431" s="73"/>
      <c r="B431" s="73"/>
      <c r="C431" s="73"/>
      <c r="D431" s="73"/>
      <c r="E431" s="73"/>
      <c r="F431" s="72"/>
    </row>
    <row r="432" ht="14.25" customHeight="1">
      <c r="A432" s="73"/>
      <c r="B432" s="73"/>
      <c r="C432" s="73"/>
      <c r="D432" s="73"/>
      <c r="E432" s="73"/>
      <c r="F432" s="72"/>
    </row>
    <row r="433" ht="14.25" customHeight="1">
      <c r="A433" s="73"/>
      <c r="B433" s="73"/>
      <c r="C433" s="73"/>
      <c r="D433" s="73"/>
      <c r="E433" s="73"/>
      <c r="F433" s="72"/>
    </row>
    <row r="434" ht="14.25" customHeight="1">
      <c r="A434" s="73"/>
      <c r="B434" s="73"/>
      <c r="C434" s="73"/>
      <c r="D434" s="73"/>
      <c r="E434" s="73"/>
      <c r="F434" s="72"/>
    </row>
    <row r="435" ht="14.25" customHeight="1">
      <c r="A435" s="73"/>
      <c r="B435" s="73"/>
      <c r="C435" s="73"/>
      <c r="D435" s="73"/>
      <c r="E435" s="73"/>
      <c r="F435" s="72"/>
    </row>
    <row r="436" ht="14.25" customHeight="1">
      <c r="A436" s="73"/>
      <c r="B436" s="73"/>
      <c r="C436" s="73"/>
      <c r="D436" s="73"/>
      <c r="E436" s="73"/>
      <c r="F436" s="72"/>
    </row>
    <row r="437" ht="14.25" customHeight="1">
      <c r="A437" s="73"/>
      <c r="B437" s="73"/>
      <c r="C437" s="73"/>
      <c r="D437" s="73"/>
      <c r="E437" s="73"/>
      <c r="F437" s="72"/>
    </row>
    <row r="438" ht="14.25" customHeight="1">
      <c r="A438" s="73"/>
      <c r="B438" s="73"/>
      <c r="C438" s="73"/>
      <c r="D438" s="73"/>
      <c r="E438" s="73"/>
      <c r="F438" s="72"/>
    </row>
    <row r="439" ht="14.25" customHeight="1">
      <c r="A439" s="73"/>
      <c r="B439" s="73"/>
      <c r="C439" s="73"/>
      <c r="D439" s="73"/>
      <c r="E439" s="73"/>
      <c r="F439" s="72"/>
    </row>
    <row r="440" ht="14.25" customHeight="1">
      <c r="A440" s="73"/>
      <c r="B440" s="73"/>
      <c r="C440" s="73"/>
      <c r="D440" s="73"/>
      <c r="E440" s="73"/>
      <c r="F440" s="72"/>
    </row>
    <row r="441" ht="14.25" customHeight="1">
      <c r="A441" s="73"/>
      <c r="B441" s="73"/>
      <c r="C441" s="73"/>
      <c r="D441" s="73"/>
      <c r="E441" s="73"/>
      <c r="F441" s="72"/>
    </row>
    <row r="442" ht="14.25" customHeight="1">
      <c r="A442" s="73"/>
      <c r="B442" s="73"/>
      <c r="C442" s="73"/>
      <c r="D442" s="73"/>
      <c r="E442" s="73"/>
      <c r="F442" s="72"/>
    </row>
    <row r="443" ht="14.25" customHeight="1">
      <c r="A443" s="73"/>
      <c r="B443" s="73"/>
      <c r="C443" s="73"/>
      <c r="D443" s="73"/>
      <c r="E443" s="73"/>
      <c r="F443" s="72"/>
    </row>
    <row r="444" ht="14.25" customHeight="1">
      <c r="A444" s="73"/>
      <c r="B444" s="73"/>
      <c r="C444" s="73"/>
      <c r="D444" s="73"/>
      <c r="E444" s="73"/>
      <c r="F444" s="72"/>
    </row>
    <row r="445" ht="14.25" customHeight="1">
      <c r="A445" s="73"/>
      <c r="B445" s="73"/>
      <c r="C445" s="73"/>
      <c r="D445" s="73"/>
      <c r="E445" s="73"/>
      <c r="F445" s="72"/>
    </row>
    <row r="446" ht="14.25" customHeight="1">
      <c r="A446" s="73"/>
      <c r="B446" s="73"/>
      <c r="C446" s="73"/>
      <c r="D446" s="73"/>
      <c r="E446" s="73"/>
      <c r="F446" s="72"/>
    </row>
    <row r="447" ht="14.25" customHeight="1">
      <c r="A447" s="73"/>
      <c r="B447" s="73"/>
      <c r="C447" s="73"/>
      <c r="D447" s="73"/>
      <c r="E447" s="73"/>
      <c r="F447" s="72"/>
    </row>
    <row r="448" ht="14.25" customHeight="1">
      <c r="A448" s="73"/>
      <c r="B448" s="73"/>
      <c r="C448" s="73"/>
      <c r="D448" s="73"/>
      <c r="E448" s="73"/>
      <c r="F448" s="72"/>
    </row>
    <row r="449" ht="14.25" customHeight="1">
      <c r="A449" s="73"/>
      <c r="B449" s="73"/>
      <c r="C449" s="73"/>
      <c r="D449" s="73"/>
      <c r="E449" s="73"/>
      <c r="F449" s="72"/>
    </row>
    <row r="450" ht="14.25" customHeight="1">
      <c r="A450" s="73"/>
      <c r="B450" s="73"/>
      <c r="C450" s="73"/>
      <c r="D450" s="73"/>
      <c r="E450" s="73"/>
      <c r="F450" s="72"/>
    </row>
    <row r="451" ht="14.25" customHeight="1">
      <c r="A451" s="73"/>
      <c r="B451" s="73"/>
      <c r="C451" s="73"/>
      <c r="D451" s="73"/>
      <c r="E451" s="73"/>
      <c r="F451" s="72"/>
    </row>
    <row r="452" ht="14.25" customHeight="1">
      <c r="A452" s="73"/>
      <c r="B452" s="73"/>
      <c r="C452" s="73"/>
      <c r="D452" s="73"/>
      <c r="E452" s="73"/>
      <c r="F452" s="72"/>
    </row>
    <row r="453" ht="14.25" customHeight="1">
      <c r="A453" s="73"/>
      <c r="B453" s="73"/>
      <c r="C453" s="73"/>
      <c r="D453" s="73"/>
      <c r="E453" s="73"/>
      <c r="F453" s="72"/>
    </row>
    <row r="454" ht="14.25" customHeight="1">
      <c r="A454" s="73"/>
      <c r="B454" s="73"/>
      <c r="C454" s="73"/>
      <c r="D454" s="73"/>
      <c r="E454" s="73"/>
      <c r="F454" s="72"/>
    </row>
    <row r="455" ht="14.25" customHeight="1">
      <c r="A455" s="73"/>
      <c r="B455" s="73"/>
      <c r="C455" s="73"/>
      <c r="D455" s="73"/>
      <c r="E455" s="73"/>
      <c r="F455" s="72"/>
    </row>
    <row r="456" ht="14.25" customHeight="1">
      <c r="A456" s="73"/>
      <c r="B456" s="73"/>
      <c r="C456" s="73"/>
      <c r="D456" s="73"/>
      <c r="E456" s="73"/>
      <c r="F456" s="72"/>
    </row>
    <row r="457" ht="14.25" customHeight="1">
      <c r="A457" s="73"/>
      <c r="B457" s="73"/>
      <c r="C457" s="73"/>
      <c r="D457" s="73"/>
      <c r="E457" s="73"/>
      <c r="F457" s="72"/>
    </row>
    <row r="458" ht="14.25" customHeight="1">
      <c r="A458" s="73"/>
      <c r="B458" s="73"/>
      <c r="C458" s="73"/>
      <c r="D458" s="73"/>
      <c r="E458" s="73"/>
      <c r="F458" s="72"/>
    </row>
    <row r="459" ht="14.25" customHeight="1">
      <c r="A459" s="73"/>
      <c r="B459" s="73"/>
      <c r="C459" s="73"/>
      <c r="D459" s="73"/>
      <c r="E459" s="73"/>
      <c r="F459" s="72"/>
    </row>
    <row r="460" ht="14.25" customHeight="1">
      <c r="A460" s="73"/>
      <c r="B460" s="73"/>
      <c r="C460" s="73"/>
      <c r="D460" s="73"/>
      <c r="E460" s="73"/>
      <c r="F460" s="72"/>
    </row>
    <row r="461" ht="14.25" customHeight="1">
      <c r="A461" s="73"/>
      <c r="B461" s="73"/>
      <c r="C461" s="73"/>
      <c r="D461" s="73"/>
      <c r="E461" s="73"/>
      <c r="F461" s="72"/>
    </row>
    <row r="462" ht="14.25" customHeight="1">
      <c r="A462" s="73"/>
      <c r="B462" s="73"/>
      <c r="C462" s="73"/>
      <c r="D462" s="73"/>
      <c r="E462" s="73"/>
      <c r="F462" s="72"/>
    </row>
    <row r="463" ht="14.25" customHeight="1">
      <c r="A463" s="73"/>
      <c r="B463" s="73"/>
      <c r="C463" s="73"/>
      <c r="D463" s="73"/>
      <c r="E463" s="73"/>
      <c r="F463" s="72"/>
    </row>
    <row r="464" ht="14.25" customHeight="1">
      <c r="A464" s="73"/>
      <c r="B464" s="73"/>
      <c r="C464" s="73"/>
      <c r="D464" s="73"/>
      <c r="E464" s="73"/>
      <c r="F464" s="72"/>
    </row>
    <row r="465" ht="14.25" customHeight="1">
      <c r="A465" s="73"/>
      <c r="B465" s="73"/>
      <c r="C465" s="73"/>
      <c r="D465" s="73"/>
      <c r="E465" s="73"/>
      <c r="F465" s="72"/>
    </row>
    <row r="466" ht="14.25" customHeight="1">
      <c r="A466" s="73"/>
      <c r="B466" s="73"/>
      <c r="C466" s="73"/>
      <c r="D466" s="73"/>
      <c r="E466" s="73"/>
      <c r="F466" s="72"/>
    </row>
    <row r="467" ht="14.25" customHeight="1">
      <c r="A467" s="73"/>
      <c r="B467" s="73"/>
      <c r="C467" s="73"/>
      <c r="D467" s="73"/>
      <c r="E467" s="73"/>
      <c r="F467" s="72"/>
    </row>
    <row r="468" ht="14.25" customHeight="1">
      <c r="A468" s="73"/>
      <c r="B468" s="73"/>
      <c r="C468" s="73"/>
      <c r="D468" s="73"/>
      <c r="E468" s="73"/>
      <c r="F468" s="72"/>
    </row>
    <row r="469" ht="14.25" customHeight="1">
      <c r="A469" s="73"/>
      <c r="B469" s="73"/>
      <c r="C469" s="73"/>
      <c r="D469" s="73"/>
      <c r="E469" s="73"/>
      <c r="F469" s="72"/>
    </row>
    <row r="470" ht="14.25" customHeight="1">
      <c r="A470" s="73"/>
      <c r="B470" s="73"/>
      <c r="C470" s="73"/>
      <c r="D470" s="73"/>
      <c r="E470" s="73"/>
      <c r="F470" s="72"/>
    </row>
    <row r="471" ht="14.25" customHeight="1">
      <c r="A471" s="73"/>
      <c r="B471" s="73"/>
      <c r="C471" s="73"/>
      <c r="D471" s="73"/>
      <c r="E471" s="73"/>
      <c r="F471" s="72"/>
    </row>
    <row r="472" ht="14.25" customHeight="1">
      <c r="A472" s="73"/>
      <c r="B472" s="73"/>
      <c r="C472" s="73"/>
      <c r="D472" s="73"/>
      <c r="E472" s="73"/>
      <c r="F472" s="72"/>
    </row>
    <row r="473" ht="14.25" customHeight="1">
      <c r="A473" s="73"/>
      <c r="B473" s="73"/>
      <c r="C473" s="73"/>
      <c r="D473" s="73"/>
      <c r="E473" s="73"/>
      <c r="F473" s="72"/>
    </row>
    <row r="474" ht="14.25" customHeight="1">
      <c r="A474" s="73"/>
      <c r="B474" s="73"/>
      <c r="C474" s="73"/>
      <c r="D474" s="73"/>
      <c r="E474" s="73"/>
      <c r="F474" s="72"/>
    </row>
    <row r="475" ht="14.25" customHeight="1">
      <c r="A475" s="73"/>
      <c r="B475" s="73"/>
      <c r="C475" s="73"/>
      <c r="D475" s="73"/>
      <c r="E475" s="73"/>
      <c r="F475" s="72"/>
    </row>
    <row r="476" ht="14.25" customHeight="1">
      <c r="A476" s="73"/>
      <c r="B476" s="73"/>
      <c r="C476" s="73"/>
      <c r="D476" s="73"/>
      <c r="E476" s="73"/>
      <c r="F476" s="72"/>
    </row>
    <row r="477" ht="14.25" customHeight="1">
      <c r="A477" s="73"/>
      <c r="B477" s="73"/>
      <c r="C477" s="73"/>
      <c r="D477" s="73"/>
      <c r="E477" s="73"/>
      <c r="F477" s="72"/>
    </row>
    <row r="478" ht="14.25" customHeight="1">
      <c r="A478" s="73"/>
      <c r="B478" s="73"/>
      <c r="C478" s="73"/>
      <c r="D478" s="73"/>
      <c r="E478" s="73"/>
      <c r="F478" s="72"/>
    </row>
    <row r="479" ht="14.25" customHeight="1">
      <c r="A479" s="73"/>
      <c r="B479" s="73"/>
      <c r="C479" s="73"/>
      <c r="D479" s="73"/>
      <c r="E479" s="73"/>
      <c r="F479" s="72"/>
    </row>
    <row r="480" ht="14.25" customHeight="1">
      <c r="A480" s="73"/>
      <c r="B480" s="73"/>
      <c r="C480" s="73"/>
      <c r="D480" s="73"/>
      <c r="E480" s="73"/>
      <c r="F480" s="72"/>
    </row>
    <row r="481" ht="14.25" customHeight="1">
      <c r="A481" s="73"/>
      <c r="B481" s="73"/>
      <c r="C481" s="73"/>
      <c r="D481" s="73"/>
      <c r="E481" s="73"/>
      <c r="F481" s="72"/>
    </row>
    <row r="482" ht="14.25" customHeight="1">
      <c r="A482" s="73"/>
      <c r="B482" s="73"/>
      <c r="C482" s="73"/>
      <c r="D482" s="73"/>
      <c r="E482" s="73"/>
      <c r="F482" s="72"/>
    </row>
    <row r="483" ht="14.25" customHeight="1">
      <c r="A483" s="73"/>
      <c r="B483" s="73"/>
      <c r="C483" s="73"/>
      <c r="D483" s="73"/>
      <c r="E483" s="73"/>
      <c r="F483" s="72"/>
    </row>
    <row r="484" ht="14.25" customHeight="1">
      <c r="A484" s="73"/>
      <c r="B484" s="73"/>
      <c r="C484" s="73"/>
      <c r="D484" s="73"/>
      <c r="E484" s="73"/>
      <c r="F484" s="72"/>
    </row>
    <row r="485" ht="14.25" customHeight="1">
      <c r="A485" s="73"/>
      <c r="B485" s="73"/>
      <c r="C485" s="73"/>
      <c r="D485" s="73"/>
      <c r="E485" s="73"/>
      <c r="F485" s="72"/>
    </row>
    <row r="486" ht="14.25" customHeight="1">
      <c r="A486" s="73"/>
      <c r="B486" s="73"/>
      <c r="C486" s="73"/>
      <c r="D486" s="73"/>
      <c r="E486" s="73"/>
      <c r="F486" s="72"/>
    </row>
    <row r="487" ht="14.25" customHeight="1">
      <c r="A487" s="73"/>
      <c r="B487" s="73"/>
      <c r="C487" s="73"/>
      <c r="D487" s="73"/>
      <c r="E487" s="73"/>
      <c r="F487" s="72"/>
    </row>
    <row r="488" ht="14.25" customHeight="1">
      <c r="A488" s="73"/>
      <c r="B488" s="73"/>
      <c r="C488" s="73"/>
      <c r="D488" s="73"/>
      <c r="E488" s="73"/>
      <c r="F488" s="72"/>
    </row>
    <row r="489" ht="14.25" customHeight="1">
      <c r="A489" s="73"/>
      <c r="B489" s="73"/>
      <c r="C489" s="73"/>
      <c r="D489" s="73"/>
      <c r="E489" s="73"/>
      <c r="F489" s="72"/>
    </row>
    <row r="490" ht="14.25" customHeight="1">
      <c r="A490" s="73"/>
      <c r="B490" s="73"/>
      <c r="C490" s="73"/>
      <c r="D490" s="73"/>
      <c r="E490" s="73"/>
      <c r="F490" s="72"/>
    </row>
    <row r="491" ht="14.25" customHeight="1">
      <c r="A491" s="73"/>
      <c r="B491" s="73"/>
      <c r="C491" s="73"/>
      <c r="D491" s="73"/>
      <c r="E491" s="73"/>
      <c r="F491" s="72"/>
    </row>
    <row r="492" ht="14.25" customHeight="1">
      <c r="A492" s="73"/>
      <c r="B492" s="73"/>
      <c r="C492" s="73"/>
      <c r="D492" s="73"/>
      <c r="E492" s="73"/>
      <c r="F492" s="72"/>
    </row>
    <row r="493" ht="14.25" customHeight="1">
      <c r="A493" s="73"/>
      <c r="B493" s="73"/>
      <c r="C493" s="73"/>
      <c r="D493" s="73"/>
      <c r="E493" s="73"/>
      <c r="F493" s="72"/>
    </row>
    <row r="494" ht="14.25" customHeight="1">
      <c r="A494" s="73"/>
      <c r="B494" s="73"/>
      <c r="C494" s="73"/>
      <c r="D494" s="73"/>
      <c r="E494" s="73"/>
      <c r="F494" s="72"/>
    </row>
    <row r="495" ht="14.25" customHeight="1">
      <c r="A495" s="73"/>
      <c r="B495" s="73"/>
      <c r="C495" s="73"/>
      <c r="D495" s="73"/>
      <c r="E495" s="73"/>
      <c r="F495" s="72"/>
    </row>
    <row r="496" ht="14.25" customHeight="1">
      <c r="A496" s="73"/>
      <c r="B496" s="73"/>
      <c r="C496" s="73"/>
      <c r="D496" s="73"/>
      <c r="E496" s="73"/>
      <c r="F496" s="72"/>
    </row>
    <row r="497" ht="14.25" customHeight="1">
      <c r="A497" s="73"/>
      <c r="B497" s="73"/>
      <c r="C497" s="73"/>
      <c r="D497" s="73"/>
      <c r="E497" s="73"/>
      <c r="F497" s="72"/>
    </row>
    <row r="498" ht="14.25" customHeight="1">
      <c r="A498" s="73"/>
      <c r="B498" s="73"/>
      <c r="C498" s="73"/>
      <c r="D498" s="73"/>
      <c r="E498" s="73"/>
      <c r="F498" s="72"/>
    </row>
    <row r="499" ht="14.25" customHeight="1">
      <c r="A499" s="73"/>
      <c r="B499" s="73"/>
      <c r="C499" s="73"/>
      <c r="D499" s="73"/>
      <c r="E499" s="73"/>
      <c r="F499" s="72"/>
    </row>
    <row r="500" ht="14.25" customHeight="1">
      <c r="A500" s="73"/>
      <c r="B500" s="73"/>
      <c r="C500" s="73"/>
      <c r="D500" s="73"/>
      <c r="E500" s="73"/>
      <c r="F500" s="72"/>
    </row>
    <row r="501" ht="14.25" customHeight="1">
      <c r="A501" s="73"/>
      <c r="B501" s="73"/>
      <c r="C501" s="73"/>
      <c r="D501" s="73"/>
      <c r="E501" s="73"/>
      <c r="F501" s="72"/>
    </row>
    <row r="502" ht="14.25" customHeight="1">
      <c r="A502" s="73"/>
      <c r="B502" s="73"/>
      <c r="C502" s="73"/>
      <c r="D502" s="73"/>
      <c r="E502" s="73"/>
      <c r="F502" s="72"/>
    </row>
    <row r="503" ht="14.25" customHeight="1">
      <c r="A503" s="73"/>
      <c r="B503" s="73"/>
      <c r="C503" s="73"/>
      <c r="D503" s="73"/>
      <c r="E503" s="73"/>
      <c r="F503" s="72"/>
    </row>
    <row r="504" ht="14.25" customHeight="1">
      <c r="A504" s="73"/>
      <c r="B504" s="73"/>
      <c r="C504" s="73"/>
      <c r="D504" s="73"/>
      <c r="E504" s="73"/>
      <c r="F504" s="72"/>
    </row>
    <row r="505" ht="14.25" customHeight="1">
      <c r="A505" s="73"/>
      <c r="B505" s="73"/>
      <c r="C505" s="73"/>
      <c r="D505" s="73"/>
      <c r="E505" s="73"/>
      <c r="F505" s="72"/>
    </row>
    <row r="506" ht="14.25" customHeight="1">
      <c r="A506" s="73"/>
      <c r="B506" s="73"/>
      <c r="C506" s="73"/>
      <c r="D506" s="73"/>
      <c r="E506" s="73"/>
      <c r="F506" s="72"/>
    </row>
    <row r="507" ht="14.25" customHeight="1">
      <c r="A507" s="73"/>
      <c r="B507" s="73"/>
      <c r="C507" s="73"/>
      <c r="D507" s="73"/>
      <c r="E507" s="73"/>
      <c r="F507" s="72"/>
    </row>
    <row r="508" ht="14.25" customHeight="1">
      <c r="A508" s="73"/>
      <c r="B508" s="73"/>
      <c r="C508" s="73"/>
      <c r="D508" s="73"/>
      <c r="E508" s="73"/>
      <c r="F508" s="72"/>
    </row>
    <row r="509" ht="14.25" customHeight="1">
      <c r="A509" s="73"/>
      <c r="B509" s="73"/>
      <c r="C509" s="73"/>
      <c r="D509" s="73"/>
      <c r="E509" s="73"/>
      <c r="F509" s="72"/>
    </row>
    <row r="510" ht="14.25" customHeight="1">
      <c r="A510" s="73"/>
      <c r="B510" s="73"/>
      <c r="C510" s="73"/>
      <c r="D510" s="73"/>
      <c r="E510" s="73"/>
      <c r="F510" s="72"/>
    </row>
    <row r="511" ht="14.25" customHeight="1">
      <c r="A511" s="73"/>
      <c r="B511" s="73"/>
      <c r="C511" s="73"/>
      <c r="D511" s="73"/>
      <c r="E511" s="73"/>
      <c r="F511" s="72"/>
    </row>
    <row r="512" ht="14.25" customHeight="1">
      <c r="A512" s="73"/>
      <c r="B512" s="73"/>
      <c r="C512" s="73"/>
      <c r="D512" s="73"/>
      <c r="E512" s="73"/>
      <c r="F512" s="72"/>
    </row>
    <row r="513" ht="14.25" customHeight="1">
      <c r="A513" s="73"/>
      <c r="B513" s="73"/>
      <c r="C513" s="73"/>
      <c r="D513" s="73"/>
      <c r="E513" s="73"/>
      <c r="F513" s="72"/>
    </row>
    <row r="514" ht="14.25" customHeight="1">
      <c r="A514" s="73"/>
      <c r="B514" s="73"/>
      <c r="C514" s="73"/>
      <c r="D514" s="73"/>
      <c r="E514" s="73"/>
      <c r="F514" s="72"/>
    </row>
    <row r="515" ht="14.25" customHeight="1">
      <c r="A515" s="73"/>
      <c r="B515" s="73"/>
      <c r="C515" s="73"/>
      <c r="D515" s="73"/>
      <c r="E515" s="73"/>
      <c r="F515" s="72"/>
    </row>
    <row r="516" ht="14.25" customHeight="1">
      <c r="A516" s="73"/>
      <c r="B516" s="73"/>
      <c r="C516" s="73"/>
      <c r="D516" s="73"/>
      <c r="E516" s="73"/>
      <c r="F516" s="72"/>
    </row>
    <row r="517" ht="14.25" customHeight="1">
      <c r="A517" s="73"/>
      <c r="B517" s="73"/>
      <c r="C517" s="73"/>
      <c r="D517" s="73"/>
      <c r="E517" s="73"/>
      <c r="F517" s="72"/>
    </row>
    <row r="518" ht="14.25" customHeight="1">
      <c r="A518" s="73"/>
      <c r="B518" s="73"/>
      <c r="C518" s="73"/>
      <c r="D518" s="73"/>
      <c r="E518" s="73"/>
      <c r="F518" s="72"/>
    </row>
    <row r="519" ht="14.25" customHeight="1">
      <c r="A519" s="73"/>
      <c r="B519" s="73"/>
      <c r="C519" s="73"/>
      <c r="D519" s="73"/>
      <c r="E519" s="73"/>
      <c r="F519" s="72"/>
    </row>
    <row r="520" ht="14.25" customHeight="1">
      <c r="A520" s="73"/>
      <c r="B520" s="73"/>
      <c r="C520" s="73"/>
      <c r="D520" s="73"/>
      <c r="E520" s="73"/>
      <c r="F520" s="72"/>
    </row>
    <row r="521" ht="14.25" customHeight="1">
      <c r="A521" s="73"/>
      <c r="B521" s="73"/>
      <c r="C521" s="73"/>
      <c r="D521" s="73"/>
      <c r="E521" s="73"/>
      <c r="F521" s="72"/>
    </row>
    <row r="522" ht="14.25" customHeight="1">
      <c r="A522" s="73"/>
      <c r="B522" s="73"/>
      <c r="C522" s="73"/>
      <c r="D522" s="73"/>
      <c r="E522" s="73"/>
      <c r="F522" s="72"/>
    </row>
    <row r="523" ht="14.25" customHeight="1">
      <c r="A523" s="73"/>
      <c r="B523" s="73"/>
      <c r="C523" s="73"/>
      <c r="D523" s="73"/>
      <c r="E523" s="73"/>
      <c r="F523" s="72"/>
    </row>
    <row r="524" ht="14.25" customHeight="1">
      <c r="A524" s="73"/>
      <c r="B524" s="73"/>
      <c r="C524" s="73"/>
      <c r="D524" s="73"/>
      <c r="E524" s="73"/>
      <c r="F524" s="72"/>
    </row>
    <row r="525" ht="14.25" customHeight="1">
      <c r="A525" s="73"/>
      <c r="B525" s="73"/>
      <c r="C525" s="73"/>
      <c r="D525" s="73"/>
      <c r="E525" s="73"/>
      <c r="F525" s="72"/>
    </row>
    <row r="526" ht="14.25" customHeight="1">
      <c r="A526" s="73"/>
      <c r="B526" s="73"/>
      <c r="C526" s="73"/>
      <c r="D526" s="73"/>
      <c r="E526" s="73"/>
      <c r="F526" s="72"/>
    </row>
    <row r="527" ht="14.25" customHeight="1">
      <c r="A527" s="73"/>
      <c r="B527" s="73"/>
      <c r="C527" s="73"/>
      <c r="D527" s="73"/>
      <c r="E527" s="73"/>
      <c r="F527" s="72"/>
    </row>
    <row r="528" ht="14.25" customHeight="1">
      <c r="A528" s="73"/>
      <c r="B528" s="73"/>
      <c r="C528" s="73"/>
      <c r="D528" s="73"/>
      <c r="E528" s="73"/>
      <c r="F528" s="72"/>
    </row>
    <row r="529" ht="14.25" customHeight="1">
      <c r="A529" s="73"/>
      <c r="B529" s="73"/>
      <c r="C529" s="73"/>
      <c r="D529" s="73"/>
      <c r="E529" s="73"/>
      <c r="F529" s="72"/>
    </row>
    <row r="530" ht="14.25" customHeight="1">
      <c r="A530" s="73"/>
      <c r="B530" s="73"/>
      <c r="C530" s="73"/>
      <c r="D530" s="73"/>
      <c r="E530" s="73"/>
      <c r="F530" s="72"/>
    </row>
    <row r="531" ht="14.25" customHeight="1">
      <c r="A531" s="73"/>
      <c r="B531" s="73"/>
      <c r="C531" s="73"/>
      <c r="D531" s="73"/>
      <c r="E531" s="73"/>
      <c r="F531" s="72"/>
    </row>
    <row r="532" ht="14.25" customHeight="1">
      <c r="A532" s="73"/>
      <c r="B532" s="73"/>
      <c r="C532" s="73"/>
      <c r="D532" s="73"/>
      <c r="E532" s="73"/>
      <c r="F532" s="72"/>
    </row>
    <row r="533" ht="14.25" customHeight="1">
      <c r="A533" s="73"/>
      <c r="B533" s="73"/>
      <c r="C533" s="73"/>
      <c r="D533" s="73"/>
      <c r="E533" s="73"/>
      <c r="F533" s="72"/>
    </row>
    <row r="534" ht="14.25" customHeight="1">
      <c r="A534" s="73"/>
      <c r="B534" s="73"/>
      <c r="C534" s="73"/>
      <c r="D534" s="73"/>
      <c r="E534" s="73"/>
      <c r="F534" s="72"/>
    </row>
    <row r="535" ht="14.25" customHeight="1">
      <c r="A535" s="73"/>
      <c r="B535" s="73"/>
      <c r="C535" s="73"/>
      <c r="D535" s="73"/>
      <c r="E535" s="73"/>
      <c r="F535" s="72"/>
    </row>
    <row r="536" ht="14.25" customHeight="1">
      <c r="A536" s="73"/>
      <c r="B536" s="73"/>
      <c r="C536" s="73"/>
      <c r="D536" s="73"/>
      <c r="E536" s="73"/>
      <c r="F536" s="72"/>
    </row>
    <row r="537" ht="14.25" customHeight="1">
      <c r="A537" s="73"/>
      <c r="B537" s="73"/>
      <c r="C537" s="73"/>
      <c r="D537" s="73"/>
      <c r="E537" s="73"/>
      <c r="F537" s="72"/>
    </row>
    <row r="538" ht="14.25" customHeight="1">
      <c r="A538" s="73"/>
      <c r="B538" s="73"/>
      <c r="C538" s="73"/>
      <c r="D538" s="73"/>
      <c r="E538" s="73"/>
      <c r="F538" s="72"/>
    </row>
    <row r="539" ht="14.25" customHeight="1">
      <c r="A539" s="73"/>
      <c r="B539" s="73"/>
      <c r="C539" s="73"/>
      <c r="D539" s="73"/>
      <c r="E539" s="73"/>
      <c r="F539" s="72"/>
    </row>
    <row r="540" ht="14.25" customHeight="1">
      <c r="A540" s="73"/>
      <c r="B540" s="73"/>
      <c r="C540" s="73"/>
      <c r="D540" s="73"/>
      <c r="E540" s="73"/>
      <c r="F540" s="72"/>
    </row>
    <row r="541" ht="14.25" customHeight="1">
      <c r="A541" s="73"/>
      <c r="B541" s="73"/>
      <c r="C541" s="73"/>
      <c r="D541" s="73"/>
      <c r="E541" s="73"/>
      <c r="F541" s="72"/>
    </row>
    <row r="542" ht="14.25" customHeight="1">
      <c r="A542" s="73"/>
      <c r="B542" s="73"/>
      <c r="C542" s="73"/>
      <c r="D542" s="73"/>
      <c r="E542" s="73"/>
      <c r="F542" s="72"/>
    </row>
    <row r="543" ht="14.25" customHeight="1">
      <c r="A543" s="73"/>
      <c r="B543" s="73"/>
      <c r="C543" s="73"/>
      <c r="D543" s="73"/>
      <c r="E543" s="73"/>
      <c r="F543" s="72"/>
    </row>
    <row r="544" ht="14.25" customHeight="1">
      <c r="A544" s="73"/>
      <c r="B544" s="73"/>
      <c r="C544" s="73"/>
      <c r="D544" s="73"/>
      <c r="E544" s="73"/>
      <c r="F544" s="72"/>
    </row>
    <row r="545" ht="14.25" customHeight="1">
      <c r="A545" s="73"/>
      <c r="B545" s="73"/>
      <c r="C545" s="73"/>
      <c r="D545" s="73"/>
      <c r="E545" s="73"/>
      <c r="F545" s="72"/>
    </row>
    <row r="546" ht="14.25" customHeight="1">
      <c r="A546" s="73"/>
      <c r="B546" s="73"/>
      <c r="C546" s="73"/>
      <c r="D546" s="73"/>
      <c r="E546" s="73"/>
      <c r="F546" s="72"/>
    </row>
    <row r="547" ht="14.25" customHeight="1">
      <c r="A547" s="73"/>
      <c r="B547" s="73"/>
      <c r="C547" s="73"/>
      <c r="D547" s="73"/>
      <c r="E547" s="73"/>
      <c r="F547" s="72"/>
    </row>
    <row r="548" ht="14.25" customHeight="1">
      <c r="A548" s="73"/>
      <c r="B548" s="73"/>
      <c r="C548" s="73"/>
      <c r="D548" s="73"/>
      <c r="E548" s="73"/>
      <c r="F548" s="72"/>
    </row>
    <row r="549" ht="14.25" customHeight="1">
      <c r="A549" s="73"/>
      <c r="B549" s="73"/>
      <c r="C549" s="73"/>
      <c r="D549" s="73"/>
      <c r="E549" s="73"/>
      <c r="F549" s="72"/>
    </row>
    <row r="550" ht="14.25" customHeight="1">
      <c r="A550" s="73"/>
      <c r="B550" s="73"/>
      <c r="C550" s="73"/>
      <c r="D550" s="73"/>
      <c r="E550" s="73"/>
      <c r="F550" s="72"/>
    </row>
    <row r="551" ht="14.25" customHeight="1">
      <c r="A551" s="73"/>
      <c r="B551" s="73"/>
      <c r="C551" s="73"/>
      <c r="D551" s="73"/>
      <c r="E551" s="73"/>
      <c r="F551" s="72"/>
    </row>
    <row r="552" ht="14.25" customHeight="1">
      <c r="A552" s="73"/>
      <c r="B552" s="73"/>
      <c r="C552" s="73"/>
      <c r="D552" s="73"/>
      <c r="E552" s="73"/>
      <c r="F552" s="72"/>
    </row>
    <row r="553" ht="14.25" customHeight="1">
      <c r="A553" s="73"/>
      <c r="B553" s="73"/>
      <c r="C553" s="73"/>
      <c r="D553" s="73"/>
      <c r="E553" s="73"/>
      <c r="F553" s="72"/>
    </row>
    <row r="554" ht="14.25" customHeight="1">
      <c r="A554" s="73"/>
      <c r="B554" s="73"/>
      <c r="C554" s="73"/>
      <c r="D554" s="73"/>
      <c r="E554" s="73"/>
      <c r="F554" s="72"/>
    </row>
    <row r="555" ht="14.25" customHeight="1">
      <c r="A555" s="73"/>
      <c r="B555" s="73"/>
      <c r="C555" s="73"/>
      <c r="D555" s="73"/>
      <c r="E555" s="73"/>
      <c r="F555" s="72"/>
    </row>
    <row r="556" ht="14.25" customHeight="1">
      <c r="A556" s="73"/>
      <c r="B556" s="73"/>
      <c r="C556" s="73"/>
      <c r="D556" s="73"/>
      <c r="E556" s="73"/>
      <c r="F556" s="72"/>
    </row>
    <row r="557" ht="14.25" customHeight="1">
      <c r="A557" s="73"/>
      <c r="B557" s="73"/>
      <c r="C557" s="73"/>
      <c r="D557" s="73"/>
      <c r="E557" s="73"/>
      <c r="F557" s="72"/>
    </row>
    <row r="558" ht="14.25" customHeight="1">
      <c r="A558" s="73"/>
      <c r="B558" s="73"/>
      <c r="C558" s="73"/>
      <c r="D558" s="73"/>
      <c r="E558" s="73"/>
      <c r="F558" s="72"/>
    </row>
    <row r="559" ht="14.25" customHeight="1">
      <c r="A559" s="73"/>
      <c r="B559" s="73"/>
      <c r="C559" s="73"/>
      <c r="D559" s="73"/>
      <c r="E559" s="73"/>
      <c r="F559" s="72"/>
    </row>
    <row r="560" ht="14.25" customHeight="1">
      <c r="A560" s="73"/>
      <c r="B560" s="73"/>
      <c r="C560" s="73"/>
      <c r="D560" s="73"/>
      <c r="E560" s="73"/>
      <c r="F560" s="72"/>
    </row>
    <row r="561" ht="14.25" customHeight="1">
      <c r="A561" s="73"/>
      <c r="B561" s="73"/>
      <c r="C561" s="73"/>
      <c r="D561" s="73"/>
      <c r="E561" s="73"/>
      <c r="F561" s="72"/>
    </row>
    <row r="562" ht="14.25" customHeight="1">
      <c r="A562" s="73"/>
      <c r="B562" s="73"/>
      <c r="C562" s="73"/>
      <c r="D562" s="73"/>
      <c r="E562" s="73"/>
      <c r="F562" s="72"/>
    </row>
    <row r="563" ht="14.25" customHeight="1">
      <c r="A563" s="73"/>
      <c r="B563" s="73"/>
      <c r="C563" s="73"/>
      <c r="D563" s="73"/>
      <c r="E563" s="73"/>
      <c r="F563" s="72"/>
    </row>
    <row r="564" ht="14.25" customHeight="1">
      <c r="A564" s="73"/>
      <c r="B564" s="73"/>
      <c r="C564" s="73"/>
      <c r="D564" s="73"/>
      <c r="E564" s="73"/>
      <c r="F564" s="72"/>
    </row>
    <row r="565" ht="14.25" customHeight="1">
      <c r="A565" s="73"/>
      <c r="B565" s="73"/>
      <c r="C565" s="73"/>
      <c r="D565" s="73"/>
      <c r="E565" s="73"/>
      <c r="F565" s="72"/>
    </row>
    <row r="566" ht="14.25" customHeight="1">
      <c r="A566" s="73"/>
      <c r="B566" s="73"/>
      <c r="C566" s="73"/>
      <c r="D566" s="73"/>
      <c r="E566" s="73"/>
      <c r="F566" s="72"/>
    </row>
    <row r="567" ht="14.25" customHeight="1">
      <c r="A567" s="73"/>
      <c r="B567" s="73"/>
      <c r="C567" s="73"/>
      <c r="D567" s="73"/>
      <c r="E567" s="73"/>
      <c r="F567" s="72"/>
    </row>
    <row r="568" ht="14.25" customHeight="1">
      <c r="A568" s="73"/>
      <c r="B568" s="73"/>
      <c r="C568" s="73"/>
      <c r="D568" s="73"/>
      <c r="E568" s="73"/>
      <c r="F568" s="72"/>
    </row>
    <row r="569" ht="14.25" customHeight="1">
      <c r="A569" s="73"/>
      <c r="B569" s="73"/>
      <c r="C569" s="73"/>
      <c r="D569" s="73"/>
      <c r="E569" s="73"/>
      <c r="F569" s="72"/>
    </row>
    <row r="570" ht="14.25" customHeight="1">
      <c r="A570" s="73"/>
      <c r="B570" s="73"/>
      <c r="C570" s="73"/>
      <c r="D570" s="73"/>
      <c r="E570" s="73"/>
      <c r="F570" s="72"/>
    </row>
    <row r="571" ht="14.25" customHeight="1">
      <c r="A571" s="73"/>
      <c r="B571" s="73"/>
      <c r="C571" s="73"/>
      <c r="D571" s="73"/>
      <c r="E571" s="73"/>
      <c r="F571" s="72"/>
    </row>
    <row r="572" ht="14.25" customHeight="1">
      <c r="A572" s="73"/>
      <c r="B572" s="73"/>
      <c r="C572" s="73"/>
      <c r="D572" s="73"/>
      <c r="E572" s="73"/>
      <c r="F572" s="72"/>
    </row>
    <row r="573" ht="14.25" customHeight="1">
      <c r="A573" s="73"/>
      <c r="B573" s="73"/>
      <c r="C573" s="73"/>
      <c r="D573" s="73"/>
      <c r="E573" s="73"/>
      <c r="F573" s="72"/>
    </row>
    <row r="574" ht="14.25" customHeight="1">
      <c r="A574" s="73"/>
      <c r="B574" s="73"/>
      <c r="C574" s="73"/>
      <c r="D574" s="73"/>
      <c r="E574" s="73"/>
      <c r="F574" s="72"/>
    </row>
    <row r="575" ht="14.25" customHeight="1">
      <c r="A575" s="73"/>
      <c r="B575" s="73"/>
      <c r="C575" s="73"/>
      <c r="D575" s="73"/>
      <c r="E575" s="73"/>
      <c r="F575" s="72"/>
    </row>
    <row r="576" ht="14.25" customHeight="1">
      <c r="A576" s="73"/>
      <c r="B576" s="73"/>
      <c r="C576" s="73"/>
      <c r="D576" s="73"/>
      <c r="E576" s="73"/>
      <c r="F576" s="72"/>
    </row>
    <row r="577" ht="14.25" customHeight="1">
      <c r="A577" s="73"/>
      <c r="B577" s="73"/>
      <c r="C577" s="73"/>
      <c r="D577" s="73"/>
      <c r="E577" s="73"/>
      <c r="F577" s="72"/>
    </row>
    <row r="578" ht="14.25" customHeight="1">
      <c r="A578" s="73"/>
      <c r="B578" s="73"/>
      <c r="C578" s="73"/>
      <c r="D578" s="73"/>
      <c r="E578" s="73"/>
      <c r="F578" s="72"/>
    </row>
    <row r="579" ht="14.25" customHeight="1">
      <c r="A579" s="73"/>
      <c r="B579" s="73"/>
      <c r="C579" s="73"/>
      <c r="D579" s="73"/>
      <c r="E579" s="73"/>
      <c r="F579" s="72"/>
    </row>
    <row r="580" ht="14.25" customHeight="1">
      <c r="A580" s="73"/>
      <c r="B580" s="73"/>
      <c r="C580" s="73"/>
      <c r="D580" s="73"/>
      <c r="E580" s="73"/>
      <c r="F580" s="72"/>
    </row>
    <row r="581" ht="14.25" customHeight="1">
      <c r="A581" s="73"/>
      <c r="B581" s="73"/>
      <c r="C581" s="73"/>
      <c r="D581" s="73"/>
      <c r="E581" s="73"/>
      <c r="F581" s="72"/>
    </row>
    <row r="582" ht="14.25" customHeight="1">
      <c r="A582" s="73"/>
      <c r="B582" s="73"/>
      <c r="C582" s="73"/>
      <c r="D582" s="73"/>
      <c r="E582" s="73"/>
      <c r="F582" s="72"/>
    </row>
    <row r="583" ht="14.25" customHeight="1">
      <c r="A583" s="73"/>
      <c r="B583" s="73"/>
      <c r="C583" s="73"/>
      <c r="D583" s="73"/>
      <c r="E583" s="73"/>
      <c r="F583" s="72"/>
    </row>
    <row r="584" ht="14.25" customHeight="1">
      <c r="A584" s="73"/>
      <c r="B584" s="73"/>
      <c r="C584" s="73"/>
      <c r="D584" s="73"/>
      <c r="E584" s="73"/>
      <c r="F584" s="72"/>
    </row>
    <row r="585" ht="14.25" customHeight="1">
      <c r="A585" s="73"/>
      <c r="B585" s="73"/>
      <c r="C585" s="73"/>
      <c r="D585" s="73"/>
      <c r="E585" s="73"/>
      <c r="F585" s="72"/>
    </row>
    <row r="586" ht="14.25" customHeight="1">
      <c r="A586" s="73"/>
      <c r="B586" s="73"/>
      <c r="C586" s="73"/>
      <c r="D586" s="73"/>
      <c r="E586" s="73"/>
      <c r="F586" s="72"/>
    </row>
    <row r="587" ht="14.25" customHeight="1">
      <c r="A587" s="73"/>
      <c r="B587" s="73"/>
      <c r="C587" s="73"/>
      <c r="D587" s="73"/>
      <c r="E587" s="73"/>
      <c r="F587" s="72"/>
    </row>
    <row r="588" ht="14.25" customHeight="1">
      <c r="A588" s="73"/>
      <c r="B588" s="73"/>
      <c r="C588" s="73"/>
      <c r="D588" s="73"/>
      <c r="E588" s="73"/>
      <c r="F588" s="72"/>
    </row>
    <row r="589" ht="14.25" customHeight="1">
      <c r="A589" s="73"/>
      <c r="B589" s="73"/>
      <c r="C589" s="73"/>
      <c r="D589" s="73"/>
      <c r="E589" s="73"/>
      <c r="F589" s="72"/>
    </row>
    <row r="590" ht="14.25" customHeight="1">
      <c r="A590" s="73"/>
      <c r="B590" s="73"/>
      <c r="C590" s="73"/>
      <c r="D590" s="73"/>
      <c r="E590" s="73"/>
      <c r="F590" s="72"/>
    </row>
    <row r="591" ht="14.25" customHeight="1">
      <c r="A591" s="73"/>
      <c r="B591" s="73"/>
      <c r="C591" s="73"/>
      <c r="D591" s="73"/>
      <c r="E591" s="73"/>
      <c r="F591" s="72"/>
    </row>
    <row r="592" ht="14.25" customHeight="1">
      <c r="A592" s="73"/>
      <c r="B592" s="73"/>
      <c r="C592" s="73"/>
      <c r="D592" s="73"/>
      <c r="E592" s="73"/>
      <c r="F592" s="72"/>
    </row>
    <row r="593" ht="14.25" customHeight="1">
      <c r="A593" s="73"/>
      <c r="B593" s="73"/>
      <c r="C593" s="73"/>
      <c r="D593" s="73"/>
      <c r="E593" s="73"/>
      <c r="F593" s="72"/>
    </row>
    <row r="594" ht="14.25" customHeight="1">
      <c r="A594" s="73"/>
      <c r="B594" s="73"/>
      <c r="C594" s="73"/>
      <c r="D594" s="73"/>
      <c r="E594" s="73"/>
      <c r="F594" s="72"/>
    </row>
    <row r="595" ht="14.25" customHeight="1">
      <c r="A595" s="73"/>
      <c r="B595" s="73"/>
      <c r="C595" s="73"/>
      <c r="D595" s="73"/>
      <c r="E595" s="73"/>
      <c r="F595" s="72"/>
    </row>
    <row r="596" ht="14.25" customHeight="1">
      <c r="A596" s="73"/>
      <c r="B596" s="73"/>
      <c r="C596" s="73"/>
      <c r="D596" s="73"/>
      <c r="E596" s="73"/>
      <c r="F596" s="72"/>
    </row>
    <row r="597" ht="14.25" customHeight="1">
      <c r="A597" s="73"/>
      <c r="B597" s="73"/>
      <c r="C597" s="73"/>
      <c r="D597" s="73"/>
      <c r="E597" s="73"/>
      <c r="F597" s="72"/>
    </row>
    <row r="598" ht="14.25" customHeight="1">
      <c r="A598" s="73"/>
      <c r="B598" s="73"/>
      <c r="C598" s="73"/>
      <c r="D598" s="73"/>
      <c r="E598" s="73"/>
      <c r="F598" s="72"/>
    </row>
    <row r="599" ht="14.25" customHeight="1">
      <c r="A599" s="73"/>
      <c r="B599" s="73"/>
      <c r="C599" s="73"/>
      <c r="D599" s="73"/>
      <c r="E599" s="73"/>
      <c r="F599" s="72"/>
    </row>
    <row r="600" ht="14.25" customHeight="1">
      <c r="A600" s="73"/>
      <c r="B600" s="73"/>
      <c r="C600" s="73"/>
      <c r="D600" s="73"/>
      <c r="E600" s="73"/>
      <c r="F600" s="72"/>
    </row>
    <row r="601" ht="14.25" customHeight="1">
      <c r="A601" s="73"/>
      <c r="B601" s="73"/>
      <c r="C601" s="73"/>
      <c r="D601" s="73"/>
      <c r="E601" s="73"/>
      <c r="F601" s="72"/>
    </row>
    <row r="602" ht="14.25" customHeight="1">
      <c r="A602" s="73"/>
      <c r="B602" s="73"/>
      <c r="C602" s="73"/>
      <c r="D602" s="73"/>
      <c r="E602" s="73"/>
      <c r="F602" s="72"/>
    </row>
    <row r="603" ht="14.25" customHeight="1">
      <c r="A603" s="73"/>
      <c r="B603" s="73"/>
      <c r="C603" s="73"/>
      <c r="D603" s="73"/>
      <c r="E603" s="73"/>
      <c r="F603" s="72"/>
    </row>
    <row r="604" ht="14.25" customHeight="1">
      <c r="A604" s="73"/>
      <c r="B604" s="73"/>
      <c r="C604" s="73"/>
      <c r="D604" s="73"/>
      <c r="E604" s="73"/>
      <c r="F604" s="72"/>
    </row>
    <row r="605" ht="14.25" customHeight="1">
      <c r="A605" s="73"/>
      <c r="B605" s="73"/>
      <c r="C605" s="73"/>
      <c r="D605" s="73"/>
      <c r="E605" s="73"/>
      <c r="F605" s="72"/>
    </row>
    <row r="606" ht="14.25" customHeight="1">
      <c r="A606" s="73"/>
      <c r="B606" s="73"/>
      <c r="C606" s="73"/>
      <c r="D606" s="73"/>
      <c r="E606" s="73"/>
      <c r="F606" s="72"/>
    </row>
    <row r="607" ht="14.25" customHeight="1">
      <c r="A607" s="73"/>
      <c r="B607" s="73"/>
      <c r="C607" s="73"/>
      <c r="D607" s="73"/>
      <c r="E607" s="73"/>
      <c r="F607" s="72"/>
    </row>
    <row r="608" ht="14.25" customHeight="1">
      <c r="A608" s="73"/>
      <c r="B608" s="73"/>
      <c r="C608" s="73"/>
      <c r="D608" s="73"/>
      <c r="E608" s="73"/>
      <c r="F608" s="72"/>
    </row>
    <row r="609" ht="14.25" customHeight="1">
      <c r="A609" s="73"/>
      <c r="B609" s="73"/>
      <c r="C609" s="73"/>
      <c r="D609" s="73"/>
      <c r="E609" s="73"/>
      <c r="F609" s="72"/>
    </row>
    <row r="610" ht="14.25" customHeight="1">
      <c r="A610" s="73"/>
      <c r="B610" s="73"/>
      <c r="C610" s="73"/>
      <c r="D610" s="73"/>
      <c r="E610" s="73"/>
      <c r="F610" s="72"/>
    </row>
    <row r="611" ht="14.25" customHeight="1">
      <c r="A611" s="73"/>
      <c r="B611" s="73"/>
      <c r="C611" s="73"/>
      <c r="D611" s="73"/>
      <c r="E611" s="73"/>
      <c r="F611" s="72"/>
    </row>
    <row r="612" ht="14.25" customHeight="1">
      <c r="A612" s="73"/>
      <c r="B612" s="73"/>
      <c r="C612" s="73"/>
      <c r="D612" s="73"/>
      <c r="E612" s="73"/>
      <c r="F612" s="72"/>
    </row>
    <row r="613" ht="14.25" customHeight="1">
      <c r="A613" s="73"/>
      <c r="B613" s="73"/>
      <c r="C613" s="73"/>
      <c r="D613" s="73"/>
      <c r="E613" s="73"/>
      <c r="F613" s="72"/>
    </row>
    <row r="614" ht="14.25" customHeight="1">
      <c r="A614" s="73"/>
      <c r="B614" s="73"/>
      <c r="C614" s="73"/>
      <c r="D614" s="73"/>
      <c r="E614" s="73"/>
      <c r="F614" s="72"/>
    </row>
    <row r="615" ht="14.25" customHeight="1">
      <c r="A615" s="73"/>
      <c r="B615" s="73"/>
      <c r="C615" s="73"/>
      <c r="D615" s="73"/>
      <c r="E615" s="73"/>
      <c r="F615" s="72"/>
    </row>
    <row r="616" ht="14.25" customHeight="1">
      <c r="A616" s="73"/>
      <c r="B616" s="73"/>
      <c r="C616" s="73"/>
      <c r="D616" s="73"/>
      <c r="E616" s="73"/>
      <c r="F616" s="72"/>
    </row>
    <row r="617" ht="14.25" customHeight="1">
      <c r="A617" s="73"/>
      <c r="B617" s="73"/>
      <c r="C617" s="73"/>
      <c r="D617" s="73"/>
      <c r="E617" s="73"/>
      <c r="F617" s="72"/>
    </row>
    <row r="618" ht="14.25" customHeight="1">
      <c r="A618" s="73"/>
      <c r="B618" s="73"/>
      <c r="C618" s="73"/>
      <c r="D618" s="73"/>
      <c r="E618" s="73"/>
      <c r="F618" s="72"/>
    </row>
    <row r="619" ht="14.25" customHeight="1">
      <c r="A619" s="73"/>
      <c r="B619" s="73"/>
      <c r="C619" s="73"/>
      <c r="D619" s="73"/>
      <c r="E619" s="73"/>
      <c r="F619" s="72"/>
    </row>
    <row r="620" ht="14.25" customHeight="1">
      <c r="A620" s="73"/>
      <c r="B620" s="73"/>
      <c r="C620" s="73"/>
      <c r="D620" s="73"/>
      <c r="E620" s="73"/>
      <c r="F620" s="72"/>
    </row>
    <row r="621" ht="14.25" customHeight="1">
      <c r="A621" s="73"/>
      <c r="B621" s="73"/>
      <c r="C621" s="73"/>
      <c r="D621" s="73"/>
      <c r="E621" s="73"/>
      <c r="F621" s="72"/>
    </row>
    <row r="622" ht="14.25" customHeight="1">
      <c r="A622" s="73"/>
      <c r="B622" s="73"/>
      <c r="C622" s="73"/>
      <c r="D622" s="73"/>
      <c r="E622" s="73"/>
      <c r="F622" s="72"/>
    </row>
    <row r="623" ht="14.25" customHeight="1">
      <c r="A623" s="73"/>
      <c r="B623" s="73"/>
      <c r="C623" s="73"/>
      <c r="D623" s="73"/>
      <c r="E623" s="73"/>
      <c r="F623" s="72"/>
    </row>
    <row r="624" ht="14.25" customHeight="1">
      <c r="A624" s="73"/>
      <c r="B624" s="73"/>
      <c r="C624" s="73"/>
      <c r="D624" s="73"/>
      <c r="E624" s="73"/>
      <c r="F624" s="72"/>
    </row>
    <row r="625" ht="14.25" customHeight="1">
      <c r="A625" s="73"/>
      <c r="B625" s="73"/>
      <c r="C625" s="73"/>
      <c r="D625" s="73"/>
      <c r="E625" s="73"/>
      <c r="F625" s="72"/>
    </row>
    <row r="626" ht="14.25" customHeight="1">
      <c r="A626" s="73"/>
      <c r="B626" s="73"/>
      <c r="C626" s="73"/>
      <c r="D626" s="73"/>
      <c r="E626" s="73"/>
      <c r="F626" s="72"/>
    </row>
    <row r="627" ht="14.25" customHeight="1">
      <c r="A627" s="73"/>
      <c r="B627" s="73"/>
      <c r="C627" s="73"/>
      <c r="D627" s="73"/>
      <c r="E627" s="73"/>
      <c r="F627" s="72"/>
    </row>
    <row r="628" ht="14.25" customHeight="1">
      <c r="A628" s="73"/>
      <c r="B628" s="73"/>
      <c r="C628" s="73"/>
      <c r="D628" s="73"/>
      <c r="E628" s="73"/>
      <c r="F628" s="72"/>
    </row>
    <row r="629" ht="14.25" customHeight="1">
      <c r="A629" s="73"/>
      <c r="B629" s="73"/>
      <c r="C629" s="73"/>
      <c r="D629" s="73"/>
      <c r="E629" s="73"/>
      <c r="F629" s="72"/>
    </row>
    <row r="630" ht="14.25" customHeight="1">
      <c r="A630" s="73"/>
      <c r="B630" s="73"/>
      <c r="C630" s="73"/>
      <c r="D630" s="73"/>
      <c r="E630" s="73"/>
      <c r="F630" s="72"/>
    </row>
    <row r="631" ht="14.25" customHeight="1">
      <c r="A631" s="73"/>
      <c r="B631" s="73"/>
      <c r="C631" s="73"/>
      <c r="D631" s="73"/>
      <c r="E631" s="73"/>
      <c r="F631" s="72"/>
    </row>
    <row r="632" ht="14.25" customHeight="1">
      <c r="A632" s="73"/>
      <c r="B632" s="73"/>
      <c r="C632" s="73"/>
      <c r="D632" s="73"/>
      <c r="E632" s="73"/>
      <c r="F632" s="72"/>
    </row>
    <row r="633" ht="14.25" customHeight="1">
      <c r="A633" s="73"/>
      <c r="B633" s="73"/>
      <c r="C633" s="73"/>
      <c r="D633" s="73"/>
      <c r="E633" s="73"/>
      <c r="F633" s="72"/>
    </row>
    <row r="634" ht="14.25" customHeight="1">
      <c r="A634" s="73"/>
      <c r="B634" s="73"/>
      <c r="C634" s="73"/>
      <c r="D634" s="73"/>
      <c r="E634" s="73"/>
      <c r="F634" s="72"/>
    </row>
    <row r="635" ht="14.25" customHeight="1">
      <c r="A635" s="73"/>
      <c r="B635" s="73"/>
      <c r="C635" s="73"/>
      <c r="D635" s="73"/>
      <c r="E635" s="73"/>
      <c r="F635" s="72"/>
    </row>
    <row r="636" ht="14.25" customHeight="1">
      <c r="A636" s="73"/>
      <c r="B636" s="73"/>
      <c r="C636" s="73"/>
      <c r="D636" s="73"/>
      <c r="E636" s="73"/>
      <c r="F636" s="72"/>
    </row>
    <row r="637" ht="14.25" customHeight="1">
      <c r="A637" s="73"/>
      <c r="B637" s="73"/>
      <c r="C637" s="73"/>
      <c r="D637" s="73"/>
      <c r="E637" s="73"/>
      <c r="F637" s="72"/>
    </row>
    <row r="638" ht="14.25" customHeight="1">
      <c r="A638" s="73"/>
      <c r="B638" s="73"/>
      <c r="C638" s="73"/>
      <c r="D638" s="73"/>
      <c r="E638" s="73"/>
      <c r="F638" s="72"/>
    </row>
    <row r="639" ht="14.25" customHeight="1">
      <c r="A639" s="73"/>
      <c r="B639" s="73"/>
      <c r="C639" s="73"/>
      <c r="D639" s="73"/>
      <c r="E639" s="73"/>
      <c r="F639" s="72"/>
    </row>
    <row r="640" ht="14.25" customHeight="1">
      <c r="A640" s="73"/>
      <c r="B640" s="73"/>
      <c r="C640" s="73"/>
      <c r="D640" s="73"/>
      <c r="E640" s="73"/>
      <c r="F640" s="72"/>
    </row>
    <row r="641" ht="14.25" customHeight="1">
      <c r="A641" s="73"/>
      <c r="B641" s="73"/>
      <c r="C641" s="73"/>
      <c r="D641" s="73"/>
      <c r="E641" s="73"/>
      <c r="F641" s="72"/>
    </row>
    <row r="642" ht="14.25" customHeight="1">
      <c r="A642" s="73"/>
      <c r="B642" s="73"/>
      <c r="C642" s="73"/>
      <c r="D642" s="73"/>
      <c r="E642" s="73"/>
      <c r="F642" s="72"/>
    </row>
    <row r="643" ht="14.25" customHeight="1">
      <c r="A643" s="73"/>
      <c r="B643" s="73"/>
      <c r="C643" s="73"/>
      <c r="D643" s="73"/>
      <c r="E643" s="73"/>
      <c r="F643" s="72"/>
    </row>
    <row r="644" ht="14.25" customHeight="1">
      <c r="A644" s="73"/>
      <c r="B644" s="73"/>
      <c r="C644" s="73"/>
      <c r="D644" s="73"/>
      <c r="E644" s="73"/>
      <c r="F644" s="72"/>
    </row>
    <row r="645" ht="14.25" customHeight="1">
      <c r="A645" s="73"/>
      <c r="B645" s="73"/>
      <c r="C645" s="73"/>
      <c r="D645" s="73"/>
      <c r="E645" s="73"/>
      <c r="F645" s="72"/>
    </row>
    <row r="646" ht="14.25" customHeight="1">
      <c r="A646" s="73"/>
      <c r="B646" s="73"/>
      <c r="C646" s="73"/>
      <c r="D646" s="73"/>
      <c r="E646" s="73"/>
      <c r="F646" s="72"/>
    </row>
    <row r="647" ht="14.25" customHeight="1">
      <c r="A647" s="73"/>
      <c r="B647" s="73"/>
      <c r="C647" s="73"/>
      <c r="D647" s="73"/>
      <c r="E647" s="73"/>
      <c r="F647" s="72"/>
    </row>
    <row r="648" ht="14.25" customHeight="1">
      <c r="A648" s="73"/>
      <c r="B648" s="73"/>
      <c r="C648" s="73"/>
      <c r="D648" s="73"/>
      <c r="E648" s="73"/>
      <c r="F648" s="72"/>
    </row>
    <row r="649" ht="14.25" customHeight="1">
      <c r="A649" s="73"/>
      <c r="B649" s="73"/>
      <c r="C649" s="73"/>
      <c r="D649" s="73"/>
      <c r="E649" s="73"/>
      <c r="F649" s="72"/>
    </row>
    <row r="650" ht="14.25" customHeight="1">
      <c r="A650" s="73"/>
      <c r="B650" s="73"/>
      <c r="C650" s="73"/>
      <c r="D650" s="73"/>
      <c r="E650" s="73"/>
      <c r="F650" s="72"/>
    </row>
    <row r="651" ht="14.25" customHeight="1">
      <c r="A651" s="73"/>
      <c r="B651" s="73"/>
      <c r="C651" s="73"/>
      <c r="D651" s="73"/>
      <c r="E651" s="73"/>
      <c r="F651" s="72"/>
    </row>
    <row r="652" ht="14.25" customHeight="1">
      <c r="A652" s="73"/>
      <c r="B652" s="73"/>
      <c r="C652" s="73"/>
      <c r="D652" s="73"/>
      <c r="E652" s="73"/>
      <c r="F652" s="72"/>
    </row>
    <row r="653" ht="14.25" customHeight="1">
      <c r="A653" s="73"/>
      <c r="B653" s="73"/>
      <c r="C653" s="73"/>
      <c r="D653" s="73"/>
      <c r="E653" s="73"/>
      <c r="F653" s="72"/>
    </row>
    <row r="654" ht="14.25" customHeight="1">
      <c r="A654" s="73"/>
      <c r="B654" s="73"/>
      <c r="C654" s="73"/>
      <c r="D654" s="73"/>
      <c r="E654" s="73"/>
      <c r="F654" s="72"/>
    </row>
    <row r="655" ht="14.25" customHeight="1">
      <c r="A655" s="73"/>
      <c r="B655" s="73"/>
      <c r="C655" s="73"/>
      <c r="D655" s="73"/>
      <c r="E655" s="73"/>
      <c r="F655" s="72"/>
    </row>
    <row r="656" ht="14.25" customHeight="1">
      <c r="A656" s="73"/>
      <c r="B656" s="73"/>
      <c r="C656" s="73"/>
      <c r="D656" s="73"/>
      <c r="E656" s="73"/>
      <c r="F656" s="72"/>
    </row>
    <row r="657" ht="14.25" customHeight="1">
      <c r="A657" s="73"/>
      <c r="B657" s="73"/>
      <c r="C657" s="73"/>
      <c r="D657" s="73"/>
      <c r="E657" s="73"/>
      <c r="F657" s="72"/>
    </row>
    <row r="658" ht="14.25" customHeight="1">
      <c r="A658" s="73"/>
      <c r="B658" s="73"/>
      <c r="C658" s="73"/>
      <c r="D658" s="73"/>
      <c r="E658" s="73"/>
      <c r="F658" s="72"/>
    </row>
    <row r="659" ht="14.25" customHeight="1">
      <c r="A659" s="73"/>
      <c r="B659" s="73"/>
      <c r="C659" s="73"/>
      <c r="D659" s="73"/>
      <c r="E659" s="73"/>
      <c r="F659" s="72"/>
    </row>
    <row r="660" ht="14.25" customHeight="1">
      <c r="A660" s="73"/>
      <c r="B660" s="73"/>
      <c r="C660" s="73"/>
      <c r="D660" s="73"/>
      <c r="E660" s="73"/>
      <c r="F660" s="72"/>
    </row>
    <row r="661" ht="14.25" customHeight="1">
      <c r="A661" s="73"/>
      <c r="B661" s="73"/>
      <c r="C661" s="73"/>
      <c r="D661" s="73"/>
      <c r="E661" s="73"/>
      <c r="F661" s="72"/>
    </row>
    <row r="662" ht="14.25" customHeight="1">
      <c r="A662" s="73"/>
      <c r="B662" s="73"/>
      <c r="C662" s="73"/>
      <c r="D662" s="73"/>
      <c r="E662" s="73"/>
      <c r="F662" s="72"/>
    </row>
    <row r="663" ht="14.25" customHeight="1">
      <c r="A663" s="73"/>
      <c r="B663" s="73"/>
      <c r="C663" s="73"/>
      <c r="D663" s="73"/>
      <c r="E663" s="73"/>
      <c r="F663" s="72"/>
    </row>
    <row r="664" ht="14.25" customHeight="1">
      <c r="A664" s="73"/>
      <c r="B664" s="73"/>
      <c r="C664" s="73"/>
      <c r="D664" s="73"/>
      <c r="E664" s="73"/>
      <c r="F664" s="72"/>
    </row>
    <row r="665" ht="14.25" customHeight="1">
      <c r="A665" s="73"/>
      <c r="B665" s="73"/>
      <c r="C665" s="73"/>
      <c r="D665" s="73"/>
      <c r="E665" s="73"/>
      <c r="F665" s="72"/>
    </row>
    <row r="666" ht="14.25" customHeight="1">
      <c r="A666" s="73"/>
      <c r="B666" s="73"/>
      <c r="C666" s="73"/>
      <c r="D666" s="73"/>
      <c r="E666" s="73"/>
      <c r="F666" s="72"/>
    </row>
    <row r="667" ht="14.25" customHeight="1">
      <c r="A667" s="73"/>
      <c r="B667" s="73"/>
      <c r="C667" s="73"/>
      <c r="D667" s="73"/>
      <c r="E667" s="73"/>
      <c r="F667" s="72"/>
    </row>
    <row r="668" ht="14.25" customHeight="1">
      <c r="A668" s="73"/>
      <c r="B668" s="73"/>
      <c r="C668" s="73"/>
      <c r="D668" s="73"/>
      <c r="E668" s="73"/>
      <c r="F668" s="72"/>
    </row>
    <row r="669" ht="14.25" customHeight="1">
      <c r="A669" s="73"/>
      <c r="B669" s="73"/>
      <c r="C669" s="73"/>
      <c r="D669" s="73"/>
      <c r="E669" s="73"/>
      <c r="F669" s="72"/>
    </row>
    <row r="670" ht="14.25" customHeight="1">
      <c r="A670" s="73"/>
      <c r="B670" s="73"/>
      <c r="C670" s="73"/>
      <c r="D670" s="73"/>
      <c r="E670" s="73"/>
      <c r="F670" s="72"/>
    </row>
    <row r="671" ht="14.25" customHeight="1">
      <c r="A671" s="73"/>
      <c r="B671" s="73"/>
      <c r="C671" s="73"/>
      <c r="D671" s="73"/>
      <c r="E671" s="73"/>
      <c r="F671" s="72"/>
    </row>
    <row r="672" ht="14.25" customHeight="1">
      <c r="A672" s="73"/>
      <c r="B672" s="73"/>
      <c r="C672" s="73"/>
      <c r="D672" s="73"/>
      <c r="E672" s="73"/>
      <c r="F672" s="72"/>
    </row>
    <row r="673" ht="14.25" customHeight="1">
      <c r="A673" s="73"/>
      <c r="B673" s="73"/>
      <c r="C673" s="73"/>
      <c r="D673" s="73"/>
      <c r="E673" s="73"/>
      <c r="F673" s="72"/>
    </row>
    <row r="674" ht="14.25" customHeight="1">
      <c r="A674" s="73"/>
      <c r="B674" s="73"/>
      <c r="C674" s="73"/>
      <c r="D674" s="73"/>
      <c r="E674" s="73"/>
      <c r="F674" s="72"/>
    </row>
    <row r="675" ht="14.25" customHeight="1">
      <c r="A675" s="73"/>
      <c r="B675" s="73"/>
      <c r="C675" s="73"/>
      <c r="D675" s="73"/>
      <c r="E675" s="73"/>
      <c r="F675" s="72"/>
    </row>
    <row r="676" ht="14.25" customHeight="1">
      <c r="A676" s="73"/>
      <c r="B676" s="73"/>
      <c r="C676" s="73"/>
      <c r="D676" s="73"/>
      <c r="E676" s="73"/>
      <c r="F676" s="72"/>
    </row>
    <row r="677" ht="14.25" customHeight="1">
      <c r="A677" s="73"/>
      <c r="B677" s="73"/>
      <c r="C677" s="73"/>
      <c r="D677" s="73"/>
      <c r="E677" s="73"/>
      <c r="F677" s="72"/>
    </row>
    <row r="678" ht="14.25" customHeight="1">
      <c r="A678" s="73"/>
      <c r="B678" s="73"/>
      <c r="C678" s="73"/>
      <c r="D678" s="73"/>
      <c r="E678" s="73"/>
      <c r="F678" s="72"/>
    </row>
    <row r="679" ht="14.25" customHeight="1">
      <c r="A679" s="73"/>
      <c r="B679" s="73"/>
      <c r="C679" s="73"/>
      <c r="D679" s="73"/>
      <c r="E679" s="73"/>
      <c r="F679" s="72"/>
    </row>
    <row r="680" ht="14.25" customHeight="1">
      <c r="A680" s="73"/>
      <c r="B680" s="73"/>
      <c r="C680" s="73"/>
      <c r="D680" s="73"/>
      <c r="E680" s="73"/>
      <c r="F680" s="72"/>
    </row>
    <row r="681" ht="14.25" customHeight="1">
      <c r="A681" s="73"/>
      <c r="B681" s="73"/>
      <c r="C681" s="73"/>
      <c r="D681" s="73"/>
      <c r="E681" s="73"/>
      <c r="F681" s="72"/>
    </row>
    <row r="682" ht="14.25" customHeight="1">
      <c r="A682" s="73"/>
      <c r="B682" s="73"/>
      <c r="C682" s="73"/>
      <c r="D682" s="73"/>
      <c r="E682" s="73"/>
      <c r="F682" s="72"/>
    </row>
    <row r="683" ht="14.25" customHeight="1">
      <c r="A683" s="73"/>
      <c r="B683" s="73"/>
      <c r="C683" s="73"/>
      <c r="D683" s="73"/>
      <c r="E683" s="73"/>
      <c r="F683" s="72"/>
    </row>
    <row r="684" ht="14.25" customHeight="1">
      <c r="A684" s="73"/>
      <c r="B684" s="73"/>
      <c r="C684" s="73"/>
      <c r="D684" s="73"/>
      <c r="E684" s="73"/>
      <c r="F684" s="72"/>
    </row>
    <row r="685" ht="14.25" customHeight="1">
      <c r="A685" s="73"/>
      <c r="B685" s="73"/>
      <c r="C685" s="73"/>
      <c r="D685" s="73"/>
      <c r="E685" s="73"/>
      <c r="F685" s="72"/>
    </row>
    <row r="686" ht="14.25" customHeight="1">
      <c r="A686" s="73"/>
      <c r="B686" s="73"/>
      <c r="C686" s="73"/>
      <c r="D686" s="73"/>
      <c r="E686" s="73"/>
      <c r="F686" s="72"/>
    </row>
    <row r="687" ht="14.25" customHeight="1">
      <c r="A687" s="73"/>
      <c r="B687" s="73"/>
      <c r="C687" s="73"/>
      <c r="D687" s="73"/>
      <c r="E687" s="73"/>
      <c r="F687" s="72"/>
    </row>
    <row r="688" ht="14.25" customHeight="1">
      <c r="A688" s="73"/>
      <c r="B688" s="73"/>
      <c r="C688" s="73"/>
      <c r="D688" s="73"/>
      <c r="E688" s="73"/>
      <c r="F688" s="72"/>
    </row>
    <row r="689" ht="14.25" customHeight="1">
      <c r="A689" s="73"/>
      <c r="B689" s="73"/>
      <c r="C689" s="73"/>
      <c r="D689" s="73"/>
      <c r="E689" s="73"/>
      <c r="F689" s="72"/>
    </row>
    <row r="690" ht="14.25" customHeight="1">
      <c r="A690" s="73"/>
      <c r="B690" s="73"/>
      <c r="C690" s="73"/>
      <c r="D690" s="73"/>
      <c r="E690" s="73"/>
      <c r="F690" s="72"/>
    </row>
    <row r="691" ht="14.25" customHeight="1">
      <c r="A691" s="73"/>
      <c r="B691" s="73"/>
      <c r="C691" s="73"/>
      <c r="D691" s="73"/>
      <c r="E691" s="73"/>
      <c r="F691" s="72"/>
    </row>
    <row r="692" ht="14.25" customHeight="1">
      <c r="A692" s="73"/>
      <c r="B692" s="73"/>
      <c r="C692" s="73"/>
      <c r="D692" s="73"/>
      <c r="E692" s="73"/>
      <c r="F692" s="72"/>
    </row>
    <row r="693" ht="14.25" customHeight="1">
      <c r="A693" s="73"/>
      <c r="B693" s="73"/>
      <c r="C693" s="73"/>
      <c r="D693" s="73"/>
      <c r="E693" s="73"/>
      <c r="F693" s="72"/>
    </row>
    <row r="694" ht="14.25" customHeight="1">
      <c r="A694" s="73"/>
      <c r="B694" s="73"/>
      <c r="C694" s="73"/>
      <c r="D694" s="73"/>
      <c r="E694" s="73"/>
      <c r="F694" s="72"/>
    </row>
    <row r="695" ht="14.25" customHeight="1">
      <c r="A695" s="73"/>
      <c r="B695" s="73"/>
      <c r="C695" s="73"/>
      <c r="D695" s="73"/>
      <c r="E695" s="73"/>
      <c r="F695" s="72"/>
    </row>
    <row r="696" ht="14.25" customHeight="1">
      <c r="A696" s="73"/>
      <c r="B696" s="73"/>
      <c r="C696" s="73"/>
      <c r="D696" s="73"/>
      <c r="E696" s="73"/>
      <c r="F696" s="72"/>
    </row>
    <row r="697" ht="14.25" customHeight="1">
      <c r="A697" s="73"/>
      <c r="B697" s="73"/>
      <c r="C697" s="73"/>
      <c r="D697" s="73"/>
      <c r="E697" s="73"/>
      <c r="F697" s="72"/>
    </row>
    <row r="698" ht="14.25" customHeight="1">
      <c r="A698" s="73"/>
      <c r="B698" s="73"/>
      <c r="C698" s="73"/>
      <c r="D698" s="73"/>
      <c r="E698" s="73"/>
      <c r="F698" s="72"/>
    </row>
    <row r="699" ht="14.25" customHeight="1">
      <c r="A699" s="73"/>
      <c r="B699" s="73"/>
      <c r="C699" s="73"/>
      <c r="D699" s="73"/>
      <c r="E699" s="73"/>
      <c r="F699" s="72"/>
    </row>
    <row r="700" ht="14.25" customHeight="1">
      <c r="A700" s="73"/>
      <c r="B700" s="73"/>
      <c r="C700" s="73"/>
      <c r="D700" s="73"/>
      <c r="E700" s="73"/>
      <c r="F700" s="72"/>
    </row>
    <row r="701" ht="14.25" customHeight="1">
      <c r="A701" s="73"/>
      <c r="B701" s="73"/>
      <c r="C701" s="73"/>
      <c r="D701" s="73"/>
      <c r="E701" s="73"/>
      <c r="F701" s="72"/>
    </row>
    <row r="702" ht="14.25" customHeight="1">
      <c r="A702" s="73"/>
      <c r="B702" s="73"/>
      <c r="C702" s="73"/>
      <c r="D702" s="73"/>
      <c r="E702" s="73"/>
      <c r="F702" s="72"/>
    </row>
    <row r="703" ht="14.25" customHeight="1">
      <c r="A703" s="73"/>
      <c r="B703" s="73"/>
      <c r="C703" s="73"/>
      <c r="D703" s="73"/>
      <c r="E703" s="73"/>
      <c r="F703" s="72"/>
    </row>
    <row r="704" ht="14.25" customHeight="1">
      <c r="A704" s="73"/>
      <c r="B704" s="73"/>
      <c r="C704" s="73"/>
      <c r="D704" s="73"/>
      <c r="E704" s="73"/>
      <c r="F704" s="72"/>
    </row>
    <row r="705" ht="14.25" customHeight="1">
      <c r="A705" s="73"/>
      <c r="B705" s="73"/>
      <c r="C705" s="73"/>
      <c r="D705" s="73"/>
      <c r="E705" s="73"/>
      <c r="F705" s="72"/>
    </row>
    <row r="706" ht="14.25" customHeight="1">
      <c r="A706" s="73"/>
      <c r="B706" s="73"/>
      <c r="C706" s="73"/>
      <c r="D706" s="73"/>
      <c r="E706" s="73"/>
      <c r="F706" s="72"/>
    </row>
    <row r="707" ht="14.25" customHeight="1">
      <c r="A707" s="73"/>
      <c r="B707" s="73"/>
      <c r="C707" s="73"/>
      <c r="D707" s="73"/>
      <c r="E707" s="73"/>
      <c r="F707" s="72"/>
    </row>
    <row r="708" ht="14.25" customHeight="1">
      <c r="A708" s="73"/>
      <c r="B708" s="73"/>
      <c r="C708" s="73"/>
      <c r="D708" s="73"/>
      <c r="E708" s="73"/>
      <c r="F708" s="72"/>
    </row>
    <row r="709" ht="14.25" customHeight="1">
      <c r="A709" s="73"/>
      <c r="B709" s="73"/>
      <c r="C709" s="73"/>
      <c r="D709" s="73"/>
      <c r="E709" s="73"/>
      <c r="F709" s="72"/>
    </row>
    <row r="710" ht="14.25" customHeight="1">
      <c r="A710" s="73"/>
      <c r="B710" s="73"/>
      <c r="C710" s="73"/>
      <c r="D710" s="73"/>
      <c r="E710" s="73"/>
      <c r="F710" s="72"/>
    </row>
    <row r="711" ht="14.25" customHeight="1">
      <c r="A711" s="73"/>
      <c r="B711" s="73"/>
      <c r="C711" s="73"/>
      <c r="D711" s="73"/>
      <c r="E711" s="73"/>
      <c r="F711" s="72"/>
    </row>
    <row r="712" ht="14.25" customHeight="1">
      <c r="A712" s="73"/>
      <c r="B712" s="73"/>
      <c r="C712" s="73"/>
      <c r="D712" s="73"/>
      <c r="E712" s="73"/>
      <c r="F712" s="72"/>
    </row>
    <row r="713" ht="14.25" customHeight="1">
      <c r="A713" s="73"/>
      <c r="B713" s="73"/>
      <c r="C713" s="73"/>
      <c r="D713" s="73"/>
      <c r="E713" s="73"/>
      <c r="F713" s="72"/>
    </row>
    <row r="714" ht="14.25" customHeight="1">
      <c r="A714" s="73"/>
      <c r="B714" s="73"/>
      <c r="C714" s="73"/>
      <c r="D714" s="73"/>
      <c r="E714" s="73"/>
      <c r="F714" s="72"/>
    </row>
    <row r="715" ht="14.25" customHeight="1">
      <c r="A715" s="73"/>
      <c r="B715" s="73"/>
      <c r="C715" s="73"/>
      <c r="D715" s="73"/>
      <c r="E715" s="73"/>
      <c r="F715" s="72"/>
    </row>
    <row r="716" ht="14.25" customHeight="1">
      <c r="A716" s="73"/>
      <c r="B716" s="73"/>
      <c r="C716" s="73"/>
      <c r="D716" s="73"/>
      <c r="E716" s="73"/>
      <c r="F716" s="72"/>
    </row>
    <row r="717" ht="14.25" customHeight="1">
      <c r="A717" s="73"/>
      <c r="B717" s="73"/>
      <c r="C717" s="73"/>
      <c r="D717" s="73"/>
      <c r="E717" s="73"/>
      <c r="F717" s="72"/>
    </row>
    <row r="718" ht="14.25" customHeight="1">
      <c r="A718" s="73"/>
      <c r="B718" s="73"/>
      <c r="C718" s="73"/>
      <c r="D718" s="73"/>
      <c r="E718" s="73"/>
      <c r="F718" s="72"/>
    </row>
    <row r="719" ht="14.25" customHeight="1">
      <c r="A719" s="73"/>
      <c r="B719" s="73"/>
      <c r="C719" s="73"/>
      <c r="D719" s="73"/>
      <c r="E719" s="73"/>
      <c r="F719" s="72"/>
    </row>
    <row r="720" ht="14.25" customHeight="1">
      <c r="A720" s="73"/>
      <c r="B720" s="73"/>
      <c r="C720" s="73"/>
      <c r="D720" s="73"/>
      <c r="E720" s="73"/>
      <c r="F720" s="72"/>
    </row>
    <row r="721" ht="14.25" customHeight="1">
      <c r="A721" s="73"/>
      <c r="B721" s="73"/>
      <c r="C721" s="73"/>
      <c r="D721" s="73"/>
      <c r="E721" s="73"/>
      <c r="F721" s="72"/>
    </row>
    <row r="722" ht="14.25" customHeight="1">
      <c r="A722" s="73"/>
      <c r="B722" s="73"/>
      <c r="C722" s="73"/>
      <c r="D722" s="73"/>
      <c r="E722" s="73"/>
      <c r="F722" s="72"/>
    </row>
    <row r="723" ht="14.25" customHeight="1">
      <c r="A723" s="73"/>
      <c r="B723" s="73"/>
      <c r="C723" s="73"/>
      <c r="D723" s="73"/>
      <c r="E723" s="73"/>
      <c r="F723" s="72"/>
    </row>
    <row r="724" ht="14.25" customHeight="1">
      <c r="A724" s="73"/>
      <c r="B724" s="73"/>
      <c r="C724" s="73"/>
      <c r="D724" s="73"/>
      <c r="E724" s="73"/>
      <c r="F724" s="72"/>
    </row>
    <row r="725" ht="14.25" customHeight="1">
      <c r="A725" s="73"/>
      <c r="B725" s="73"/>
      <c r="C725" s="73"/>
      <c r="D725" s="73"/>
      <c r="E725" s="73"/>
      <c r="F725" s="72"/>
    </row>
    <row r="726" ht="14.25" customHeight="1">
      <c r="A726" s="73"/>
      <c r="B726" s="73"/>
      <c r="C726" s="73"/>
      <c r="D726" s="73"/>
      <c r="E726" s="73"/>
      <c r="F726" s="72"/>
    </row>
    <row r="727" ht="14.25" customHeight="1">
      <c r="A727" s="73"/>
      <c r="B727" s="73"/>
      <c r="C727" s="73"/>
      <c r="D727" s="73"/>
      <c r="E727" s="73"/>
      <c r="F727" s="72"/>
    </row>
    <row r="728" ht="14.25" customHeight="1">
      <c r="A728" s="73"/>
      <c r="B728" s="73"/>
      <c r="C728" s="73"/>
      <c r="D728" s="73"/>
      <c r="E728" s="73"/>
      <c r="F728" s="72"/>
    </row>
    <row r="729" ht="14.25" customHeight="1">
      <c r="A729" s="73"/>
      <c r="B729" s="73"/>
      <c r="C729" s="73"/>
      <c r="D729" s="73"/>
      <c r="E729" s="73"/>
      <c r="F729" s="72"/>
    </row>
    <row r="730" ht="14.25" customHeight="1">
      <c r="A730" s="73"/>
      <c r="B730" s="73"/>
      <c r="C730" s="73"/>
      <c r="D730" s="73"/>
      <c r="E730" s="73"/>
      <c r="F730" s="72"/>
    </row>
    <row r="731" ht="14.25" customHeight="1">
      <c r="A731" s="73"/>
      <c r="B731" s="73"/>
      <c r="C731" s="73"/>
      <c r="D731" s="73"/>
      <c r="E731" s="73"/>
      <c r="F731" s="72"/>
    </row>
    <row r="732" ht="14.25" customHeight="1">
      <c r="A732" s="73"/>
      <c r="B732" s="73"/>
      <c r="C732" s="73"/>
      <c r="D732" s="73"/>
      <c r="E732" s="73"/>
      <c r="F732" s="72"/>
    </row>
    <row r="733" ht="14.25" customHeight="1">
      <c r="A733" s="73"/>
      <c r="B733" s="73"/>
      <c r="C733" s="73"/>
      <c r="D733" s="73"/>
      <c r="E733" s="73"/>
      <c r="F733" s="72"/>
    </row>
    <row r="734" ht="14.25" customHeight="1">
      <c r="A734" s="73"/>
      <c r="B734" s="73"/>
      <c r="C734" s="73"/>
      <c r="D734" s="73"/>
      <c r="E734" s="73"/>
      <c r="F734" s="72"/>
    </row>
    <row r="735" ht="14.25" customHeight="1">
      <c r="A735" s="73"/>
      <c r="B735" s="73"/>
      <c r="C735" s="73"/>
      <c r="D735" s="73"/>
      <c r="E735" s="73"/>
      <c r="F735" s="72"/>
    </row>
    <row r="736" ht="14.25" customHeight="1">
      <c r="A736" s="73"/>
      <c r="B736" s="73"/>
      <c r="C736" s="73"/>
      <c r="D736" s="73"/>
      <c r="E736" s="73"/>
      <c r="F736" s="72"/>
    </row>
    <row r="737" ht="14.25" customHeight="1">
      <c r="A737" s="73"/>
      <c r="B737" s="73"/>
      <c r="C737" s="73"/>
      <c r="D737" s="73"/>
      <c r="E737" s="73"/>
      <c r="F737" s="72"/>
    </row>
    <row r="738" ht="14.25" customHeight="1">
      <c r="A738" s="73"/>
      <c r="B738" s="73"/>
      <c r="C738" s="73"/>
      <c r="D738" s="73"/>
      <c r="E738" s="73"/>
      <c r="F738" s="72"/>
    </row>
    <row r="739" ht="14.25" customHeight="1">
      <c r="A739" s="73"/>
      <c r="B739" s="73"/>
      <c r="C739" s="73"/>
      <c r="D739" s="73"/>
      <c r="E739" s="73"/>
      <c r="F739" s="72"/>
    </row>
    <row r="740" ht="14.25" customHeight="1">
      <c r="A740" s="73"/>
      <c r="B740" s="73"/>
      <c r="C740" s="73"/>
      <c r="D740" s="73"/>
      <c r="E740" s="73"/>
      <c r="F740" s="72"/>
    </row>
    <row r="741" ht="14.25" customHeight="1">
      <c r="A741" s="73"/>
      <c r="B741" s="73"/>
      <c r="C741" s="73"/>
      <c r="D741" s="73"/>
      <c r="E741" s="73"/>
      <c r="F741" s="72"/>
    </row>
    <row r="742" ht="14.25" customHeight="1">
      <c r="A742" s="73"/>
      <c r="B742" s="73"/>
      <c r="C742" s="73"/>
      <c r="D742" s="73"/>
      <c r="E742" s="73"/>
      <c r="F742" s="72"/>
    </row>
    <row r="743" ht="14.25" customHeight="1">
      <c r="A743" s="73"/>
      <c r="B743" s="73"/>
      <c r="C743" s="73"/>
      <c r="D743" s="73"/>
      <c r="E743" s="73"/>
      <c r="F743" s="72"/>
    </row>
    <row r="744" ht="14.25" customHeight="1">
      <c r="A744" s="73"/>
      <c r="B744" s="73"/>
      <c r="C744" s="73"/>
      <c r="D744" s="73"/>
      <c r="E744" s="73"/>
      <c r="F744" s="72"/>
    </row>
    <row r="745" ht="14.25" customHeight="1">
      <c r="A745" s="73"/>
      <c r="B745" s="73"/>
      <c r="C745" s="73"/>
      <c r="D745" s="73"/>
      <c r="E745" s="73"/>
      <c r="F745" s="72"/>
    </row>
    <row r="746" ht="14.25" customHeight="1">
      <c r="A746" s="73"/>
      <c r="B746" s="73"/>
      <c r="C746" s="73"/>
      <c r="D746" s="73"/>
      <c r="E746" s="73"/>
      <c r="F746" s="72"/>
    </row>
    <row r="747" ht="14.25" customHeight="1">
      <c r="A747" s="73"/>
      <c r="B747" s="73"/>
      <c r="C747" s="73"/>
      <c r="D747" s="73"/>
      <c r="E747" s="73"/>
      <c r="F747" s="72"/>
    </row>
    <row r="748" ht="14.25" customHeight="1">
      <c r="A748" s="73"/>
      <c r="B748" s="73"/>
      <c r="C748" s="73"/>
      <c r="D748" s="73"/>
      <c r="E748" s="73"/>
      <c r="F748" s="72"/>
    </row>
    <row r="749" ht="14.25" customHeight="1">
      <c r="A749" s="73"/>
      <c r="B749" s="73"/>
      <c r="C749" s="73"/>
      <c r="D749" s="73"/>
      <c r="E749" s="73"/>
      <c r="F749" s="72"/>
    </row>
    <row r="750" ht="14.25" customHeight="1">
      <c r="A750" s="73"/>
      <c r="B750" s="73"/>
      <c r="C750" s="73"/>
      <c r="D750" s="73"/>
      <c r="E750" s="73"/>
      <c r="F750" s="72"/>
    </row>
    <row r="751" ht="14.25" customHeight="1">
      <c r="A751" s="73"/>
      <c r="B751" s="73"/>
      <c r="C751" s="73"/>
      <c r="D751" s="73"/>
      <c r="E751" s="73"/>
      <c r="F751" s="72"/>
    </row>
    <row r="752" ht="14.25" customHeight="1">
      <c r="A752" s="73"/>
      <c r="B752" s="73"/>
      <c r="C752" s="73"/>
      <c r="D752" s="73"/>
      <c r="E752" s="73"/>
      <c r="F752" s="72"/>
    </row>
    <row r="753" ht="14.25" customHeight="1">
      <c r="A753" s="73"/>
      <c r="B753" s="73"/>
      <c r="C753" s="73"/>
      <c r="D753" s="73"/>
      <c r="E753" s="73"/>
      <c r="F753" s="72"/>
    </row>
    <row r="754" ht="14.25" customHeight="1">
      <c r="A754" s="73"/>
      <c r="B754" s="73"/>
      <c r="C754" s="73"/>
      <c r="D754" s="73"/>
      <c r="E754" s="73"/>
      <c r="F754" s="72"/>
    </row>
    <row r="755" ht="14.25" customHeight="1">
      <c r="A755" s="73"/>
      <c r="B755" s="73"/>
      <c r="C755" s="73"/>
      <c r="D755" s="73"/>
      <c r="E755" s="73"/>
      <c r="F755" s="72"/>
    </row>
    <row r="756" ht="14.25" customHeight="1">
      <c r="A756" s="73"/>
      <c r="B756" s="73"/>
      <c r="C756" s="73"/>
      <c r="D756" s="73"/>
      <c r="E756" s="73"/>
      <c r="F756" s="72"/>
    </row>
    <row r="757" ht="14.25" customHeight="1">
      <c r="A757" s="73"/>
      <c r="B757" s="73"/>
      <c r="C757" s="73"/>
      <c r="D757" s="73"/>
      <c r="E757" s="73"/>
      <c r="F757" s="72"/>
    </row>
    <row r="758" ht="14.25" customHeight="1">
      <c r="A758" s="73"/>
      <c r="B758" s="73"/>
      <c r="C758" s="73"/>
      <c r="D758" s="73"/>
      <c r="E758" s="73"/>
      <c r="F758" s="72"/>
    </row>
    <row r="759" ht="14.25" customHeight="1">
      <c r="A759" s="73"/>
      <c r="B759" s="73"/>
      <c r="C759" s="73"/>
      <c r="D759" s="73"/>
      <c r="E759" s="73"/>
      <c r="F759" s="72"/>
    </row>
    <row r="760" ht="14.25" customHeight="1">
      <c r="A760" s="73"/>
      <c r="B760" s="73"/>
      <c r="C760" s="73"/>
      <c r="D760" s="73"/>
      <c r="E760" s="73"/>
      <c r="F760" s="72"/>
    </row>
    <row r="761" ht="14.25" customHeight="1">
      <c r="A761" s="73"/>
      <c r="B761" s="73"/>
      <c r="C761" s="73"/>
      <c r="D761" s="73"/>
      <c r="E761" s="73"/>
      <c r="F761" s="72"/>
    </row>
    <row r="762" ht="14.25" customHeight="1">
      <c r="A762" s="73"/>
      <c r="B762" s="73"/>
      <c r="C762" s="73"/>
      <c r="D762" s="73"/>
      <c r="E762" s="73"/>
      <c r="F762" s="72"/>
    </row>
    <row r="763" ht="14.25" customHeight="1">
      <c r="A763" s="73"/>
      <c r="B763" s="73"/>
      <c r="C763" s="73"/>
      <c r="D763" s="73"/>
      <c r="E763" s="73"/>
      <c r="F763" s="72"/>
    </row>
    <row r="764" ht="14.25" customHeight="1">
      <c r="A764" s="73"/>
      <c r="B764" s="73"/>
      <c r="C764" s="73"/>
      <c r="D764" s="73"/>
      <c r="E764" s="73"/>
      <c r="F764" s="72"/>
    </row>
    <row r="765" ht="14.25" customHeight="1">
      <c r="A765" s="73"/>
      <c r="B765" s="73"/>
      <c r="C765" s="73"/>
      <c r="D765" s="73"/>
      <c r="E765" s="73"/>
      <c r="F765" s="72"/>
    </row>
    <row r="766" ht="14.25" customHeight="1">
      <c r="A766" s="73"/>
      <c r="B766" s="73"/>
      <c r="C766" s="73"/>
      <c r="D766" s="73"/>
      <c r="E766" s="73"/>
      <c r="F766" s="72"/>
    </row>
    <row r="767" ht="14.25" customHeight="1">
      <c r="A767" s="73"/>
      <c r="B767" s="73"/>
      <c r="C767" s="73"/>
      <c r="D767" s="73"/>
      <c r="E767" s="73"/>
      <c r="F767" s="72"/>
    </row>
    <row r="768" ht="14.25" customHeight="1">
      <c r="A768" s="73"/>
      <c r="B768" s="73"/>
      <c r="C768" s="73"/>
      <c r="D768" s="73"/>
      <c r="E768" s="73"/>
      <c r="F768" s="72"/>
    </row>
    <row r="769" ht="14.25" customHeight="1">
      <c r="A769" s="73"/>
      <c r="B769" s="73"/>
      <c r="C769" s="73"/>
      <c r="D769" s="73"/>
      <c r="E769" s="73"/>
      <c r="F769" s="72"/>
    </row>
    <row r="770" ht="14.25" customHeight="1">
      <c r="A770" s="73"/>
      <c r="B770" s="73"/>
      <c r="C770" s="73"/>
      <c r="D770" s="73"/>
      <c r="E770" s="73"/>
      <c r="F770" s="72"/>
    </row>
    <row r="771" ht="14.25" customHeight="1">
      <c r="A771" s="73"/>
      <c r="B771" s="73"/>
      <c r="C771" s="73"/>
      <c r="D771" s="73"/>
      <c r="E771" s="73"/>
      <c r="F771" s="72"/>
    </row>
    <row r="772" ht="14.25" customHeight="1">
      <c r="A772" s="73"/>
      <c r="B772" s="73"/>
      <c r="C772" s="73"/>
      <c r="D772" s="73"/>
      <c r="E772" s="73"/>
      <c r="F772" s="72"/>
    </row>
    <row r="773" ht="14.25" customHeight="1">
      <c r="A773" s="73"/>
      <c r="B773" s="73"/>
      <c r="C773" s="73"/>
      <c r="D773" s="73"/>
      <c r="E773" s="73"/>
      <c r="F773" s="72"/>
    </row>
    <row r="774" ht="14.25" customHeight="1">
      <c r="A774" s="73"/>
      <c r="B774" s="73"/>
      <c r="C774" s="73"/>
      <c r="D774" s="73"/>
      <c r="E774" s="73"/>
      <c r="F774" s="72"/>
    </row>
    <row r="775" ht="14.25" customHeight="1">
      <c r="A775" s="73"/>
      <c r="B775" s="73"/>
      <c r="C775" s="73"/>
      <c r="D775" s="73"/>
      <c r="E775" s="73"/>
      <c r="F775" s="72"/>
    </row>
    <row r="776" ht="14.25" customHeight="1">
      <c r="A776" s="73"/>
      <c r="B776" s="73"/>
      <c r="C776" s="73"/>
      <c r="D776" s="73"/>
      <c r="E776" s="73"/>
      <c r="F776" s="72"/>
    </row>
    <row r="777" ht="14.25" customHeight="1">
      <c r="A777" s="73"/>
      <c r="B777" s="73"/>
      <c r="C777" s="73"/>
      <c r="D777" s="73"/>
      <c r="E777" s="73"/>
      <c r="F777" s="72"/>
    </row>
    <row r="778" ht="14.25" customHeight="1">
      <c r="A778" s="73"/>
      <c r="B778" s="73"/>
      <c r="C778" s="73"/>
      <c r="D778" s="73"/>
      <c r="E778" s="73"/>
      <c r="F778" s="72"/>
    </row>
    <row r="779" ht="14.25" customHeight="1">
      <c r="A779" s="73"/>
      <c r="B779" s="73"/>
      <c r="C779" s="73"/>
      <c r="D779" s="73"/>
      <c r="E779" s="73"/>
      <c r="F779" s="72"/>
    </row>
    <row r="780" ht="14.25" customHeight="1">
      <c r="A780" s="73"/>
      <c r="B780" s="73"/>
      <c r="C780" s="73"/>
      <c r="D780" s="73"/>
      <c r="E780" s="73"/>
      <c r="F780" s="72"/>
    </row>
    <row r="781" ht="14.25" customHeight="1">
      <c r="A781" s="73"/>
      <c r="B781" s="73"/>
      <c r="C781" s="73"/>
      <c r="D781" s="73"/>
      <c r="E781" s="73"/>
      <c r="F781" s="72"/>
    </row>
    <row r="782" ht="14.25" customHeight="1">
      <c r="A782" s="73"/>
      <c r="B782" s="73"/>
      <c r="C782" s="73"/>
      <c r="D782" s="73"/>
      <c r="E782" s="73"/>
      <c r="F782" s="72"/>
    </row>
    <row r="783" ht="14.25" customHeight="1">
      <c r="A783" s="73"/>
      <c r="B783" s="73"/>
      <c r="C783" s="73"/>
      <c r="D783" s="73"/>
      <c r="E783" s="73"/>
      <c r="F783" s="72"/>
    </row>
    <row r="784" ht="14.25" customHeight="1">
      <c r="A784" s="73"/>
      <c r="B784" s="73"/>
      <c r="C784" s="73"/>
      <c r="D784" s="73"/>
      <c r="E784" s="73"/>
      <c r="F784" s="72"/>
    </row>
    <row r="785" ht="14.25" customHeight="1">
      <c r="A785" s="73"/>
      <c r="B785" s="73"/>
      <c r="C785" s="73"/>
      <c r="D785" s="73"/>
      <c r="E785" s="73"/>
      <c r="F785" s="72"/>
    </row>
    <row r="786" ht="14.25" customHeight="1">
      <c r="A786" s="73"/>
      <c r="B786" s="73"/>
      <c r="C786" s="73"/>
      <c r="D786" s="73"/>
      <c r="E786" s="73"/>
      <c r="F786" s="72"/>
    </row>
    <row r="787" ht="14.25" customHeight="1">
      <c r="A787" s="73"/>
      <c r="B787" s="73"/>
      <c r="C787" s="73"/>
      <c r="D787" s="73"/>
      <c r="E787" s="73"/>
      <c r="F787" s="72"/>
    </row>
    <row r="788" ht="14.25" customHeight="1">
      <c r="A788" s="73"/>
      <c r="B788" s="73"/>
      <c r="C788" s="73"/>
      <c r="D788" s="73"/>
      <c r="E788" s="73"/>
      <c r="F788" s="72"/>
    </row>
    <row r="789" ht="14.25" customHeight="1">
      <c r="A789" s="73"/>
      <c r="B789" s="73"/>
      <c r="C789" s="73"/>
      <c r="D789" s="73"/>
      <c r="E789" s="73"/>
      <c r="F789" s="72"/>
    </row>
    <row r="790" ht="14.25" customHeight="1">
      <c r="A790" s="73"/>
      <c r="B790" s="73"/>
      <c r="C790" s="73"/>
      <c r="D790" s="73"/>
      <c r="E790" s="73"/>
      <c r="F790" s="72"/>
    </row>
    <row r="791" ht="14.25" customHeight="1">
      <c r="A791" s="73"/>
      <c r="B791" s="73"/>
      <c r="C791" s="73"/>
      <c r="D791" s="73"/>
      <c r="E791" s="73"/>
      <c r="F791" s="72"/>
    </row>
    <row r="792" ht="14.25" customHeight="1">
      <c r="A792" s="73"/>
      <c r="B792" s="73"/>
      <c r="C792" s="73"/>
      <c r="D792" s="73"/>
      <c r="E792" s="73"/>
      <c r="F792" s="72"/>
    </row>
    <row r="793" ht="14.25" customHeight="1">
      <c r="A793" s="73"/>
      <c r="B793" s="73"/>
      <c r="C793" s="73"/>
      <c r="D793" s="73"/>
      <c r="E793" s="73"/>
      <c r="F793" s="72"/>
    </row>
    <row r="794" ht="14.25" customHeight="1">
      <c r="A794" s="73"/>
      <c r="B794" s="73"/>
      <c r="C794" s="73"/>
      <c r="D794" s="73"/>
      <c r="E794" s="73"/>
      <c r="F794" s="72"/>
    </row>
    <row r="795" ht="14.25" customHeight="1">
      <c r="A795" s="73"/>
      <c r="B795" s="73"/>
      <c r="C795" s="73"/>
      <c r="D795" s="73"/>
      <c r="E795" s="73"/>
      <c r="F795" s="72"/>
    </row>
    <row r="796" ht="14.25" customHeight="1">
      <c r="A796" s="73"/>
      <c r="B796" s="73"/>
      <c r="C796" s="73"/>
      <c r="D796" s="73"/>
      <c r="E796" s="73"/>
      <c r="F796" s="72"/>
    </row>
    <row r="797" ht="14.25" customHeight="1">
      <c r="A797" s="73"/>
      <c r="B797" s="73"/>
      <c r="C797" s="73"/>
      <c r="D797" s="73"/>
      <c r="E797" s="73"/>
      <c r="F797" s="72"/>
    </row>
    <row r="798" ht="14.25" customHeight="1">
      <c r="A798" s="73"/>
      <c r="B798" s="73"/>
      <c r="C798" s="73"/>
      <c r="D798" s="73"/>
      <c r="E798" s="73"/>
      <c r="F798" s="72"/>
    </row>
    <row r="799" ht="14.25" customHeight="1">
      <c r="A799" s="73"/>
      <c r="B799" s="73"/>
      <c r="C799" s="73"/>
      <c r="D799" s="73"/>
      <c r="E799" s="73"/>
      <c r="F799" s="72"/>
    </row>
    <row r="800" ht="14.25" customHeight="1">
      <c r="A800" s="73"/>
      <c r="B800" s="73"/>
      <c r="C800" s="73"/>
      <c r="D800" s="73"/>
      <c r="E800" s="73"/>
      <c r="F800" s="72"/>
    </row>
    <row r="801" ht="14.25" customHeight="1">
      <c r="A801" s="73"/>
      <c r="B801" s="73"/>
      <c r="C801" s="73"/>
      <c r="D801" s="73"/>
      <c r="E801" s="73"/>
      <c r="F801" s="72"/>
    </row>
    <row r="802" ht="14.25" customHeight="1">
      <c r="A802" s="73"/>
      <c r="B802" s="73"/>
      <c r="C802" s="73"/>
      <c r="D802" s="73"/>
      <c r="E802" s="73"/>
      <c r="F802" s="72"/>
    </row>
    <row r="803" ht="14.25" customHeight="1">
      <c r="A803" s="73"/>
      <c r="B803" s="73"/>
      <c r="C803" s="73"/>
      <c r="D803" s="73"/>
      <c r="E803" s="73"/>
      <c r="F803" s="72"/>
    </row>
    <row r="804" ht="14.25" customHeight="1">
      <c r="A804" s="73"/>
      <c r="B804" s="73"/>
      <c r="C804" s="73"/>
      <c r="D804" s="73"/>
      <c r="E804" s="73"/>
      <c r="F804" s="72"/>
    </row>
    <row r="805" ht="14.25" customHeight="1">
      <c r="A805" s="73"/>
      <c r="B805" s="73"/>
      <c r="C805" s="73"/>
      <c r="D805" s="73"/>
      <c r="E805" s="73"/>
      <c r="F805" s="72"/>
    </row>
    <row r="806" ht="14.25" customHeight="1">
      <c r="A806" s="73"/>
      <c r="B806" s="73"/>
      <c r="C806" s="73"/>
      <c r="D806" s="73"/>
      <c r="E806" s="73"/>
      <c r="F806" s="72"/>
    </row>
    <row r="807" ht="14.25" customHeight="1">
      <c r="A807" s="73"/>
      <c r="B807" s="73"/>
      <c r="C807" s="73"/>
      <c r="D807" s="73"/>
      <c r="E807" s="73"/>
      <c r="F807" s="72"/>
    </row>
    <row r="808" ht="14.25" customHeight="1">
      <c r="A808" s="73"/>
      <c r="B808" s="73"/>
      <c r="C808" s="73"/>
      <c r="D808" s="73"/>
      <c r="E808" s="73"/>
      <c r="F808" s="72"/>
    </row>
    <row r="809" ht="14.25" customHeight="1">
      <c r="A809" s="73"/>
      <c r="B809" s="73"/>
      <c r="C809" s="73"/>
      <c r="D809" s="73"/>
      <c r="E809" s="73"/>
      <c r="F809" s="72"/>
    </row>
    <row r="810" ht="14.25" customHeight="1">
      <c r="A810" s="73"/>
      <c r="B810" s="73"/>
      <c r="C810" s="73"/>
      <c r="D810" s="73"/>
      <c r="E810" s="73"/>
      <c r="F810" s="72"/>
    </row>
    <row r="811" ht="14.25" customHeight="1">
      <c r="A811" s="73"/>
      <c r="B811" s="73"/>
      <c r="C811" s="73"/>
      <c r="D811" s="73"/>
      <c r="E811" s="73"/>
      <c r="F811" s="72"/>
    </row>
    <row r="812" ht="14.25" customHeight="1">
      <c r="A812" s="73"/>
      <c r="B812" s="73"/>
      <c r="C812" s="73"/>
      <c r="D812" s="73"/>
      <c r="E812" s="73"/>
      <c r="F812" s="72"/>
    </row>
    <row r="813" ht="14.25" customHeight="1">
      <c r="A813" s="73"/>
      <c r="B813" s="73"/>
      <c r="C813" s="73"/>
      <c r="D813" s="73"/>
      <c r="E813" s="73"/>
      <c r="F813" s="72"/>
    </row>
    <row r="814" ht="14.25" customHeight="1">
      <c r="A814" s="73"/>
      <c r="B814" s="73"/>
      <c r="C814" s="73"/>
      <c r="D814" s="73"/>
      <c r="E814" s="73"/>
      <c r="F814" s="72"/>
    </row>
    <row r="815" ht="14.25" customHeight="1">
      <c r="A815" s="73"/>
      <c r="B815" s="73"/>
      <c r="C815" s="73"/>
      <c r="D815" s="73"/>
      <c r="E815" s="73"/>
      <c r="F815" s="72"/>
    </row>
    <row r="816" ht="14.25" customHeight="1">
      <c r="A816" s="73"/>
      <c r="B816" s="73"/>
      <c r="C816" s="73"/>
      <c r="D816" s="73"/>
      <c r="E816" s="73"/>
      <c r="F816" s="72"/>
    </row>
    <row r="817" ht="14.25" customHeight="1">
      <c r="A817" s="73"/>
      <c r="B817" s="73"/>
      <c r="C817" s="73"/>
      <c r="D817" s="73"/>
      <c r="E817" s="73"/>
      <c r="F817" s="72"/>
    </row>
    <row r="818" ht="14.25" customHeight="1">
      <c r="A818" s="73"/>
      <c r="B818" s="73"/>
      <c r="C818" s="73"/>
      <c r="D818" s="73"/>
      <c r="E818" s="73"/>
      <c r="F818" s="72"/>
    </row>
    <row r="819" ht="14.25" customHeight="1">
      <c r="A819" s="73"/>
      <c r="B819" s="73"/>
      <c r="C819" s="73"/>
      <c r="D819" s="73"/>
      <c r="E819" s="73"/>
      <c r="F819" s="72"/>
    </row>
    <row r="820" ht="14.25" customHeight="1">
      <c r="A820" s="73"/>
      <c r="B820" s="73"/>
      <c r="C820" s="73"/>
      <c r="D820" s="73"/>
      <c r="E820" s="73"/>
      <c r="F820" s="72"/>
    </row>
    <row r="821" ht="14.25" customHeight="1">
      <c r="A821" s="73"/>
      <c r="B821" s="73"/>
      <c r="C821" s="73"/>
      <c r="D821" s="73"/>
      <c r="E821" s="73"/>
      <c r="F821" s="72"/>
    </row>
    <row r="822" ht="14.25" customHeight="1">
      <c r="A822" s="73"/>
      <c r="B822" s="73"/>
      <c r="C822" s="73"/>
      <c r="D822" s="73"/>
      <c r="E822" s="73"/>
      <c r="F822" s="72"/>
    </row>
    <row r="823" ht="14.25" customHeight="1">
      <c r="A823" s="73"/>
      <c r="B823" s="73"/>
      <c r="C823" s="73"/>
      <c r="D823" s="73"/>
      <c r="E823" s="73"/>
      <c r="F823" s="72"/>
    </row>
    <row r="824" ht="14.25" customHeight="1">
      <c r="A824" s="73"/>
      <c r="B824" s="73"/>
      <c r="C824" s="73"/>
      <c r="D824" s="73"/>
      <c r="E824" s="73"/>
      <c r="F824" s="72"/>
    </row>
    <row r="825" ht="14.25" customHeight="1">
      <c r="A825" s="73"/>
      <c r="B825" s="73"/>
      <c r="C825" s="73"/>
      <c r="D825" s="73"/>
      <c r="E825" s="73"/>
      <c r="F825" s="72"/>
    </row>
    <row r="826" ht="14.25" customHeight="1">
      <c r="A826" s="73"/>
      <c r="B826" s="73"/>
      <c r="C826" s="73"/>
      <c r="D826" s="73"/>
      <c r="E826" s="73"/>
      <c r="F826" s="72"/>
    </row>
    <row r="827" ht="14.25" customHeight="1">
      <c r="A827" s="73"/>
      <c r="B827" s="73"/>
      <c r="C827" s="73"/>
      <c r="D827" s="73"/>
      <c r="E827" s="73"/>
      <c r="F827" s="72"/>
    </row>
    <row r="828" ht="14.25" customHeight="1">
      <c r="A828" s="73"/>
      <c r="B828" s="73"/>
      <c r="C828" s="73"/>
      <c r="D828" s="73"/>
      <c r="E828" s="73"/>
      <c r="F828" s="72"/>
    </row>
    <row r="829" ht="14.25" customHeight="1">
      <c r="A829" s="73"/>
      <c r="B829" s="73"/>
      <c r="C829" s="73"/>
      <c r="D829" s="73"/>
      <c r="E829" s="73"/>
      <c r="F829" s="72"/>
    </row>
    <row r="830" ht="14.25" customHeight="1">
      <c r="A830" s="73"/>
      <c r="B830" s="73"/>
      <c r="C830" s="73"/>
      <c r="D830" s="73"/>
      <c r="E830" s="73"/>
      <c r="F830" s="72"/>
    </row>
    <row r="831" ht="14.25" customHeight="1">
      <c r="A831" s="73"/>
      <c r="B831" s="73"/>
      <c r="C831" s="73"/>
      <c r="D831" s="73"/>
      <c r="E831" s="73"/>
      <c r="F831" s="72"/>
    </row>
    <row r="832" ht="14.25" customHeight="1">
      <c r="A832" s="73"/>
      <c r="B832" s="73"/>
      <c r="C832" s="73"/>
      <c r="D832" s="73"/>
      <c r="E832" s="73"/>
      <c r="F832" s="72"/>
    </row>
    <row r="833" ht="14.25" customHeight="1">
      <c r="A833" s="73"/>
      <c r="B833" s="73"/>
      <c r="C833" s="73"/>
      <c r="D833" s="73"/>
      <c r="E833" s="73"/>
      <c r="F833" s="72"/>
    </row>
    <row r="834" ht="14.25" customHeight="1">
      <c r="A834" s="73"/>
      <c r="B834" s="73"/>
      <c r="C834" s="73"/>
      <c r="D834" s="73"/>
      <c r="E834" s="73"/>
      <c r="F834" s="72"/>
    </row>
    <row r="835" ht="14.25" customHeight="1">
      <c r="A835" s="73"/>
      <c r="B835" s="73"/>
      <c r="C835" s="73"/>
      <c r="D835" s="73"/>
      <c r="E835" s="73"/>
      <c r="F835" s="72"/>
    </row>
    <row r="836" ht="14.25" customHeight="1">
      <c r="A836" s="73"/>
      <c r="B836" s="73"/>
      <c r="C836" s="73"/>
      <c r="D836" s="73"/>
      <c r="E836" s="73"/>
      <c r="F836" s="72"/>
    </row>
    <row r="837" ht="14.25" customHeight="1">
      <c r="A837" s="73"/>
      <c r="B837" s="73"/>
      <c r="C837" s="73"/>
      <c r="D837" s="73"/>
      <c r="E837" s="73"/>
      <c r="F837" s="72"/>
    </row>
    <row r="838" ht="14.25" customHeight="1">
      <c r="A838" s="73"/>
      <c r="B838" s="73"/>
      <c r="C838" s="73"/>
      <c r="D838" s="73"/>
      <c r="E838" s="73"/>
      <c r="F838" s="72"/>
    </row>
    <row r="839" ht="14.25" customHeight="1">
      <c r="A839" s="73"/>
      <c r="B839" s="73"/>
      <c r="C839" s="73"/>
      <c r="D839" s="73"/>
      <c r="E839" s="73"/>
      <c r="F839" s="72"/>
    </row>
    <row r="840" ht="14.25" customHeight="1">
      <c r="A840" s="73"/>
      <c r="B840" s="73"/>
      <c r="C840" s="73"/>
      <c r="D840" s="73"/>
      <c r="E840" s="73"/>
      <c r="F840" s="72"/>
    </row>
    <row r="841" ht="14.25" customHeight="1">
      <c r="A841" s="73"/>
      <c r="B841" s="73"/>
      <c r="C841" s="73"/>
      <c r="D841" s="73"/>
      <c r="E841" s="73"/>
      <c r="F841" s="72"/>
    </row>
    <row r="842" ht="14.25" customHeight="1">
      <c r="A842" s="73"/>
      <c r="B842" s="73"/>
      <c r="C842" s="73"/>
      <c r="D842" s="73"/>
      <c r="E842" s="73"/>
      <c r="F842" s="72"/>
    </row>
    <row r="843" ht="14.25" customHeight="1">
      <c r="A843" s="73"/>
      <c r="B843" s="73"/>
      <c r="C843" s="73"/>
      <c r="D843" s="73"/>
      <c r="E843" s="73"/>
      <c r="F843" s="72"/>
    </row>
    <row r="844" ht="14.25" customHeight="1">
      <c r="A844" s="73"/>
      <c r="B844" s="73"/>
      <c r="C844" s="73"/>
      <c r="D844" s="73"/>
      <c r="E844" s="73"/>
      <c r="F844" s="72"/>
    </row>
    <row r="845" ht="14.25" customHeight="1">
      <c r="A845" s="73"/>
      <c r="B845" s="73"/>
      <c r="C845" s="73"/>
      <c r="D845" s="73"/>
      <c r="E845" s="73"/>
      <c r="F845" s="72"/>
    </row>
    <row r="846" ht="14.25" customHeight="1">
      <c r="A846" s="73"/>
      <c r="B846" s="73"/>
      <c r="C846" s="73"/>
      <c r="D846" s="73"/>
      <c r="E846" s="73"/>
      <c r="F846" s="72"/>
    </row>
    <row r="847" ht="14.25" customHeight="1">
      <c r="A847" s="73"/>
      <c r="B847" s="73"/>
      <c r="C847" s="73"/>
      <c r="D847" s="73"/>
      <c r="E847" s="73"/>
      <c r="F847" s="72"/>
    </row>
    <row r="848" ht="14.25" customHeight="1">
      <c r="A848" s="73"/>
      <c r="B848" s="73"/>
      <c r="C848" s="73"/>
      <c r="D848" s="73"/>
      <c r="E848" s="73"/>
      <c r="F848" s="72"/>
    </row>
    <row r="849" ht="14.25" customHeight="1">
      <c r="A849" s="73"/>
      <c r="B849" s="73"/>
      <c r="C849" s="73"/>
      <c r="D849" s="73"/>
      <c r="E849" s="73"/>
      <c r="F849" s="72"/>
    </row>
    <row r="850" ht="14.25" customHeight="1">
      <c r="A850" s="73"/>
      <c r="B850" s="73"/>
      <c r="C850" s="73"/>
      <c r="D850" s="73"/>
      <c r="E850" s="73"/>
      <c r="F850" s="72"/>
    </row>
    <row r="851" ht="14.25" customHeight="1">
      <c r="A851" s="73"/>
      <c r="B851" s="73"/>
      <c r="C851" s="73"/>
      <c r="D851" s="73"/>
      <c r="E851" s="73"/>
      <c r="F851" s="72"/>
    </row>
    <row r="852" ht="14.25" customHeight="1">
      <c r="A852" s="73"/>
      <c r="B852" s="73"/>
      <c r="C852" s="73"/>
      <c r="D852" s="73"/>
      <c r="E852" s="73"/>
      <c r="F852" s="72"/>
    </row>
    <row r="853" ht="14.25" customHeight="1">
      <c r="A853" s="73"/>
      <c r="B853" s="73"/>
      <c r="C853" s="73"/>
      <c r="D853" s="73"/>
      <c r="E853" s="73"/>
      <c r="F853" s="72"/>
    </row>
    <row r="854" ht="14.25" customHeight="1">
      <c r="A854" s="73"/>
      <c r="B854" s="73"/>
      <c r="C854" s="73"/>
      <c r="D854" s="73"/>
      <c r="E854" s="73"/>
      <c r="F854" s="72"/>
    </row>
    <row r="855" ht="14.25" customHeight="1">
      <c r="A855" s="73"/>
      <c r="B855" s="73"/>
      <c r="C855" s="73"/>
      <c r="D855" s="73"/>
      <c r="E855" s="73"/>
      <c r="F855" s="72"/>
    </row>
    <row r="856" ht="14.25" customHeight="1">
      <c r="A856" s="73"/>
      <c r="B856" s="73"/>
      <c r="C856" s="73"/>
      <c r="D856" s="73"/>
      <c r="E856" s="73"/>
      <c r="F856" s="72"/>
    </row>
    <row r="857" ht="14.25" customHeight="1">
      <c r="A857" s="73"/>
      <c r="B857" s="73"/>
      <c r="C857" s="73"/>
      <c r="D857" s="73"/>
      <c r="E857" s="73"/>
      <c r="F857" s="72"/>
    </row>
    <row r="858" ht="14.25" customHeight="1">
      <c r="A858" s="73"/>
      <c r="B858" s="73"/>
      <c r="C858" s="73"/>
      <c r="D858" s="73"/>
      <c r="E858" s="73"/>
      <c r="F858" s="72"/>
    </row>
    <row r="859" ht="14.25" customHeight="1">
      <c r="A859" s="73"/>
      <c r="B859" s="73"/>
      <c r="C859" s="73"/>
      <c r="D859" s="73"/>
      <c r="E859" s="73"/>
      <c r="F859" s="72"/>
    </row>
    <row r="860" ht="14.25" customHeight="1">
      <c r="A860" s="73"/>
      <c r="B860" s="73"/>
      <c r="C860" s="73"/>
      <c r="D860" s="73"/>
      <c r="E860" s="73"/>
      <c r="F860" s="72"/>
    </row>
    <row r="861" ht="14.25" customHeight="1">
      <c r="A861" s="73"/>
      <c r="B861" s="73"/>
      <c r="C861" s="73"/>
      <c r="D861" s="73"/>
      <c r="E861" s="73"/>
      <c r="F861" s="72"/>
    </row>
    <row r="862" ht="14.25" customHeight="1">
      <c r="A862" s="73"/>
      <c r="B862" s="73"/>
      <c r="C862" s="73"/>
      <c r="D862" s="73"/>
      <c r="E862" s="73"/>
      <c r="F862" s="72"/>
    </row>
    <row r="863" ht="14.25" customHeight="1">
      <c r="A863" s="73"/>
      <c r="B863" s="73"/>
      <c r="C863" s="73"/>
      <c r="D863" s="73"/>
      <c r="E863" s="73"/>
      <c r="F863" s="72"/>
    </row>
    <row r="864" ht="14.25" customHeight="1">
      <c r="A864" s="73"/>
      <c r="B864" s="73"/>
      <c r="C864" s="73"/>
      <c r="D864" s="73"/>
      <c r="E864" s="73"/>
      <c r="F864" s="72"/>
    </row>
    <row r="865" ht="14.25" customHeight="1">
      <c r="A865" s="73"/>
      <c r="B865" s="73"/>
      <c r="C865" s="73"/>
      <c r="D865" s="73"/>
      <c r="E865" s="73"/>
      <c r="F865" s="72"/>
    </row>
    <row r="866" ht="14.25" customHeight="1">
      <c r="A866" s="73"/>
      <c r="B866" s="73"/>
      <c r="C866" s="73"/>
      <c r="D866" s="73"/>
      <c r="E866" s="73"/>
      <c r="F866" s="72"/>
    </row>
    <row r="867" ht="14.25" customHeight="1">
      <c r="A867" s="73"/>
      <c r="B867" s="73"/>
      <c r="C867" s="73"/>
      <c r="D867" s="73"/>
      <c r="E867" s="73"/>
      <c r="F867" s="72"/>
    </row>
    <row r="868" ht="14.25" customHeight="1">
      <c r="A868" s="73"/>
      <c r="B868" s="73"/>
      <c r="C868" s="73"/>
      <c r="D868" s="73"/>
      <c r="E868" s="73"/>
      <c r="F868" s="72"/>
    </row>
    <row r="869" ht="14.25" customHeight="1">
      <c r="A869" s="73"/>
      <c r="B869" s="73"/>
      <c r="C869" s="73"/>
      <c r="D869" s="73"/>
      <c r="E869" s="73"/>
      <c r="F869" s="72"/>
    </row>
    <row r="870" ht="14.25" customHeight="1">
      <c r="A870" s="73"/>
      <c r="B870" s="73"/>
      <c r="C870" s="73"/>
      <c r="D870" s="73"/>
      <c r="E870" s="73"/>
      <c r="F870" s="72"/>
    </row>
    <row r="871" ht="14.25" customHeight="1">
      <c r="A871" s="73"/>
      <c r="B871" s="73"/>
      <c r="C871" s="73"/>
      <c r="D871" s="73"/>
      <c r="E871" s="73"/>
      <c r="F871" s="72"/>
    </row>
    <row r="872" ht="14.25" customHeight="1">
      <c r="A872" s="73"/>
      <c r="B872" s="73"/>
      <c r="C872" s="73"/>
      <c r="D872" s="73"/>
      <c r="E872" s="73"/>
      <c r="F872" s="72"/>
    </row>
    <row r="873" ht="14.25" customHeight="1">
      <c r="A873" s="73"/>
      <c r="B873" s="73"/>
      <c r="C873" s="73"/>
      <c r="D873" s="73"/>
      <c r="E873" s="73"/>
      <c r="F873" s="72"/>
    </row>
    <row r="874" ht="14.25" customHeight="1">
      <c r="A874" s="73"/>
      <c r="B874" s="73"/>
      <c r="C874" s="73"/>
      <c r="D874" s="73"/>
      <c r="E874" s="73"/>
      <c r="F874" s="72"/>
    </row>
    <row r="875" ht="14.25" customHeight="1">
      <c r="A875" s="73"/>
      <c r="B875" s="73"/>
      <c r="C875" s="73"/>
      <c r="D875" s="73"/>
      <c r="E875" s="73"/>
      <c r="F875" s="72"/>
    </row>
    <row r="876" ht="14.25" customHeight="1">
      <c r="A876" s="73"/>
      <c r="B876" s="73"/>
      <c r="C876" s="73"/>
      <c r="D876" s="73"/>
      <c r="E876" s="73"/>
      <c r="F876" s="72"/>
    </row>
    <row r="877" ht="14.25" customHeight="1">
      <c r="A877" s="73"/>
      <c r="B877" s="73"/>
      <c r="C877" s="73"/>
      <c r="D877" s="73"/>
      <c r="E877" s="73"/>
      <c r="F877" s="72"/>
    </row>
    <row r="878" ht="14.25" customHeight="1">
      <c r="A878" s="73"/>
      <c r="B878" s="73"/>
      <c r="C878" s="73"/>
      <c r="D878" s="73"/>
      <c r="E878" s="73"/>
      <c r="F878" s="72"/>
    </row>
    <row r="879" ht="14.25" customHeight="1">
      <c r="A879" s="73"/>
      <c r="B879" s="73"/>
      <c r="C879" s="73"/>
      <c r="D879" s="73"/>
      <c r="E879" s="73"/>
      <c r="F879" s="72"/>
    </row>
    <row r="880" ht="14.25" customHeight="1">
      <c r="A880" s="73"/>
      <c r="B880" s="73"/>
      <c r="C880" s="73"/>
      <c r="D880" s="73"/>
      <c r="E880" s="73"/>
      <c r="F880" s="72"/>
    </row>
    <row r="881" ht="14.25" customHeight="1">
      <c r="A881" s="73"/>
      <c r="B881" s="73"/>
      <c r="C881" s="73"/>
      <c r="D881" s="73"/>
      <c r="E881" s="73"/>
      <c r="F881" s="72"/>
    </row>
    <row r="882" ht="14.25" customHeight="1">
      <c r="A882" s="73"/>
      <c r="B882" s="73"/>
      <c r="C882" s="73"/>
      <c r="D882" s="73"/>
      <c r="E882" s="73"/>
      <c r="F882" s="72"/>
    </row>
    <row r="883" ht="14.25" customHeight="1">
      <c r="A883" s="73"/>
      <c r="B883" s="73"/>
      <c r="C883" s="73"/>
      <c r="D883" s="73"/>
      <c r="E883" s="73"/>
      <c r="F883" s="72"/>
    </row>
    <row r="884" ht="14.25" customHeight="1">
      <c r="A884" s="73"/>
      <c r="B884" s="73"/>
      <c r="C884" s="73"/>
      <c r="D884" s="73"/>
      <c r="E884" s="73"/>
      <c r="F884" s="72"/>
    </row>
    <row r="885" ht="14.25" customHeight="1">
      <c r="A885" s="73"/>
      <c r="B885" s="73"/>
      <c r="C885" s="73"/>
      <c r="D885" s="73"/>
      <c r="E885" s="73"/>
      <c r="F885" s="72"/>
    </row>
    <row r="886" ht="14.25" customHeight="1">
      <c r="A886" s="73"/>
      <c r="B886" s="73"/>
      <c r="C886" s="73"/>
      <c r="D886" s="73"/>
      <c r="E886" s="73"/>
      <c r="F886" s="72"/>
    </row>
    <row r="887" ht="14.25" customHeight="1">
      <c r="A887" s="73"/>
      <c r="B887" s="73"/>
      <c r="C887" s="73"/>
      <c r="D887" s="73"/>
      <c r="E887" s="73"/>
      <c r="F887" s="72"/>
    </row>
    <row r="888" ht="14.25" customHeight="1">
      <c r="A888" s="73"/>
      <c r="B888" s="73"/>
      <c r="C888" s="73"/>
      <c r="D888" s="73"/>
      <c r="E888" s="73"/>
      <c r="F888" s="72"/>
    </row>
    <row r="889" ht="14.25" customHeight="1">
      <c r="A889" s="73"/>
      <c r="B889" s="73"/>
      <c r="C889" s="73"/>
      <c r="D889" s="73"/>
      <c r="E889" s="73"/>
      <c r="F889" s="72"/>
    </row>
    <row r="890" ht="14.25" customHeight="1">
      <c r="A890" s="73"/>
      <c r="B890" s="73"/>
      <c r="C890" s="73"/>
      <c r="D890" s="73"/>
      <c r="E890" s="73"/>
      <c r="F890" s="72"/>
    </row>
    <row r="891" ht="14.25" customHeight="1">
      <c r="A891" s="73"/>
      <c r="B891" s="73"/>
      <c r="C891" s="73"/>
      <c r="D891" s="73"/>
      <c r="E891" s="73"/>
      <c r="F891" s="72"/>
    </row>
    <row r="892" ht="14.25" customHeight="1">
      <c r="A892" s="73"/>
      <c r="B892" s="73"/>
      <c r="C892" s="73"/>
      <c r="D892" s="73"/>
      <c r="E892" s="73"/>
      <c r="F892" s="72"/>
    </row>
    <row r="893" ht="14.25" customHeight="1">
      <c r="A893" s="73"/>
      <c r="B893" s="73"/>
      <c r="C893" s="73"/>
      <c r="D893" s="73"/>
      <c r="E893" s="73"/>
      <c r="F893" s="72"/>
    </row>
    <row r="894" ht="14.25" customHeight="1">
      <c r="A894" s="73"/>
      <c r="B894" s="73"/>
      <c r="C894" s="73"/>
      <c r="D894" s="73"/>
      <c r="E894" s="73"/>
      <c r="F894" s="72"/>
    </row>
    <row r="895" ht="14.25" customHeight="1">
      <c r="A895" s="73"/>
      <c r="B895" s="73"/>
      <c r="C895" s="73"/>
      <c r="D895" s="73"/>
      <c r="E895" s="73"/>
      <c r="F895" s="72"/>
    </row>
    <row r="896" ht="14.25" customHeight="1">
      <c r="A896" s="73"/>
      <c r="B896" s="73"/>
      <c r="C896" s="73"/>
      <c r="D896" s="73"/>
      <c r="E896" s="73"/>
      <c r="F896" s="72"/>
    </row>
    <row r="897" ht="14.25" customHeight="1">
      <c r="A897" s="73"/>
      <c r="B897" s="73"/>
      <c r="C897" s="73"/>
      <c r="D897" s="73"/>
      <c r="E897" s="73"/>
      <c r="F897" s="72"/>
    </row>
    <row r="898" ht="14.25" customHeight="1">
      <c r="A898" s="73"/>
      <c r="B898" s="73"/>
      <c r="C898" s="73"/>
      <c r="D898" s="73"/>
      <c r="E898" s="73"/>
      <c r="F898" s="72"/>
    </row>
    <row r="899" ht="14.25" customHeight="1">
      <c r="A899" s="73"/>
      <c r="B899" s="73"/>
      <c r="C899" s="73"/>
      <c r="D899" s="73"/>
      <c r="E899" s="73"/>
      <c r="F899" s="72"/>
    </row>
    <row r="900" ht="14.25" customHeight="1">
      <c r="A900" s="73"/>
      <c r="B900" s="73"/>
      <c r="C900" s="73"/>
      <c r="D900" s="73"/>
      <c r="E900" s="73"/>
      <c r="F900" s="72"/>
    </row>
    <row r="901" ht="14.25" customHeight="1">
      <c r="A901" s="73"/>
      <c r="B901" s="73"/>
      <c r="C901" s="73"/>
      <c r="D901" s="73"/>
      <c r="E901" s="73"/>
      <c r="F901" s="72"/>
    </row>
    <row r="902" ht="14.25" customHeight="1">
      <c r="A902" s="73"/>
      <c r="B902" s="73"/>
      <c r="C902" s="73"/>
      <c r="D902" s="73"/>
      <c r="E902" s="73"/>
      <c r="F902" s="72"/>
    </row>
    <row r="903" ht="14.25" customHeight="1">
      <c r="A903" s="73"/>
      <c r="B903" s="73"/>
      <c r="C903" s="73"/>
      <c r="D903" s="73"/>
      <c r="E903" s="73"/>
      <c r="F903" s="72"/>
    </row>
    <row r="904" ht="14.25" customHeight="1">
      <c r="A904" s="73"/>
      <c r="B904" s="73"/>
      <c r="C904" s="73"/>
      <c r="D904" s="73"/>
      <c r="E904" s="73"/>
      <c r="F904" s="72"/>
    </row>
    <row r="905" ht="14.25" customHeight="1">
      <c r="A905" s="73"/>
      <c r="B905" s="73"/>
      <c r="C905" s="73"/>
      <c r="D905" s="73"/>
      <c r="E905" s="73"/>
      <c r="F905" s="72"/>
    </row>
    <row r="906" ht="14.25" customHeight="1">
      <c r="A906" s="73"/>
      <c r="B906" s="73"/>
      <c r="C906" s="73"/>
      <c r="D906" s="73"/>
      <c r="E906" s="73"/>
      <c r="F906" s="72"/>
    </row>
    <row r="907" ht="14.25" customHeight="1">
      <c r="A907" s="73"/>
      <c r="B907" s="73"/>
      <c r="C907" s="73"/>
      <c r="D907" s="73"/>
      <c r="E907" s="73"/>
      <c r="F907" s="72"/>
    </row>
    <row r="908" ht="14.25" customHeight="1">
      <c r="A908" s="73"/>
      <c r="B908" s="73"/>
      <c r="C908" s="73"/>
      <c r="D908" s="73"/>
      <c r="E908" s="73"/>
      <c r="F908" s="72"/>
    </row>
    <row r="909" ht="14.25" customHeight="1">
      <c r="A909" s="73"/>
      <c r="B909" s="73"/>
      <c r="C909" s="73"/>
      <c r="D909" s="73"/>
      <c r="E909" s="73"/>
      <c r="F909" s="72"/>
    </row>
    <row r="910" ht="14.25" customHeight="1">
      <c r="A910" s="73"/>
      <c r="B910" s="73"/>
      <c r="C910" s="73"/>
      <c r="D910" s="73"/>
      <c r="E910" s="73"/>
      <c r="F910" s="72"/>
    </row>
    <row r="911" ht="14.25" customHeight="1">
      <c r="A911" s="73"/>
      <c r="B911" s="73"/>
      <c r="C911" s="73"/>
      <c r="D911" s="73"/>
      <c r="E911" s="73"/>
      <c r="F911" s="72"/>
    </row>
    <row r="912" ht="14.25" customHeight="1">
      <c r="A912" s="73"/>
      <c r="B912" s="73"/>
      <c r="C912" s="73"/>
      <c r="D912" s="73"/>
      <c r="E912" s="73"/>
      <c r="F912" s="72"/>
    </row>
    <row r="913" ht="14.25" customHeight="1">
      <c r="A913" s="73"/>
      <c r="B913" s="73"/>
      <c r="C913" s="73"/>
      <c r="D913" s="73"/>
      <c r="E913" s="73"/>
      <c r="F913" s="72"/>
    </row>
    <row r="914" ht="14.25" customHeight="1">
      <c r="A914" s="73"/>
      <c r="B914" s="73"/>
      <c r="C914" s="73"/>
      <c r="D914" s="73"/>
      <c r="E914" s="73"/>
      <c r="F914" s="72"/>
    </row>
    <row r="915" ht="14.25" customHeight="1">
      <c r="A915" s="73"/>
      <c r="B915" s="73"/>
      <c r="C915" s="73"/>
      <c r="D915" s="73"/>
      <c r="E915" s="73"/>
      <c r="F915" s="72"/>
    </row>
    <row r="916" ht="14.25" customHeight="1">
      <c r="A916" s="73"/>
      <c r="B916" s="73"/>
      <c r="C916" s="73"/>
      <c r="D916" s="73"/>
      <c r="E916" s="73"/>
      <c r="F916" s="72"/>
    </row>
    <row r="917" ht="14.25" customHeight="1">
      <c r="A917" s="73"/>
      <c r="B917" s="73"/>
      <c r="C917" s="73"/>
      <c r="D917" s="73"/>
      <c r="E917" s="73"/>
      <c r="F917" s="72"/>
    </row>
    <row r="918" ht="14.25" customHeight="1">
      <c r="A918" s="73"/>
      <c r="B918" s="73"/>
      <c r="C918" s="73"/>
      <c r="D918" s="73"/>
      <c r="E918" s="73"/>
      <c r="F918" s="72"/>
    </row>
    <row r="919" ht="14.25" customHeight="1">
      <c r="A919" s="73"/>
      <c r="B919" s="73"/>
      <c r="C919" s="73"/>
      <c r="D919" s="73"/>
      <c r="E919" s="73"/>
      <c r="F919" s="72"/>
    </row>
    <row r="920" ht="14.25" customHeight="1">
      <c r="A920" s="73"/>
      <c r="B920" s="73"/>
      <c r="C920" s="73"/>
      <c r="D920" s="73"/>
      <c r="E920" s="73"/>
      <c r="F920" s="72"/>
    </row>
    <row r="921" ht="14.25" customHeight="1">
      <c r="A921" s="73"/>
      <c r="B921" s="73"/>
      <c r="C921" s="73"/>
      <c r="D921" s="73"/>
      <c r="E921" s="73"/>
      <c r="F921" s="72"/>
    </row>
    <row r="922" ht="14.25" customHeight="1">
      <c r="A922" s="73"/>
      <c r="B922" s="73"/>
      <c r="C922" s="73"/>
      <c r="D922" s="73"/>
      <c r="E922" s="73"/>
      <c r="F922" s="72"/>
    </row>
    <row r="923" ht="14.25" customHeight="1">
      <c r="A923" s="73"/>
      <c r="B923" s="73"/>
      <c r="C923" s="73"/>
      <c r="D923" s="73"/>
      <c r="E923" s="73"/>
      <c r="F923" s="72"/>
    </row>
    <row r="924" ht="14.25" customHeight="1">
      <c r="A924" s="73"/>
      <c r="B924" s="73"/>
      <c r="C924" s="73"/>
      <c r="D924" s="73"/>
      <c r="E924" s="73"/>
      <c r="F924" s="72"/>
    </row>
    <row r="925" ht="14.25" customHeight="1">
      <c r="A925" s="73"/>
      <c r="B925" s="73"/>
      <c r="C925" s="73"/>
      <c r="D925" s="73"/>
      <c r="E925" s="73"/>
      <c r="F925" s="72"/>
    </row>
    <row r="926" ht="14.25" customHeight="1">
      <c r="A926" s="73"/>
      <c r="B926" s="73"/>
      <c r="C926" s="73"/>
      <c r="D926" s="73"/>
      <c r="E926" s="73"/>
      <c r="F926" s="72"/>
    </row>
    <row r="927" ht="14.25" customHeight="1">
      <c r="A927" s="73"/>
      <c r="B927" s="73"/>
      <c r="C927" s="73"/>
      <c r="D927" s="73"/>
      <c r="E927" s="73"/>
      <c r="F927" s="72"/>
    </row>
    <row r="928" ht="14.25" customHeight="1">
      <c r="A928" s="73"/>
      <c r="B928" s="73"/>
      <c r="C928" s="73"/>
      <c r="D928" s="73"/>
      <c r="E928" s="73"/>
      <c r="F928" s="72"/>
    </row>
    <row r="929" ht="14.25" customHeight="1">
      <c r="A929" s="73"/>
      <c r="B929" s="73"/>
      <c r="C929" s="73"/>
      <c r="D929" s="73"/>
      <c r="E929" s="73"/>
      <c r="F929" s="72"/>
    </row>
    <row r="930" ht="14.25" customHeight="1">
      <c r="A930" s="73"/>
      <c r="B930" s="73"/>
      <c r="C930" s="73"/>
      <c r="D930" s="73"/>
      <c r="E930" s="73"/>
      <c r="F930" s="72"/>
    </row>
    <row r="931" ht="14.25" customHeight="1">
      <c r="A931" s="73"/>
      <c r="B931" s="73"/>
      <c r="C931" s="73"/>
      <c r="D931" s="73"/>
      <c r="E931" s="73"/>
      <c r="F931" s="72"/>
    </row>
    <row r="932" ht="14.25" customHeight="1">
      <c r="A932" s="73"/>
      <c r="B932" s="73"/>
      <c r="C932" s="73"/>
      <c r="D932" s="73"/>
      <c r="E932" s="73"/>
      <c r="F932" s="72"/>
    </row>
    <row r="933" ht="14.25" customHeight="1">
      <c r="A933" s="73"/>
      <c r="B933" s="73"/>
      <c r="C933" s="73"/>
      <c r="D933" s="73"/>
      <c r="E933" s="73"/>
      <c r="F933" s="72"/>
    </row>
    <row r="934" ht="14.25" customHeight="1">
      <c r="A934" s="73"/>
      <c r="B934" s="73"/>
      <c r="C934" s="73"/>
      <c r="D934" s="73"/>
      <c r="E934" s="73"/>
      <c r="F934" s="72"/>
    </row>
    <row r="935" ht="14.25" customHeight="1">
      <c r="A935" s="73"/>
      <c r="B935" s="73"/>
      <c r="C935" s="73"/>
      <c r="D935" s="73"/>
      <c r="E935" s="73"/>
      <c r="F935" s="72"/>
    </row>
    <row r="936" ht="14.25" customHeight="1">
      <c r="A936" s="73"/>
      <c r="B936" s="73"/>
      <c r="C936" s="73"/>
      <c r="D936" s="73"/>
      <c r="E936" s="73"/>
      <c r="F936" s="72"/>
    </row>
    <row r="937" ht="14.25" customHeight="1">
      <c r="A937" s="73"/>
      <c r="B937" s="73"/>
      <c r="C937" s="73"/>
      <c r="D937" s="73"/>
      <c r="E937" s="73"/>
      <c r="F937" s="72"/>
    </row>
    <row r="938" ht="14.25" customHeight="1">
      <c r="A938" s="73"/>
      <c r="B938" s="73"/>
      <c r="C938" s="73"/>
      <c r="D938" s="73"/>
      <c r="E938" s="73"/>
      <c r="F938" s="72"/>
    </row>
    <row r="939" ht="14.25" customHeight="1">
      <c r="A939" s="73"/>
      <c r="B939" s="73"/>
      <c r="C939" s="73"/>
      <c r="D939" s="73"/>
      <c r="E939" s="73"/>
      <c r="F939" s="72"/>
    </row>
    <row r="940" ht="14.25" customHeight="1">
      <c r="A940" s="73"/>
      <c r="B940" s="73"/>
      <c r="C940" s="73"/>
      <c r="D940" s="73"/>
      <c r="E940" s="73"/>
      <c r="F940" s="72"/>
    </row>
    <row r="941" ht="14.25" customHeight="1">
      <c r="A941" s="73"/>
      <c r="B941" s="73"/>
      <c r="C941" s="73"/>
      <c r="D941" s="73"/>
      <c r="E941" s="73"/>
      <c r="F941" s="72"/>
    </row>
    <row r="942" ht="14.25" customHeight="1">
      <c r="A942" s="73"/>
      <c r="B942" s="73"/>
      <c r="C942" s="73"/>
      <c r="D942" s="73"/>
      <c r="E942" s="73"/>
      <c r="F942" s="72"/>
    </row>
    <row r="943" ht="14.25" customHeight="1">
      <c r="A943" s="73"/>
      <c r="B943" s="73"/>
      <c r="C943" s="73"/>
      <c r="D943" s="73"/>
      <c r="E943" s="73"/>
      <c r="F943" s="72"/>
    </row>
    <row r="944" ht="14.25" customHeight="1">
      <c r="A944" s="73"/>
      <c r="B944" s="73"/>
      <c r="C944" s="73"/>
      <c r="D944" s="73"/>
      <c r="E944" s="73"/>
      <c r="F944" s="72"/>
    </row>
    <row r="945" ht="14.25" customHeight="1">
      <c r="A945" s="73"/>
      <c r="B945" s="73"/>
      <c r="C945" s="73"/>
      <c r="D945" s="73"/>
      <c r="E945" s="73"/>
      <c r="F945" s="72"/>
    </row>
    <row r="946" ht="14.25" customHeight="1">
      <c r="A946" s="73"/>
      <c r="B946" s="73"/>
      <c r="C946" s="73"/>
      <c r="D946" s="73"/>
      <c r="E946" s="73"/>
      <c r="F946" s="72"/>
    </row>
    <row r="947" ht="14.25" customHeight="1">
      <c r="A947" s="73"/>
      <c r="B947" s="73"/>
      <c r="C947" s="73"/>
      <c r="D947" s="73"/>
      <c r="E947" s="73"/>
      <c r="F947" s="72"/>
    </row>
    <row r="948" ht="14.25" customHeight="1">
      <c r="A948" s="73"/>
      <c r="B948" s="73"/>
      <c r="C948" s="73"/>
      <c r="D948" s="73"/>
      <c r="E948" s="73"/>
      <c r="F948" s="72"/>
    </row>
    <row r="949" ht="14.25" customHeight="1">
      <c r="A949" s="73"/>
      <c r="B949" s="73"/>
      <c r="C949" s="73"/>
      <c r="D949" s="73"/>
      <c r="E949" s="73"/>
      <c r="F949" s="72"/>
    </row>
    <row r="950" ht="14.25" customHeight="1">
      <c r="A950" s="73"/>
      <c r="B950" s="73"/>
      <c r="C950" s="73"/>
      <c r="D950" s="73"/>
      <c r="E950" s="73"/>
      <c r="F950" s="72"/>
    </row>
    <row r="951" ht="14.25" customHeight="1">
      <c r="A951" s="73"/>
      <c r="B951" s="73"/>
      <c r="C951" s="73"/>
      <c r="D951" s="73"/>
      <c r="E951" s="73"/>
      <c r="F951" s="72"/>
    </row>
    <row r="952" ht="14.25" customHeight="1">
      <c r="A952" s="73"/>
      <c r="B952" s="73"/>
      <c r="C952" s="73"/>
      <c r="D952" s="73"/>
      <c r="E952" s="73"/>
      <c r="F952" s="72"/>
    </row>
    <row r="953" ht="14.25" customHeight="1">
      <c r="A953" s="73"/>
      <c r="B953" s="73"/>
      <c r="C953" s="73"/>
      <c r="D953" s="73"/>
      <c r="E953" s="73"/>
      <c r="F953" s="72"/>
    </row>
    <row r="954" ht="14.25" customHeight="1">
      <c r="A954" s="73"/>
      <c r="B954" s="73"/>
      <c r="C954" s="73"/>
      <c r="D954" s="73"/>
      <c r="E954" s="73"/>
      <c r="F954" s="72"/>
    </row>
    <row r="955" ht="14.25" customHeight="1">
      <c r="A955" s="73"/>
      <c r="B955" s="73"/>
      <c r="C955" s="73"/>
      <c r="D955" s="73"/>
      <c r="E955" s="73"/>
      <c r="F955" s="72"/>
    </row>
    <row r="956" ht="14.25" customHeight="1">
      <c r="A956" s="73"/>
      <c r="B956" s="73"/>
      <c r="C956" s="73"/>
      <c r="D956" s="73"/>
      <c r="E956" s="73"/>
      <c r="F956" s="72"/>
    </row>
    <row r="957" ht="14.25" customHeight="1">
      <c r="A957" s="73"/>
      <c r="B957" s="73"/>
      <c r="C957" s="73"/>
      <c r="D957" s="73"/>
      <c r="E957" s="73"/>
      <c r="F957" s="72"/>
    </row>
    <row r="958" ht="14.25" customHeight="1">
      <c r="A958" s="73"/>
      <c r="B958" s="73"/>
      <c r="C958" s="73"/>
      <c r="D958" s="73"/>
      <c r="E958" s="73"/>
      <c r="F958" s="72"/>
    </row>
    <row r="959" ht="14.25" customHeight="1">
      <c r="A959" s="73"/>
      <c r="B959" s="73"/>
      <c r="C959" s="73"/>
      <c r="D959" s="73"/>
      <c r="E959" s="73"/>
      <c r="F959" s="72"/>
    </row>
    <row r="960" ht="14.25" customHeight="1">
      <c r="A960" s="73"/>
      <c r="B960" s="73"/>
      <c r="C960" s="73"/>
      <c r="D960" s="73"/>
      <c r="E960" s="73"/>
      <c r="F960" s="72"/>
    </row>
    <row r="961" ht="14.25" customHeight="1">
      <c r="A961" s="73"/>
      <c r="B961" s="73"/>
      <c r="C961" s="73"/>
      <c r="D961" s="73"/>
      <c r="E961" s="73"/>
      <c r="F961" s="72"/>
    </row>
    <row r="962" ht="14.25" customHeight="1">
      <c r="A962" s="73"/>
      <c r="B962" s="73"/>
      <c r="C962" s="73"/>
      <c r="D962" s="73"/>
      <c r="E962" s="73"/>
      <c r="F962" s="72"/>
    </row>
    <row r="963" ht="14.25" customHeight="1">
      <c r="A963" s="73"/>
      <c r="B963" s="73"/>
      <c r="C963" s="73"/>
      <c r="D963" s="73"/>
      <c r="E963" s="73"/>
      <c r="F963" s="72"/>
    </row>
    <row r="964" ht="14.25" customHeight="1">
      <c r="A964" s="73"/>
      <c r="B964" s="73"/>
      <c r="C964" s="73"/>
      <c r="D964" s="73"/>
      <c r="E964" s="73"/>
      <c r="F964" s="72"/>
    </row>
    <row r="965" ht="14.25" customHeight="1">
      <c r="A965" s="73"/>
      <c r="B965" s="73"/>
      <c r="C965" s="73"/>
      <c r="D965" s="73"/>
      <c r="E965" s="73"/>
      <c r="F965" s="72"/>
    </row>
    <row r="966" ht="14.25" customHeight="1">
      <c r="A966" s="73"/>
      <c r="B966" s="73"/>
      <c r="C966" s="73"/>
      <c r="D966" s="73"/>
      <c r="E966" s="73"/>
      <c r="F966" s="72"/>
    </row>
    <row r="967" ht="14.25" customHeight="1">
      <c r="A967" s="73"/>
      <c r="B967" s="73"/>
      <c r="C967" s="73"/>
      <c r="D967" s="73"/>
      <c r="E967" s="73"/>
      <c r="F967" s="72"/>
    </row>
    <row r="968" ht="14.25" customHeight="1">
      <c r="A968" s="73"/>
      <c r="B968" s="73"/>
      <c r="C968" s="73"/>
      <c r="D968" s="73"/>
      <c r="E968" s="73"/>
      <c r="F968" s="72"/>
    </row>
    <row r="969" ht="14.25" customHeight="1">
      <c r="A969" s="73"/>
      <c r="B969" s="73"/>
      <c r="C969" s="73"/>
      <c r="D969" s="73"/>
      <c r="E969" s="73"/>
      <c r="F969" s="72"/>
    </row>
    <row r="970" ht="14.25" customHeight="1">
      <c r="A970" s="73"/>
      <c r="B970" s="73"/>
      <c r="C970" s="73"/>
      <c r="D970" s="73"/>
      <c r="E970" s="73"/>
      <c r="F970" s="72"/>
    </row>
    <row r="971" ht="14.25" customHeight="1">
      <c r="A971" s="73"/>
      <c r="B971" s="73"/>
      <c r="C971" s="73"/>
      <c r="D971" s="73"/>
      <c r="E971" s="73"/>
      <c r="F971" s="72"/>
    </row>
    <row r="972" ht="14.25" customHeight="1">
      <c r="A972" s="73"/>
      <c r="B972" s="73"/>
      <c r="C972" s="73"/>
      <c r="D972" s="73"/>
      <c r="E972" s="73"/>
      <c r="F972" s="72"/>
    </row>
    <row r="973" ht="14.25" customHeight="1">
      <c r="A973" s="73"/>
      <c r="B973" s="73"/>
      <c r="C973" s="73"/>
      <c r="D973" s="73"/>
      <c r="E973" s="73"/>
      <c r="F973" s="72"/>
    </row>
    <row r="974" ht="14.25" customHeight="1">
      <c r="A974" s="73"/>
      <c r="B974" s="73"/>
      <c r="C974" s="73"/>
      <c r="D974" s="73"/>
      <c r="E974" s="73"/>
      <c r="F974" s="72"/>
    </row>
    <row r="975" ht="14.25" customHeight="1">
      <c r="A975" s="73"/>
      <c r="B975" s="73"/>
      <c r="C975" s="73"/>
      <c r="D975" s="73"/>
      <c r="E975" s="73"/>
      <c r="F975" s="72"/>
    </row>
    <row r="976" ht="14.25" customHeight="1">
      <c r="A976" s="73"/>
      <c r="B976" s="73"/>
      <c r="C976" s="73"/>
      <c r="D976" s="73"/>
      <c r="E976" s="73"/>
      <c r="F976" s="72"/>
    </row>
    <row r="977" ht="14.25" customHeight="1">
      <c r="A977" s="73"/>
      <c r="B977" s="73"/>
      <c r="C977" s="73"/>
      <c r="D977" s="73"/>
      <c r="E977" s="73"/>
      <c r="F977" s="72"/>
    </row>
    <row r="978" ht="14.25" customHeight="1">
      <c r="A978" s="73"/>
      <c r="B978" s="73"/>
      <c r="C978" s="73"/>
      <c r="D978" s="73"/>
      <c r="E978" s="73"/>
      <c r="F978" s="72"/>
    </row>
    <row r="979" ht="14.25" customHeight="1">
      <c r="A979" s="73"/>
      <c r="B979" s="73"/>
      <c r="C979" s="73"/>
      <c r="D979" s="73"/>
      <c r="E979" s="73"/>
      <c r="F979" s="72"/>
    </row>
    <row r="980" ht="14.25" customHeight="1">
      <c r="A980" s="73"/>
      <c r="B980" s="73"/>
      <c r="C980" s="73"/>
      <c r="D980" s="73"/>
      <c r="E980" s="73"/>
      <c r="F980" s="72"/>
    </row>
    <row r="981" ht="14.25" customHeight="1">
      <c r="A981" s="73"/>
      <c r="B981" s="73"/>
      <c r="C981" s="73"/>
      <c r="D981" s="73"/>
      <c r="E981" s="73"/>
      <c r="F981" s="72"/>
    </row>
    <row r="982" ht="14.25" customHeight="1">
      <c r="A982" s="73"/>
      <c r="B982" s="73"/>
      <c r="C982" s="73"/>
      <c r="D982" s="73"/>
      <c r="E982" s="73"/>
      <c r="F982" s="72"/>
    </row>
    <row r="983" ht="14.25" customHeight="1">
      <c r="A983" s="73"/>
      <c r="B983" s="73"/>
      <c r="C983" s="73"/>
      <c r="D983" s="73"/>
      <c r="E983" s="73"/>
      <c r="F983" s="72"/>
    </row>
    <row r="984" ht="14.25" customHeight="1">
      <c r="A984" s="73"/>
      <c r="B984" s="73"/>
      <c r="C984" s="73"/>
      <c r="D984" s="73"/>
      <c r="E984" s="73"/>
      <c r="F984" s="72"/>
    </row>
    <row r="985" ht="14.25" customHeight="1">
      <c r="A985" s="73"/>
      <c r="B985" s="73"/>
      <c r="C985" s="73"/>
      <c r="D985" s="73"/>
      <c r="E985" s="73"/>
      <c r="F985" s="72"/>
    </row>
    <row r="986" ht="14.25" customHeight="1">
      <c r="A986" s="73"/>
      <c r="B986" s="73"/>
      <c r="C986" s="73"/>
      <c r="D986" s="73"/>
      <c r="E986" s="73"/>
      <c r="F986" s="72"/>
    </row>
    <row r="987" ht="14.25" customHeight="1">
      <c r="A987" s="73"/>
      <c r="B987" s="73"/>
      <c r="C987" s="73"/>
      <c r="D987" s="73"/>
      <c r="E987" s="73"/>
      <c r="F987" s="72"/>
    </row>
    <row r="988" ht="14.25" customHeight="1">
      <c r="A988" s="73"/>
      <c r="B988" s="73"/>
      <c r="C988" s="73"/>
      <c r="D988" s="73"/>
      <c r="E988" s="73"/>
      <c r="F988" s="72"/>
    </row>
    <row r="989" ht="14.25" customHeight="1">
      <c r="A989" s="73"/>
      <c r="B989" s="73"/>
      <c r="C989" s="73"/>
      <c r="D989" s="73"/>
      <c r="E989" s="73"/>
      <c r="F989" s="72"/>
    </row>
    <row r="990" ht="14.25" customHeight="1">
      <c r="A990" s="73"/>
      <c r="B990" s="73"/>
      <c r="C990" s="73"/>
      <c r="D990" s="73"/>
      <c r="E990" s="73"/>
      <c r="F990" s="72"/>
    </row>
    <row r="991" ht="14.25" customHeight="1">
      <c r="A991" s="73"/>
      <c r="B991" s="73"/>
      <c r="C991" s="73"/>
      <c r="D991" s="73"/>
      <c r="E991" s="73"/>
      <c r="F991" s="72"/>
    </row>
    <row r="992" ht="14.25" customHeight="1">
      <c r="A992" s="73"/>
      <c r="B992" s="73"/>
      <c r="C992" s="73"/>
      <c r="D992" s="73"/>
      <c r="E992" s="73"/>
      <c r="F992" s="72"/>
    </row>
    <row r="993" ht="14.25" customHeight="1">
      <c r="A993" s="73"/>
      <c r="B993" s="73"/>
      <c r="C993" s="73"/>
      <c r="D993" s="73"/>
      <c r="E993" s="73"/>
      <c r="F993" s="72"/>
    </row>
    <row r="994" ht="14.25" customHeight="1">
      <c r="A994" s="73"/>
      <c r="B994" s="73"/>
      <c r="C994" s="73"/>
      <c r="D994" s="73"/>
      <c r="E994" s="73"/>
      <c r="F994" s="72"/>
    </row>
    <row r="995" ht="14.25" customHeight="1">
      <c r="A995" s="73"/>
      <c r="B995" s="73"/>
      <c r="C995" s="73"/>
      <c r="D995" s="73"/>
      <c r="E995" s="73"/>
      <c r="F995" s="72"/>
    </row>
    <row r="996" ht="14.25" customHeight="1">
      <c r="A996" s="73"/>
      <c r="B996" s="73"/>
      <c r="C996" s="73"/>
      <c r="D996" s="73"/>
      <c r="E996" s="73"/>
      <c r="F996" s="72"/>
    </row>
    <row r="997" ht="14.25" customHeight="1">
      <c r="A997" s="73"/>
      <c r="B997" s="73"/>
      <c r="C997" s="73"/>
      <c r="D997" s="73"/>
      <c r="E997" s="73"/>
      <c r="F997" s="72"/>
    </row>
    <row r="998" ht="14.25" customHeight="1">
      <c r="A998" s="73"/>
      <c r="B998" s="73"/>
      <c r="C998" s="73"/>
      <c r="D998" s="73"/>
      <c r="E998" s="73"/>
      <c r="F998" s="72"/>
    </row>
    <row r="999" ht="14.25" customHeight="1">
      <c r="A999" s="73"/>
      <c r="B999" s="73"/>
      <c r="C999" s="73"/>
      <c r="D999" s="73"/>
      <c r="E999" s="73"/>
      <c r="F999" s="72"/>
    </row>
    <row r="1000" ht="14.25" customHeight="1">
      <c r="A1000" s="73"/>
      <c r="B1000" s="73"/>
      <c r="C1000" s="73"/>
      <c r="D1000" s="73"/>
      <c r="E1000" s="73"/>
      <c r="F1000" s="72"/>
    </row>
  </sheetData>
  <mergeCells count="24">
    <mergeCell ref="A1:T1"/>
    <mergeCell ref="G2:H2"/>
    <mergeCell ref="I2:J2"/>
    <mergeCell ref="K2:L2"/>
    <mergeCell ref="M2:N2"/>
    <mergeCell ref="O2:P2"/>
    <mergeCell ref="Q2:R2"/>
    <mergeCell ref="C19:C22"/>
    <mergeCell ref="F20:F22"/>
    <mergeCell ref="S20:S22"/>
    <mergeCell ref="B19:B22"/>
    <mergeCell ref="B29:B31"/>
    <mergeCell ref="B32:B33"/>
    <mergeCell ref="A38:F38"/>
    <mergeCell ref="A39:B39"/>
    <mergeCell ref="A46:E46"/>
    <mergeCell ref="A2:B2"/>
    <mergeCell ref="B4:B5"/>
    <mergeCell ref="C4:C5"/>
    <mergeCell ref="B6:B7"/>
    <mergeCell ref="C6:C7"/>
    <mergeCell ref="B13:B14"/>
    <mergeCell ref="C26:C27"/>
    <mergeCell ref="C29:C3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5" width="10.63"/>
    <col customWidth="1" min="6" max="6" width="16.25"/>
    <col customWidth="1" min="7" max="8" width="10.63"/>
    <col customWidth="1" min="9" max="9" width="18.25"/>
    <col customWidth="1" min="10" max="10" width="10.63"/>
    <col customWidth="1" min="11" max="11" width="14.5"/>
    <col customWidth="1" min="12" max="12" width="19.5"/>
    <col customWidth="1" min="13" max="20" width="10.63"/>
    <col customWidth="1" min="21" max="21" width="15.63"/>
    <col customWidth="1" min="22" max="26" width="10.63"/>
  </cols>
  <sheetData>
    <row r="1" ht="14.25" customHeight="1"/>
    <row r="2" ht="14.25" customHeight="1">
      <c r="F2" s="416" t="s">
        <v>475</v>
      </c>
      <c r="G2" s="2"/>
      <c r="H2" s="2"/>
      <c r="I2" s="2"/>
      <c r="J2" s="2"/>
      <c r="K2" s="2"/>
      <c r="L2" s="3"/>
    </row>
    <row r="3" ht="14.25" customHeight="1">
      <c r="F3" s="52" t="s">
        <v>402</v>
      </c>
      <c r="G3" s="52" t="s">
        <v>220</v>
      </c>
      <c r="H3" s="52" t="s">
        <v>413</v>
      </c>
      <c r="I3" s="417" t="s">
        <v>414</v>
      </c>
      <c r="J3" s="418" t="s">
        <v>415</v>
      </c>
      <c r="K3" s="52" t="s">
        <v>416</v>
      </c>
      <c r="L3" s="139" t="s">
        <v>417</v>
      </c>
    </row>
    <row r="4" ht="14.25" customHeight="1">
      <c r="F4" s="307" t="s">
        <v>419</v>
      </c>
      <c r="G4" s="140" t="s">
        <v>420</v>
      </c>
      <c r="H4" s="307">
        <v>400.0</v>
      </c>
      <c r="I4" s="307">
        <f>H4*7</f>
        <v>2800</v>
      </c>
      <c r="J4" s="140">
        <v>1163.266</v>
      </c>
      <c r="K4" s="307">
        <f>J4+J5+J6</f>
        <v>1753.266</v>
      </c>
      <c r="L4" s="307">
        <f>I4-K4</f>
        <v>1046.734</v>
      </c>
    </row>
    <row r="5" ht="14.25" customHeight="1">
      <c r="F5" s="44"/>
      <c r="G5" s="140" t="s">
        <v>422</v>
      </c>
      <c r="H5" s="44"/>
      <c r="I5" s="44"/>
      <c r="J5" s="140">
        <v>590.0</v>
      </c>
      <c r="K5" s="44"/>
      <c r="L5" s="44"/>
    </row>
    <row r="6" ht="14.25" customHeight="1">
      <c r="F6" s="12"/>
      <c r="G6" s="140" t="s">
        <v>424</v>
      </c>
      <c r="H6" s="12"/>
      <c r="I6" s="12"/>
      <c r="J6" s="140"/>
      <c r="K6" s="12"/>
      <c r="L6" s="12"/>
    </row>
    <row r="7" ht="14.25" customHeight="1">
      <c r="F7" s="307" t="s">
        <v>230</v>
      </c>
      <c r="G7" s="140" t="s">
        <v>426</v>
      </c>
      <c r="H7" s="307">
        <v>550.0</v>
      </c>
      <c r="I7" s="307">
        <f>H7*7</f>
        <v>3850</v>
      </c>
      <c r="J7" s="140">
        <v>553.0</v>
      </c>
      <c r="K7" s="307">
        <f>J7+J8</f>
        <v>753</v>
      </c>
      <c r="L7" s="307">
        <f>I7-K7</f>
        <v>3097</v>
      </c>
    </row>
    <row r="8" ht="14.25" customHeight="1">
      <c r="F8" s="12"/>
      <c r="G8" s="140" t="s">
        <v>424</v>
      </c>
      <c r="H8" s="12"/>
      <c r="I8" s="12"/>
      <c r="J8" s="140">
        <v>200.0</v>
      </c>
      <c r="K8" s="12"/>
      <c r="L8" s="12"/>
    </row>
    <row r="9" ht="14.25" customHeight="1">
      <c r="F9" s="307" t="s">
        <v>50</v>
      </c>
      <c r="G9" s="140" t="s">
        <v>253</v>
      </c>
      <c r="H9" s="307">
        <v>500.0</v>
      </c>
      <c r="I9" s="307">
        <f>500*7</f>
        <v>3500</v>
      </c>
      <c r="J9" s="140">
        <v>420.0</v>
      </c>
      <c r="K9" s="307">
        <f>J9+J10+J11</f>
        <v>4349.49</v>
      </c>
      <c r="L9" s="419">
        <f>I9-K9</f>
        <v>-849.49</v>
      </c>
    </row>
    <row r="10" ht="14.25" customHeight="1">
      <c r="F10" s="44"/>
      <c r="G10" s="140" t="s">
        <v>432</v>
      </c>
      <c r="H10" s="44"/>
      <c r="I10" s="44"/>
      <c r="J10" s="140">
        <v>1774.49</v>
      </c>
      <c r="K10" s="44"/>
      <c r="L10" s="44"/>
    </row>
    <row r="11" ht="14.25" customHeight="1">
      <c r="F11" s="12"/>
      <c r="G11" s="140" t="s">
        <v>435</v>
      </c>
      <c r="H11" s="12"/>
      <c r="I11" s="12"/>
      <c r="J11" s="140">
        <v>2155.0</v>
      </c>
      <c r="K11" s="12"/>
      <c r="L11" s="12"/>
    </row>
    <row r="12" ht="14.25" customHeight="1">
      <c r="F12" s="140" t="s">
        <v>205</v>
      </c>
      <c r="G12" s="140" t="s">
        <v>438</v>
      </c>
      <c r="H12" s="140">
        <v>400.0</v>
      </c>
      <c r="I12" s="140">
        <f t="shared" ref="I12:I13" si="1">400*7</f>
        <v>2800</v>
      </c>
      <c r="J12" s="140">
        <v>2078.0</v>
      </c>
      <c r="K12" s="140">
        <f t="shared" ref="K12:K14" si="2">J12</f>
        <v>2078</v>
      </c>
      <c r="L12" s="140">
        <f t="shared" ref="L12:L13" si="3">I12-K12</f>
        <v>722</v>
      </c>
    </row>
    <row r="13" ht="14.25" customHeight="1">
      <c r="F13" s="140" t="s">
        <v>441</v>
      </c>
      <c r="G13" s="140" t="s">
        <v>442</v>
      </c>
      <c r="H13" s="140">
        <v>400.0</v>
      </c>
      <c r="I13" s="140">
        <f t="shared" si="1"/>
        <v>2800</v>
      </c>
      <c r="J13" s="140">
        <v>2657.0</v>
      </c>
      <c r="K13" s="140">
        <f t="shared" si="2"/>
        <v>2657</v>
      </c>
      <c r="L13" s="140">
        <f t="shared" si="3"/>
        <v>143</v>
      </c>
    </row>
    <row r="14" ht="14.25" customHeight="1">
      <c r="F14" s="140" t="s">
        <v>449</v>
      </c>
      <c r="G14" s="140" t="s">
        <v>257</v>
      </c>
      <c r="H14" s="140"/>
      <c r="I14" s="54"/>
      <c r="J14" s="140">
        <v>339.0</v>
      </c>
      <c r="K14" s="140">
        <f t="shared" si="2"/>
        <v>339</v>
      </c>
      <c r="L14" s="140"/>
    </row>
    <row r="15" ht="14.25" customHeight="1">
      <c r="F15" s="140"/>
      <c r="G15" s="140" t="s">
        <v>451</v>
      </c>
      <c r="H15" s="140"/>
      <c r="I15" s="54"/>
      <c r="J15" s="140">
        <v>30.0</v>
      </c>
      <c r="K15" s="140">
        <v>30.0</v>
      </c>
      <c r="L15" s="140"/>
    </row>
    <row r="16" ht="14.25" customHeight="1">
      <c r="F16" s="140"/>
      <c r="G16" s="140" t="s">
        <v>431</v>
      </c>
      <c r="H16" s="140"/>
      <c r="I16" s="54"/>
      <c r="J16" s="140"/>
      <c r="K16" s="140"/>
      <c r="L16" s="140"/>
    </row>
    <row r="17" ht="14.25" customHeight="1">
      <c r="F17" s="140"/>
      <c r="G17" s="140"/>
      <c r="H17" s="140"/>
      <c r="I17" s="54"/>
      <c r="J17" s="53"/>
      <c r="K17" s="53"/>
      <c r="L17" s="53"/>
    </row>
    <row r="18" ht="14.25" customHeight="1">
      <c r="F18" s="420" t="s">
        <v>456</v>
      </c>
      <c r="G18" s="3"/>
      <c r="H18" s="140"/>
      <c r="I18" s="421">
        <f t="shared" ref="I18:J18" si="4">SUM(I4:I17)</f>
        <v>15750</v>
      </c>
      <c r="J18" s="422">
        <f t="shared" si="4"/>
        <v>11959.756</v>
      </c>
      <c r="K18" s="423">
        <f>SUM(K4:K16)</f>
        <v>11959.756</v>
      </c>
      <c r="L18" s="53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>
      <c r="F26" s="344" t="s">
        <v>198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3"/>
      <c r="V26" s="108"/>
      <c r="W26" s="108"/>
      <c r="X26" s="108"/>
    </row>
    <row r="27" ht="14.25" customHeight="1">
      <c r="F27" s="4" t="s">
        <v>2</v>
      </c>
      <c r="G27" s="5"/>
      <c r="H27" s="6" t="s">
        <v>3</v>
      </c>
      <c r="I27" s="6" t="s">
        <v>4</v>
      </c>
      <c r="J27" s="6" t="s">
        <v>217</v>
      </c>
      <c r="K27" s="7" t="s">
        <v>6</v>
      </c>
      <c r="L27" s="109">
        <v>46195.0</v>
      </c>
      <c r="M27" s="109">
        <v>46196.0</v>
      </c>
      <c r="N27" s="109">
        <v>46197.0</v>
      </c>
      <c r="O27" s="109">
        <v>46198.0</v>
      </c>
      <c r="P27" s="109">
        <v>46199.0</v>
      </c>
      <c r="Q27" s="109">
        <v>46200.0</v>
      </c>
      <c r="R27" s="109">
        <v>46201.0</v>
      </c>
      <c r="S27" s="99" t="s">
        <v>221</v>
      </c>
      <c r="T27" s="99" t="s">
        <v>222</v>
      </c>
      <c r="U27" s="9" t="s">
        <v>28</v>
      </c>
    </row>
    <row r="28" ht="14.25" customHeight="1">
      <c r="F28" s="10"/>
      <c r="G28" s="11"/>
      <c r="H28" s="12"/>
      <c r="I28" s="12"/>
      <c r="J28" s="12"/>
      <c r="K28" s="12"/>
      <c r="L28" s="13"/>
      <c r="M28" s="13"/>
      <c r="N28" s="13"/>
      <c r="O28" s="13"/>
      <c r="P28" s="13"/>
      <c r="Q28" s="13"/>
      <c r="R28" s="13"/>
      <c r="S28" s="12"/>
      <c r="T28" s="12"/>
      <c r="U28" s="12"/>
    </row>
    <row r="29" ht="14.25" customHeight="1">
      <c r="F29" s="408" t="s">
        <v>693</v>
      </c>
      <c r="G29" s="2"/>
      <c r="H29" s="2"/>
      <c r="I29" s="2"/>
      <c r="J29" s="2"/>
      <c r="K29" s="3"/>
      <c r="L29" s="13" t="s">
        <v>694</v>
      </c>
      <c r="M29" s="13" t="s">
        <v>695</v>
      </c>
      <c r="N29" s="13"/>
      <c r="O29" s="13"/>
      <c r="P29" s="13"/>
      <c r="Q29" s="13"/>
      <c r="R29" s="13"/>
      <c r="S29" s="120"/>
      <c r="T29" s="120"/>
      <c r="U29" s="13"/>
    </row>
    <row r="30" ht="14.25" customHeight="1">
      <c r="F30" s="26">
        <v>1.0</v>
      </c>
      <c r="G30" s="307" t="s">
        <v>230</v>
      </c>
      <c r="H30" s="307" t="s">
        <v>231</v>
      </c>
      <c r="I30" s="129" t="s">
        <v>233</v>
      </c>
      <c r="J30" s="27"/>
      <c r="K30" s="28"/>
      <c r="L30" s="27"/>
      <c r="M30" s="27"/>
      <c r="N30" s="27"/>
      <c r="O30" s="27"/>
      <c r="P30" s="27"/>
      <c r="Q30" s="27"/>
      <c r="R30" s="27"/>
      <c r="S30" s="27">
        <f t="shared" ref="S30:S40" si="5">SUM(L30:R30)</f>
        <v>0</v>
      </c>
      <c r="T30" s="24">
        <v>27.0</v>
      </c>
      <c r="U30" s="24">
        <f t="shared" ref="U30:U40" si="6">S30*T30</f>
        <v>0</v>
      </c>
    </row>
    <row r="31" ht="14.25" customHeight="1">
      <c r="F31" s="44"/>
      <c r="G31" s="44"/>
      <c r="H31" s="44"/>
      <c r="I31" s="129" t="s">
        <v>240</v>
      </c>
      <c r="J31" s="27"/>
      <c r="K31" s="28"/>
      <c r="L31" s="27"/>
      <c r="M31" s="27"/>
      <c r="N31" s="27"/>
      <c r="O31" s="27"/>
      <c r="P31" s="27"/>
      <c r="Q31" s="27"/>
      <c r="R31" s="27"/>
      <c r="S31" s="27">
        <f t="shared" si="5"/>
        <v>0</v>
      </c>
      <c r="T31" s="24">
        <v>27.0</v>
      </c>
      <c r="U31" s="24">
        <f t="shared" si="6"/>
        <v>0</v>
      </c>
    </row>
    <row r="32" ht="14.25" customHeight="1">
      <c r="F32" s="44"/>
      <c r="G32" s="44"/>
      <c r="H32" s="44"/>
      <c r="I32" s="129" t="s">
        <v>243</v>
      </c>
      <c r="J32" s="27"/>
      <c r="K32" s="28"/>
      <c r="L32" s="27">
        <v>100.0</v>
      </c>
      <c r="M32" s="27"/>
      <c r="N32" s="27"/>
      <c r="O32" s="27"/>
      <c r="P32" s="27"/>
      <c r="Q32" s="27"/>
      <c r="R32" s="27"/>
      <c r="S32" s="27">
        <f t="shared" si="5"/>
        <v>100</v>
      </c>
      <c r="T32" s="24">
        <v>27.0</v>
      </c>
      <c r="U32" s="24">
        <f t="shared" si="6"/>
        <v>2700</v>
      </c>
    </row>
    <row r="33" ht="14.25" customHeight="1">
      <c r="F33" s="44"/>
      <c r="G33" s="44"/>
      <c r="H33" s="44"/>
      <c r="I33" s="129" t="s">
        <v>252</v>
      </c>
      <c r="J33" s="27"/>
      <c r="K33" s="28"/>
      <c r="L33" s="27">
        <v>50.0</v>
      </c>
      <c r="M33" s="27"/>
      <c r="N33" s="27"/>
      <c r="O33" s="27"/>
      <c r="P33" s="27"/>
      <c r="Q33" s="27"/>
      <c r="R33" s="27"/>
      <c r="S33" s="27">
        <f t="shared" si="5"/>
        <v>50</v>
      </c>
      <c r="T33" s="24">
        <v>27.0</v>
      </c>
      <c r="U33" s="24">
        <f t="shared" si="6"/>
        <v>1350</v>
      </c>
    </row>
    <row r="34" ht="14.25" customHeight="1">
      <c r="F34" s="44"/>
      <c r="G34" s="44"/>
      <c r="H34" s="44"/>
      <c r="I34" s="129" t="s">
        <v>256</v>
      </c>
      <c r="J34" s="27"/>
      <c r="K34" s="28"/>
      <c r="L34" s="27"/>
      <c r="M34" s="27"/>
      <c r="N34" s="27"/>
      <c r="O34" s="27"/>
      <c r="P34" s="27"/>
      <c r="Q34" s="27"/>
      <c r="R34" s="27"/>
      <c r="S34" s="27">
        <f t="shared" si="5"/>
        <v>0</v>
      </c>
      <c r="T34" s="24">
        <v>27.0</v>
      </c>
      <c r="U34" s="24">
        <f t="shared" si="6"/>
        <v>0</v>
      </c>
    </row>
    <row r="35" ht="14.25" customHeight="1">
      <c r="F35" s="44"/>
      <c r="G35" s="44"/>
      <c r="H35" s="44"/>
      <c r="I35" s="129" t="s">
        <v>260</v>
      </c>
      <c r="J35" s="27"/>
      <c r="K35" s="28"/>
      <c r="L35" s="27"/>
      <c r="M35" s="27"/>
      <c r="N35" s="27"/>
      <c r="O35" s="27"/>
      <c r="P35" s="27"/>
      <c r="Q35" s="27"/>
      <c r="R35" s="27"/>
      <c r="S35" s="27">
        <f t="shared" si="5"/>
        <v>0</v>
      </c>
      <c r="T35" s="24">
        <v>27.0</v>
      </c>
      <c r="U35" s="24">
        <f t="shared" si="6"/>
        <v>0</v>
      </c>
    </row>
    <row r="36" ht="14.25" customHeight="1">
      <c r="F36" s="44"/>
      <c r="G36" s="44"/>
      <c r="H36" s="44"/>
      <c r="I36" s="129" t="s">
        <v>268</v>
      </c>
      <c r="J36" s="27"/>
      <c r="K36" s="28"/>
      <c r="L36" s="27"/>
      <c r="M36" s="27"/>
      <c r="N36" s="27"/>
      <c r="O36" s="27"/>
      <c r="P36" s="27"/>
      <c r="Q36" s="27"/>
      <c r="R36" s="27"/>
      <c r="S36" s="27">
        <f t="shared" si="5"/>
        <v>0</v>
      </c>
      <c r="T36" s="24">
        <v>27.0</v>
      </c>
      <c r="U36" s="24">
        <f t="shared" si="6"/>
        <v>0</v>
      </c>
    </row>
    <row r="37" ht="14.25" customHeight="1">
      <c r="F37" s="44"/>
      <c r="G37" s="44"/>
      <c r="H37" s="44"/>
      <c r="I37" s="140" t="s">
        <v>274</v>
      </c>
      <c r="J37" s="27"/>
      <c r="K37" s="28"/>
      <c r="L37" s="27"/>
      <c r="M37" s="27"/>
      <c r="N37" s="27"/>
      <c r="O37" s="27"/>
      <c r="P37" s="27"/>
      <c r="Q37" s="27"/>
      <c r="R37" s="27"/>
      <c r="S37" s="27">
        <f t="shared" si="5"/>
        <v>0</v>
      </c>
      <c r="T37" s="24">
        <v>27.0</v>
      </c>
      <c r="U37" s="24">
        <f t="shared" si="6"/>
        <v>0</v>
      </c>
    </row>
    <row r="38" ht="14.25" customHeight="1">
      <c r="F38" s="44"/>
      <c r="G38" s="44"/>
      <c r="H38" s="44"/>
      <c r="I38" s="140" t="s">
        <v>274</v>
      </c>
      <c r="J38" s="27"/>
      <c r="K38" s="28"/>
      <c r="L38" s="27"/>
      <c r="M38" s="27"/>
      <c r="N38" s="27"/>
      <c r="O38" s="27"/>
      <c r="P38" s="27"/>
      <c r="Q38" s="27"/>
      <c r="R38" s="27"/>
      <c r="S38" s="27">
        <f t="shared" si="5"/>
        <v>0</v>
      </c>
      <c r="T38" s="24">
        <v>27.0</v>
      </c>
      <c r="U38" s="24">
        <f t="shared" si="6"/>
        <v>0</v>
      </c>
    </row>
    <row r="39" ht="14.25" customHeight="1">
      <c r="F39" s="44"/>
      <c r="G39" s="44"/>
      <c r="H39" s="44"/>
      <c r="I39" s="140" t="s">
        <v>286</v>
      </c>
      <c r="J39" s="27"/>
      <c r="K39" s="28"/>
      <c r="L39" s="27"/>
      <c r="M39" s="27"/>
      <c r="N39" s="27"/>
      <c r="O39" s="27"/>
      <c r="P39" s="27"/>
      <c r="Q39" s="27"/>
      <c r="R39" s="27"/>
      <c r="S39" s="27">
        <f t="shared" si="5"/>
        <v>0</v>
      </c>
      <c r="T39" s="24">
        <v>27.0</v>
      </c>
      <c r="U39" s="24">
        <f t="shared" si="6"/>
        <v>0</v>
      </c>
    </row>
    <row r="40" ht="14.25" customHeight="1">
      <c r="F40" s="12"/>
      <c r="G40" s="12"/>
      <c r="H40" s="12"/>
      <c r="I40" s="140" t="s">
        <v>293</v>
      </c>
      <c r="J40" s="27"/>
      <c r="K40" s="28"/>
      <c r="L40" s="27"/>
      <c r="M40" s="27"/>
      <c r="N40" s="27"/>
      <c r="O40" s="27"/>
      <c r="P40" s="27"/>
      <c r="Q40" s="27"/>
      <c r="R40" s="27"/>
      <c r="S40" s="27">
        <f t="shared" si="5"/>
        <v>0</v>
      </c>
      <c r="T40" s="24">
        <v>27.0</v>
      </c>
      <c r="U40" s="24">
        <f t="shared" si="6"/>
        <v>0</v>
      </c>
    </row>
    <row r="41" ht="14.25" customHeight="1">
      <c r="F41" s="147" t="s">
        <v>210</v>
      </c>
      <c r="G41" s="148"/>
      <c r="H41" s="148"/>
      <c r="I41" s="148"/>
      <c r="J41" s="148"/>
      <c r="K41" s="5"/>
      <c r="L41" s="27">
        <f t="shared" ref="L41:S41" si="7">SUM(L30:L40)</f>
        <v>150</v>
      </c>
      <c r="M41" s="27">
        <f t="shared" si="7"/>
        <v>0</v>
      </c>
      <c r="N41" s="149">
        <f t="shared" si="7"/>
        <v>0</v>
      </c>
      <c r="O41" s="27">
        <f t="shared" si="7"/>
        <v>0</v>
      </c>
      <c r="P41" s="27">
        <f t="shared" si="7"/>
        <v>0</v>
      </c>
      <c r="Q41" s="27">
        <f t="shared" si="7"/>
        <v>0</v>
      </c>
      <c r="R41" s="27">
        <f t="shared" si="7"/>
        <v>0</v>
      </c>
      <c r="S41" s="152">
        <f t="shared" si="7"/>
        <v>150</v>
      </c>
      <c r="T41" s="85"/>
      <c r="U41" s="158">
        <f>SUM(U30:U40)</f>
        <v>4050</v>
      </c>
    </row>
    <row r="42" ht="14.25" customHeight="1">
      <c r="F42" s="10"/>
      <c r="G42" s="156"/>
      <c r="H42" s="156"/>
      <c r="I42" s="156"/>
      <c r="J42" s="156"/>
      <c r="K42" s="11"/>
      <c r="L42" s="160">
        <f t="shared" ref="L42:R42" si="8">L41*27</f>
        <v>4050</v>
      </c>
      <c r="M42" s="160">
        <f t="shared" si="8"/>
        <v>0</v>
      </c>
      <c r="N42" s="160">
        <f t="shared" si="8"/>
        <v>0</v>
      </c>
      <c r="O42" s="160">
        <f t="shared" si="8"/>
        <v>0</v>
      </c>
      <c r="P42" s="160">
        <f t="shared" si="8"/>
        <v>0</v>
      </c>
      <c r="Q42" s="160">
        <f t="shared" si="8"/>
        <v>0</v>
      </c>
      <c r="R42" s="160">
        <f t="shared" si="8"/>
        <v>0</v>
      </c>
      <c r="S42" s="160">
        <f>SUM(L42:R42)</f>
        <v>4050</v>
      </c>
      <c r="T42" s="85"/>
      <c r="U42" s="158">
        <f>S42*T40</f>
        <v>109350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1">
    <mergeCell ref="K7:K8"/>
    <mergeCell ref="L7:L8"/>
    <mergeCell ref="K9:K11"/>
    <mergeCell ref="L9:L11"/>
    <mergeCell ref="F2:L2"/>
    <mergeCell ref="F4:F6"/>
    <mergeCell ref="H4:H6"/>
    <mergeCell ref="I4:I6"/>
    <mergeCell ref="K4:K6"/>
    <mergeCell ref="L4:L6"/>
    <mergeCell ref="F7:F8"/>
    <mergeCell ref="H7:H8"/>
    <mergeCell ref="I7:I8"/>
    <mergeCell ref="F9:F11"/>
    <mergeCell ref="H9:H11"/>
    <mergeCell ref="I9:I11"/>
    <mergeCell ref="F18:G18"/>
    <mergeCell ref="F26:U26"/>
    <mergeCell ref="F27:G28"/>
    <mergeCell ref="F29:K29"/>
    <mergeCell ref="F30:F40"/>
    <mergeCell ref="G30:G40"/>
    <mergeCell ref="H30:H40"/>
    <mergeCell ref="F41:K42"/>
    <mergeCell ref="H27:H28"/>
    <mergeCell ref="I27:I28"/>
    <mergeCell ref="J27:J28"/>
    <mergeCell ref="K27:K28"/>
    <mergeCell ref="S27:S28"/>
    <mergeCell ref="T27:T28"/>
    <mergeCell ref="U27:U28"/>
  </mergeCells>
  <printOptions/>
  <pageMargins bottom="0.75" footer="0.0" header="0.0" left="0.7" right="0.7" top="0.75"/>
  <pageSetup fitToWidth="0"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36.88"/>
    <col customWidth="1" min="4" max="4" width="32.38"/>
    <col customWidth="1" min="5" max="5" width="19.75"/>
    <col customWidth="1" min="6" max="6" width="21.5"/>
    <col customWidth="1" min="7" max="7" width="20.0"/>
    <col customWidth="1" min="8" max="8" width="17.0"/>
    <col customWidth="1" min="9" max="9" width="15.63"/>
    <col customWidth="1" min="10" max="10" width="17.25"/>
    <col customWidth="1" min="11" max="11" width="15.25"/>
    <col customWidth="1" min="12" max="12" width="16.5"/>
    <col customWidth="1" min="13" max="13" width="16.75"/>
    <col customWidth="1" min="14" max="14" width="21.63"/>
    <col customWidth="1" min="15" max="15" width="20.88"/>
    <col customWidth="1" min="16" max="16" width="19.0"/>
    <col customWidth="1" min="17" max="17" width="15.63"/>
    <col customWidth="1" min="18" max="18" width="14.88"/>
    <col customWidth="1" min="19" max="19" width="18.5"/>
    <col customWidth="1" min="20" max="20" width="22.25"/>
    <col customWidth="1" min="21" max="21" width="16.5"/>
    <col customWidth="1" min="22" max="22" width="16.63"/>
    <col customWidth="1" min="23" max="23" width="17.25"/>
    <col customWidth="1" min="24" max="27" width="10.63"/>
    <col customWidth="1" min="28" max="28" width="19.13"/>
    <col customWidth="1" min="29" max="29" width="18.63"/>
    <col customWidth="1" min="30" max="30" width="14.63"/>
    <col customWidth="1" min="31" max="31" width="10.63"/>
    <col customWidth="1" min="32" max="32" width="21.38"/>
    <col customWidth="1" min="33" max="33" width="16.5"/>
    <col customWidth="1" min="34" max="34" width="21.0"/>
    <col customWidth="1" min="35" max="35" width="18.25"/>
    <col customWidth="1" min="36" max="36" width="10.63"/>
    <col customWidth="1" min="37" max="37" width="15.63"/>
    <col customWidth="1" min="38" max="39" width="10.63"/>
    <col customWidth="1" min="40" max="42" width="13.88"/>
    <col customWidth="1" min="43" max="44" width="14.38"/>
    <col customWidth="1" min="45" max="46" width="14.75"/>
    <col customWidth="1" min="47" max="48" width="18.38"/>
    <col customWidth="1" min="49" max="49" width="10.63"/>
    <col customWidth="1" min="50" max="50" width="13.38"/>
    <col customWidth="1" min="51" max="53" width="10.63"/>
    <col customWidth="1" min="54" max="54" width="15.5"/>
    <col customWidth="1" min="55" max="55" width="10.63"/>
  </cols>
  <sheetData>
    <row r="1" ht="14.2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8">
        <v>46216.0</v>
      </c>
      <c r="H2" s="2"/>
      <c r="I2" s="3"/>
      <c r="J2" s="8">
        <v>46217.0</v>
      </c>
      <c r="K2" s="2"/>
      <c r="L2" s="3"/>
      <c r="M2" s="8">
        <v>46218.0</v>
      </c>
      <c r="N2" s="2"/>
      <c r="O2" s="3"/>
      <c r="P2" s="8">
        <v>46219.0</v>
      </c>
      <c r="Q2" s="2"/>
      <c r="R2" s="3"/>
      <c r="S2" s="8">
        <v>46220.0</v>
      </c>
      <c r="T2" s="2"/>
      <c r="U2" s="3"/>
      <c r="V2" s="8">
        <v>46221.0</v>
      </c>
      <c r="W2" s="2"/>
      <c r="X2" s="3"/>
      <c r="Y2" s="8">
        <v>46222.0</v>
      </c>
      <c r="Z2" s="2"/>
      <c r="AA2" s="3"/>
      <c r="AB2" s="9" t="s">
        <v>7</v>
      </c>
      <c r="AC2" s="7" t="s">
        <v>8</v>
      </c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13" t="s">
        <v>10</v>
      </c>
      <c r="I3" s="13" t="s">
        <v>11</v>
      </c>
      <c r="J3" s="13" t="s">
        <v>9</v>
      </c>
      <c r="K3" s="13" t="s">
        <v>10</v>
      </c>
      <c r="L3" s="13" t="s">
        <v>12</v>
      </c>
      <c r="M3" s="13" t="s">
        <v>9</v>
      </c>
      <c r="N3" s="13" t="s">
        <v>10</v>
      </c>
      <c r="O3" s="13" t="s">
        <v>12</v>
      </c>
      <c r="P3" s="13" t="s">
        <v>9</v>
      </c>
      <c r="Q3" s="13" t="s">
        <v>10</v>
      </c>
      <c r="R3" s="13" t="s">
        <v>12</v>
      </c>
      <c r="S3" s="13" t="s">
        <v>9</v>
      </c>
      <c r="T3" s="13" t="s">
        <v>10</v>
      </c>
      <c r="U3" s="13" t="s">
        <v>11</v>
      </c>
      <c r="V3" s="13" t="s">
        <v>9</v>
      </c>
      <c r="W3" s="13" t="s">
        <v>10</v>
      </c>
      <c r="X3" s="13" t="s">
        <v>11</v>
      </c>
      <c r="Y3" s="13" t="s">
        <v>9</v>
      </c>
      <c r="Z3" s="13" t="s">
        <v>10</v>
      </c>
      <c r="AA3" s="13" t="s">
        <v>11</v>
      </c>
      <c r="AB3" s="12"/>
      <c r="AC3" s="12"/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>
        <f t="shared" ref="AB4:AB18" si="1">F4-(G4+H4+J4+K4+M4+N4+P4+Q4+S4+T4+V4+W4+U4+O4+I4+L4+R4+X4)</f>
        <v>1200</v>
      </c>
      <c r="AC4" s="18">
        <f t="shared" ref="AC4:AC16" si="2">SUM(G4:X4)</f>
        <v>0</v>
      </c>
      <c r="AD4" s="20"/>
    </row>
    <row r="5" ht="14.25" customHeight="1">
      <c r="A5" s="14">
        <v>2.0</v>
      </c>
      <c r="B5" s="12"/>
      <c r="C5" s="12"/>
      <c r="D5" s="21" t="s">
        <v>17</v>
      </c>
      <c r="E5" s="21"/>
      <c r="F5" s="22">
        <v>500.0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18">
        <f t="shared" si="1"/>
        <v>500</v>
      </c>
      <c r="AC5" s="18">
        <f t="shared" si="2"/>
        <v>0</v>
      </c>
      <c r="AD5" s="20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18">
        <f t="shared" si="1"/>
        <v>2500</v>
      </c>
      <c r="AC6" s="18">
        <f t="shared" si="2"/>
        <v>0</v>
      </c>
      <c r="AD6" s="20"/>
      <c r="AF6" s="31" t="s">
        <v>23</v>
      </c>
      <c r="AG6" s="2"/>
      <c r="AH6" s="2"/>
      <c r="AI6" s="3"/>
      <c r="AK6" s="32"/>
    </row>
    <row r="7" ht="14.25" customHeight="1">
      <c r="A7" s="25">
        <v>4.0</v>
      </c>
      <c r="B7" s="12"/>
      <c r="C7" s="12"/>
      <c r="D7" s="27" t="s">
        <v>17</v>
      </c>
      <c r="E7" s="27"/>
      <c r="F7" s="28">
        <v>500.0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18">
        <f t="shared" si="1"/>
        <v>500</v>
      </c>
      <c r="AC7" s="18">
        <f t="shared" si="2"/>
        <v>0</v>
      </c>
      <c r="AD7" s="20"/>
      <c r="AF7" s="35" t="s">
        <v>25</v>
      </c>
      <c r="AG7" s="35" t="s">
        <v>26</v>
      </c>
      <c r="AH7" s="35" t="s">
        <v>27</v>
      </c>
      <c r="AI7" s="35" t="s">
        <v>28</v>
      </c>
      <c r="AK7" s="32"/>
    </row>
    <row r="8" ht="14.25" customHeight="1">
      <c r="A8" s="25">
        <v>5.0</v>
      </c>
      <c r="B8" s="27" t="s">
        <v>30</v>
      </c>
      <c r="C8" s="27" t="s">
        <v>19</v>
      </c>
      <c r="D8" s="27" t="s">
        <v>31</v>
      </c>
      <c r="E8" s="27" t="s">
        <v>32</v>
      </c>
      <c r="F8" s="28">
        <v>1500.0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18">
        <f t="shared" si="1"/>
        <v>1500</v>
      </c>
      <c r="AC8" s="18">
        <f t="shared" si="2"/>
        <v>0</v>
      </c>
      <c r="AD8" s="20"/>
      <c r="AF8" s="37" t="s">
        <v>9</v>
      </c>
      <c r="AG8" s="38">
        <f t="shared" ref="AG8:AG9" si="3">AI8/AH8</f>
        <v>0</v>
      </c>
      <c r="AH8" s="39">
        <v>22.89</v>
      </c>
      <c r="AI8" s="40">
        <f>G42+J42+M42+P42+S42+V42</f>
        <v>0</v>
      </c>
    </row>
    <row r="9" ht="14.25" customHeight="1">
      <c r="A9" s="25">
        <v>6.0</v>
      </c>
      <c r="B9" s="27" t="s">
        <v>35</v>
      </c>
      <c r="C9" s="27" t="s">
        <v>19</v>
      </c>
      <c r="D9" s="27" t="s">
        <v>31</v>
      </c>
      <c r="E9" s="27" t="s">
        <v>36</v>
      </c>
      <c r="F9" s="28">
        <v>1500.0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18">
        <f t="shared" si="1"/>
        <v>1500</v>
      </c>
      <c r="AC9" s="18">
        <f t="shared" si="2"/>
        <v>0</v>
      </c>
      <c r="AD9" s="20"/>
      <c r="AF9" s="37" t="s">
        <v>10</v>
      </c>
      <c r="AG9" s="38">
        <f t="shared" si="3"/>
        <v>0</v>
      </c>
      <c r="AH9" s="39">
        <v>22.89</v>
      </c>
      <c r="AI9" s="43">
        <f>H42+K42+N42+Q42+T42+W42+Z42</f>
        <v>0</v>
      </c>
    </row>
    <row r="10" ht="14.25" customHeight="1">
      <c r="A10" s="25">
        <v>7.0</v>
      </c>
      <c r="B10" s="27" t="s">
        <v>39</v>
      </c>
      <c r="C10" s="27" t="s">
        <v>19</v>
      </c>
      <c r="D10" s="27"/>
      <c r="E10" s="27"/>
      <c r="F10" s="28">
        <v>1500.0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18">
        <f t="shared" si="1"/>
        <v>1500</v>
      </c>
      <c r="AC10" s="18">
        <f t="shared" si="2"/>
        <v>0</v>
      </c>
      <c r="AD10" s="20"/>
      <c r="AF10" s="37" t="s">
        <v>11</v>
      </c>
      <c r="AG10" s="39"/>
      <c r="AH10" s="39"/>
      <c r="AI10" s="40">
        <f>R42+U42+O42</f>
        <v>0</v>
      </c>
    </row>
    <row r="11" ht="14.25" customHeight="1">
      <c r="A11" s="14">
        <v>8.0</v>
      </c>
      <c r="B11" s="21" t="s">
        <v>41</v>
      </c>
      <c r="C11" s="21" t="s">
        <v>42</v>
      </c>
      <c r="D11" s="21" t="s">
        <v>43</v>
      </c>
      <c r="E11" s="21" t="s">
        <v>44</v>
      </c>
      <c r="F11" s="22">
        <v>700.0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18">
        <f t="shared" si="1"/>
        <v>700</v>
      </c>
      <c r="AC11" s="18">
        <f t="shared" si="2"/>
        <v>0</v>
      </c>
      <c r="AD11" s="20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</row>
    <row r="12" ht="14.25" customHeight="1">
      <c r="A12" s="14">
        <v>9.0</v>
      </c>
      <c r="B12" s="21" t="s">
        <v>45</v>
      </c>
      <c r="C12" s="21" t="s">
        <v>46</v>
      </c>
      <c r="D12" s="21" t="s">
        <v>47</v>
      </c>
      <c r="E12" s="21" t="s">
        <v>48</v>
      </c>
      <c r="F12" s="22">
        <v>1500.0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18">
        <f t="shared" si="1"/>
        <v>1500</v>
      </c>
      <c r="AC12" s="18">
        <f t="shared" si="2"/>
        <v>0</v>
      </c>
      <c r="AD12" s="20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</row>
    <row r="13" ht="14.25" customHeight="1">
      <c r="A13" s="25">
        <v>10.0</v>
      </c>
      <c r="B13" s="26" t="s">
        <v>50</v>
      </c>
      <c r="C13" s="27" t="s">
        <v>51</v>
      </c>
      <c r="D13" s="27" t="s">
        <v>52</v>
      </c>
      <c r="E13" s="27" t="s">
        <v>53</v>
      </c>
      <c r="F13" s="28">
        <v>1500.0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18">
        <f t="shared" si="1"/>
        <v>1500</v>
      </c>
      <c r="AC13" s="18">
        <f t="shared" si="2"/>
        <v>0</v>
      </c>
      <c r="AD13" s="20"/>
      <c r="AG13" s="45"/>
      <c r="AI13" s="46"/>
      <c r="AJ13" s="46"/>
      <c r="AK13" s="46"/>
    </row>
    <row r="14" ht="14.25" customHeight="1">
      <c r="A14" s="25">
        <v>11.0</v>
      </c>
      <c r="B14" s="12"/>
      <c r="C14" s="27" t="s">
        <v>54</v>
      </c>
      <c r="D14" s="27" t="s">
        <v>17</v>
      </c>
      <c r="E14" s="27"/>
      <c r="F14" s="28">
        <v>500.0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18">
        <f t="shared" si="1"/>
        <v>500</v>
      </c>
      <c r="AC14" s="18">
        <f t="shared" si="2"/>
        <v>0</v>
      </c>
      <c r="AD14" s="20"/>
      <c r="AG14" s="48" t="s">
        <v>55</v>
      </c>
      <c r="AH14" s="3"/>
      <c r="AI14" s="50"/>
      <c r="AJ14" s="50"/>
      <c r="AK14" s="46"/>
    </row>
    <row r="15" ht="14.25" customHeight="1">
      <c r="A15" s="25">
        <v>12.0</v>
      </c>
      <c r="B15" s="27" t="s">
        <v>57</v>
      </c>
      <c r="C15" s="27" t="s">
        <v>51</v>
      </c>
      <c r="D15" s="27" t="s">
        <v>58</v>
      </c>
      <c r="E15" s="27" t="s">
        <v>59</v>
      </c>
      <c r="F15" s="28">
        <v>1500.0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18">
        <f t="shared" si="1"/>
        <v>1500</v>
      </c>
      <c r="AC15" s="18">
        <f t="shared" si="2"/>
        <v>0</v>
      </c>
      <c r="AD15" s="20"/>
      <c r="AG15" s="52" t="s">
        <v>9</v>
      </c>
      <c r="AH15" s="54">
        <f t="shared" ref="AH15:AH17" si="4">AI8+AI51</f>
        <v>0</v>
      </c>
      <c r="AI15" s="50"/>
      <c r="AJ15" s="46"/>
      <c r="AK15" s="50"/>
    </row>
    <row r="16" ht="14.25" customHeight="1">
      <c r="A16" s="14">
        <v>13.0</v>
      </c>
      <c r="B16" s="55" t="s">
        <v>61</v>
      </c>
      <c r="C16" s="21" t="s">
        <v>63</v>
      </c>
      <c r="D16" s="21" t="s">
        <v>65</v>
      </c>
      <c r="E16" s="21" t="s">
        <v>66</v>
      </c>
      <c r="F16" s="22">
        <v>2500.0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18">
        <f t="shared" si="1"/>
        <v>2500</v>
      </c>
      <c r="AC16" s="18">
        <f t="shared" si="2"/>
        <v>0</v>
      </c>
      <c r="AD16" s="20"/>
      <c r="AG16" s="52" t="s">
        <v>10</v>
      </c>
      <c r="AH16" s="56">
        <f t="shared" si="4"/>
        <v>0</v>
      </c>
      <c r="AI16" s="46"/>
      <c r="AJ16" s="46"/>
      <c r="AK16" s="46"/>
      <c r="BC16" s="19"/>
    </row>
    <row r="17" ht="14.25" customHeight="1">
      <c r="A17" s="14"/>
      <c r="B17" s="12"/>
      <c r="C17" s="21" t="s">
        <v>63</v>
      </c>
      <c r="D17" s="21" t="s">
        <v>17</v>
      </c>
      <c r="E17" s="21"/>
      <c r="F17" s="22">
        <v>300.0</v>
      </c>
      <c r="G17" s="24"/>
      <c r="H17" s="24"/>
      <c r="I17" s="60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18">
        <f t="shared" si="1"/>
        <v>300</v>
      </c>
      <c r="AC17" s="18"/>
      <c r="AD17" s="20"/>
      <c r="AG17" s="52" t="s">
        <v>12</v>
      </c>
      <c r="AH17" s="24">
        <f t="shared" si="4"/>
        <v>0</v>
      </c>
      <c r="BC17" s="19"/>
    </row>
    <row r="18" ht="14.25" customHeight="1">
      <c r="A18" s="14">
        <v>14.0</v>
      </c>
      <c r="B18" s="21" t="s">
        <v>68</v>
      </c>
      <c r="C18" s="21" t="s">
        <v>63</v>
      </c>
      <c r="D18" s="21" t="s">
        <v>69</v>
      </c>
      <c r="E18" s="21" t="s">
        <v>70</v>
      </c>
      <c r="F18" s="22">
        <v>2500.0</v>
      </c>
      <c r="H18" s="24"/>
      <c r="I18" s="63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18">
        <f t="shared" si="1"/>
        <v>2500</v>
      </c>
      <c r="AC18" s="18">
        <f>SUM(H18:X18)</f>
        <v>0</v>
      </c>
      <c r="AD18" s="20"/>
      <c r="BC18" s="19"/>
    </row>
    <row r="19" ht="14.25" customHeight="1">
      <c r="A19" s="14">
        <v>15.0</v>
      </c>
      <c r="B19" s="21" t="s">
        <v>71</v>
      </c>
      <c r="C19" s="21" t="s">
        <v>63</v>
      </c>
      <c r="D19" s="21" t="s">
        <v>58</v>
      </c>
      <c r="E19" s="21" t="s">
        <v>72</v>
      </c>
      <c r="F19" s="22">
        <v>4000.0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19"/>
      <c r="AC19" s="18">
        <f t="shared" ref="AC19:AC41" si="5">SUM(G19:X19)</f>
        <v>0</v>
      </c>
      <c r="AD19" s="20"/>
      <c r="BC19" s="19"/>
    </row>
    <row r="20" ht="14.25" customHeight="1">
      <c r="A20" s="25">
        <v>16.0</v>
      </c>
      <c r="B20" s="26" t="s">
        <v>74</v>
      </c>
      <c r="C20" s="26" t="s">
        <v>75</v>
      </c>
      <c r="D20" s="27" t="s">
        <v>65</v>
      </c>
      <c r="E20" s="27" t="s">
        <v>76</v>
      </c>
      <c r="F20" s="28">
        <v>2500.0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18">
        <f t="shared" ref="AB20:AB23" si="6">F20-(G20+H20+J20+K20+M20+N20+P20+Q20+S20+T20+V20+W20+U20+O20+I20+L20+R20+X20)</f>
        <v>2500</v>
      </c>
      <c r="AC20" s="18">
        <f t="shared" si="5"/>
        <v>0</v>
      </c>
      <c r="AD20" s="20"/>
    </row>
    <row r="21" ht="14.25" customHeight="1">
      <c r="A21" s="25">
        <v>17.0</v>
      </c>
      <c r="B21" s="44"/>
      <c r="C21" s="44"/>
      <c r="D21" s="27" t="s">
        <v>77</v>
      </c>
      <c r="E21" s="27"/>
      <c r="F21" s="57">
        <v>1000.0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18">
        <f t="shared" si="6"/>
        <v>1000</v>
      </c>
      <c r="AC21" s="18">
        <f t="shared" si="5"/>
        <v>0</v>
      </c>
      <c r="AD21" s="20"/>
    </row>
    <row r="22" ht="14.25" customHeight="1">
      <c r="A22" s="25">
        <v>18.0</v>
      </c>
      <c r="B22" s="44"/>
      <c r="C22" s="44"/>
      <c r="D22" s="27" t="s">
        <v>78</v>
      </c>
      <c r="E22" s="27"/>
      <c r="F22" s="57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18">
        <f t="shared" si="6"/>
        <v>0</v>
      </c>
      <c r="AC22" s="18">
        <f t="shared" si="5"/>
        <v>0</v>
      </c>
      <c r="AD22" s="20"/>
      <c r="AG22" s="20"/>
    </row>
    <row r="23" ht="14.25" customHeight="1">
      <c r="A23" s="25">
        <v>19.0</v>
      </c>
      <c r="B23" s="12"/>
      <c r="C23" s="12"/>
      <c r="D23" s="27" t="s">
        <v>81</v>
      </c>
      <c r="E23" s="27"/>
      <c r="F23" s="57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18">
        <f t="shared" si="6"/>
        <v>0</v>
      </c>
      <c r="AC23" s="18">
        <f t="shared" si="5"/>
        <v>0</v>
      </c>
      <c r="AD23" s="20"/>
    </row>
    <row r="24" ht="14.25" customHeight="1">
      <c r="A24" s="25">
        <v>20.0</v>
      </c>
      <c r="B24" s="27" t="s">
        <v>82</v>
      </c>
      <c r="C24" s="27" t="s">
        <v>75</v>
      </c>
      <c r="D24" s="27" t="s">
        <v>65</v>
      </c>
      <c r="E24" s="27" t="s">
        <v>83</v>
      </c>
      <c r="F24" s="28">
        <v>1500.0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18">
        <f t="shared" ref="AB24:AB25" si="7">F24-(G24+H24+J24+K24+M24+N24+P24+Q24+S24+T24+V24+W24+O24+R24+U24+I24+L24+X24)</f>
        <v>1500</v>
      </c>
      <c r="AC24" s="18">
        <f t="shared" si="5"/>
        <v>0</v>
      </c>
      <c r="AD24" s="20"/>
    </row>
    <row r="25" ht="14.25" customHeight="1">
      <c r="A25" s="25">
        <v>21.0</v>
      </c>
      <c r="B25" s="27" t="s">
        <v>89</v>
      </c>
      <c r="C25" s="27" t="s">
        <v>75</v>
      </c>
      <c r="D25" s="27" t="s">
        <v>58</v>
      </c>
      <c r="E25" s="27" t="s">
        <v>90</v>
      </c>
      <c r="F25" s="28">
        <v>3000.0</v>
      </c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18">
        <f t="shared" si="7"/>
        <v>3000</v>
      </c>
      <c r="AC25" s="18">
        <f t="shared" si="5"/>
        <v>0</v>
      </c>
      <c r="AD25" s="20"/>
    </row>
    <row r="26" ht="14.25" customHeight="1">
      <c r="A26" s="25">
        <v>22.0</v>
      </c>
      <c r="B26" s="27" t="s">
        <v>93</v>
      </c>
      <c r="C26" s="27" t="s">
        <v>75</v>
      </c>
      <c r="D26" s="27" t="s">
        <v>69</v>
      </c>
      <c r="E26" s="27" t="s">
        <v>94</v>
      </c>
      <c r="F26" s="28">
        <v>2500.0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Y26" s="24"/>
      <c r="Z26" s="24"/>
      <c r="AA26" s="24"/>
      <c r="AB26" s="18">
        <f>F26-(G26+H26+J26+K26+M26+N26+P26+Q26+S26+T26+V26+W26+O26+R26+U26+I26+L26+U40)</f>
        <v>2500</v>
      </c>
      <c r="AC26" s="18">
        <f t="shared" si="5"/>
        <v>0</v>
      </c>
      <c r="AD26" s="20"/>
    </row>
    <row r="27" ht="14.25" customHeight="1">
      <c r="A27" s="14">
        <v>23.0</v>
      </c>
      <c r="B27" s="21" t="s">
        <v>96</v>
      </c>
      <c r="C27" s="55" t="s">
        <v>98</v>
      </c>
      <c r="D27" s="21" t="s">
        <v>99</v>
      </c>
      <c r="E27" s="21" t="s">
        <v>100</v>
      </c>
      <c r="F27" s="22">
        <v>2500.0</v>
      </c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18">
        <f t="shared" ref="AB27:AB39" si="8">F27-(G27+H27+J27+K27+M27+N27+P27+Q27+S27+T27+V27+W27+O27+R27+U27+I27+L27+X27)</f>
        <v>2500</v>
      </c>
      <c r="AC27" s="18">
        <f t="shared" si="5"/>
        <v>0</v>
      </c>
      <c r="AD27" s="20"/>
    </row>
    <row r="28" ht="14.25" customHeight="1">
      <c r="A28" s="14">
        <v>24.0</v>
      </c>
      <c r="B28" s="21" t="s">
        <v>102</v>
      </c>
      <c r="C28" s="12"/>
      <c r="D28" s="21" t="s">
        <v>17</v>
      </c>
      <c r="E28" s="21"/>
      <c r="F28" s="22">
        <v>1000.0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18">
        <f t="shared" si="8"/>
        <v>1000</v>
      </c>
      <c r="AC28" s="18">
        <f t="shared" si="5"/>
        <v>0</v>
      </c>
      <c r="AD28" s="20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</row>
    <row r="29" ht="14.25" customHeight="1">
      <c r="A29" s="25">
        <v>25.0</v>
      </c>
      <c r="B29" s="27" t="s">
        <v>104</v>
      </c>
      <c r="C29" s="27" t="s">
        <v>105</v>
      </c>
      <c r="D29" s="27" t="s">
        <v>20</v>
      </c>
      <c r="E29" s="27" t="s">
        <v>106</v>
      </c>
      <c r="F29" s="28">
        <v>2500.0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18">
        <f t="shared" si="8"/>
        <v>2500</v>
      </c>
      <c r="AC29" s="18">
        <f t="shared" si="5"/>
        <v>0</v>
      </c>
      <c r="AD29" s="20"/>
    </row>
    <row r="30" ht="14.25" customHeight="1">
      <c r="A30" s="25">
        <v>26.0</v>
      </c>
      <c r="B30" s="26" t="s">
        <v>107</v>
      </c>
      <c r="C30" s="26" t="s">
        <v>105</v>
      </c>
      <c r="D30" s="27" t="s">
        <v>109</v>
      </c>
      <c r="E30" s="27" t="s">
        <v>110</v>
      </c>
      <c r="F30" s="28">
        <v>1000.0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18">
        <f t="shared" si="8"/>
        <v>1000</v>
      </c>
      <c r="AC30" s="18">
        <f t="shared" si="5"/>
        <v>0</v>
      </c>
      <c r="AD30" s="20"/>
    </row>
    <row r="31" ht="14.25" customHeight="1">
      <c r="A31" s="25">
        <v>27.0</v>
      </c>
      <c r="B31" s="44"/>
      <c r="C31" s="44"/>
      <c r="D31" s="27" t="s">
        <v>111</v>
      </c>
      <c r="E31" s="27"/>
      <c r="F31" s="28">
        <v>500.0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18">
        <f t="shared" si="8"/>
        <v>500</v>
      </c>
      <c r="AC31" s="18">
        <f t="shared" si="5"/>
        <v>0</v>
      </c>
      <c r="AD31" s="20"/>
    </row>
    <row r="32" ht="14.25" customHeight="1">
      <c r="A32" s="25">
        <v>28.0</v>
      </c>
      <c r="B32" s="12"/>
      <c r="C32" s="12"/>
      <c r="D32" s="27" t="s">
        <v>111</v>
      </c>
      <c r="E32" s="27"/>
      <c r="F32" s="28">
        <v>500.0</v>
      </c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18">
        <f t="shared" si="8"/>
        <v>500</v>
      </c>
      <c r="AC32" s="18">
        <f t="shared" si="5"/>
        <v>0</v>
      </c>
      <c r="AD32" s="20"/>
    </row>
    <row r="33" ht="14.25" customHeight="1">
      <c r="A33" s="25">
        <v>29.0</v>
      </c>
      <c r="B33" s="26" t="s">
        <v>114</v>
      </c>
      <c r="C33" s="27"/>
      <c r="D33" s="27"/>
      <c r="E33" s="27" t="s">
        <v>115</v>
      </c>
      <c r="F33" s="28">
        <v>800.0</v>
      </c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18">
        <f t="shared" si="8"/>
        <v>800</v>
      </c>
      <c r="AC33" s="18">
        <f t="shared" si="5"/>
        <v>0</v>
      </c>
      <c r="AD33" s="20"/>
    </row>
    <row r="34" ht="14.25" customHeight="1">
      <c r="A34" s="25">
        <v>30.0</v>
      </c>
      <c r="B34" s="12"/>
      <c r="C34" s="27"/>
      <c r="D34" s="27" t="s">
        <v>17</v>
      </c>
      <c r="E34" s="27"/>
      <c r="F34" s="28">
        <v>500.0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18">
        <f t="shared" si="8"/>
        <v>500</v>
      </c>
      <c r="AC34" s="18">
        <f t="shared" si="5"/>
        <v>0</v>
      </c>
      <c r="AD34" s="20"/>
    </row>
    <row r="35" ht="14.25" customHeight="1">
      <c r="A35" s="25">
        <v>31.0</v>
      </c>
      <c r="B35" s="82" t="s">
        <v>135</v>
      </c>
      <c r="C35" s="27" t="s">
        <v>136</v>
      </c>
      <c r="D35" s="27"/>
      <c r="E35" s="27" t="s">
        <v>137</v>
      </c>
      <c r="F35" s="28">
        <v>1500.0</v>
      </c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18">
        <f t="shared" si="8"/>
        <v>1500</v>
      </c>
      <c r="AC35" s="18">
        <f t="shared" si="5"/>
        <v>0</v>
      </c>
      <c r="AD35" s="20"/>
    </row>
    <row r="36" ht="14.25" customHeight="1">
      <c r="A36" s="25">
        <v>32.0</v>
      </c>
      <c r="B36" s="82" t="s">
        <v>142</v>
      </c>
      <c r="C36" s="27" t="s">
        <v>143</v>
      </c>
      <c r="D36" s="27" t="s">
        <v>20</v>
      </c>
      <c r="E36" s="27" t="s">
        <v>144</v>
      </c>
      <c r="F36" s="28">
        <v>1500.0</v>
      </c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18">
        <f t="shared" si="8"/>
        <v>1500</v>
      </c>
      <c r="AC36" s="18">
        <f t="shared" si="5"/>
        <v>0</v>
      </c>
      <c r="AD36" s="20"/>
    </row>
    <row r="37" ht="14.25" customHeight="1">
      <c r="A37" s="25">
        <v>33.0</v>
      </c>
      <c r="B37" s="82" t="s">
        <v>145</v>
      </c>
      <c r="C37" s="27" t="s">
        <v>146</v>
      </c>
      <c r="D37" s="27" t="s">
        <v>43</v>
      </c>
      <c r="E37" s="27"/>
      <c r="F37" s="28">
        <v>700.0</v>
      </c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18">
        <f t="shared" si="8"/>
        <v>700</v>
      </c>
      <c r="AC37" s="18">
        <f t="shared" si="5"/>
        <v>0</v>
      </c>
      <c r="AD37" s="20"/>
    </row>
    <row r="38" ht="14.25" customHeight="1">
      <c r="A38" s="25">
        <v>34.0</v>
      </c>
      <c r="B38" s="27" t="s">
        <v>118</v>
      </c>
      <c r="C38" s="27"/>
      <c r="D38" s="27" t="s">
        <v>119</v>
      </c>
      <c r="E38" s="27" t="s">
        <v>120</v>
      </c>
      <c r="F38" s="28">
        <v>3000.0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56"/>
      <c r="S38" s="24"/>
      <c r="T38" s="24"/>
      <c r="U38" s="24"/>
      <c r="V38" s="24"/>
      <c r="W38" s="24"/>
      <c r="X38" s="24"/>
      <c r="Y38" s="24"/>
      <c r="Z38" s="24"/>
      <c r="AA38" s="24"/>
      <c r="AB38" s="18">
        <f t="shared" si="8"/>
        <v>3000</v>
      </c>
      <c r="AC38" s="18">
        <f t="shared" si="5"/>
        <v>0</v>
      </c>
      <c r="AD38" s="20"/>
    </row>
    <row r="39" ht="14.25" customHeight="1">
      <c r="A39" s="25"/>
      <c r="B39" s="82" t="s">
        <v>155</v>
      </c>
      <c r="C39" s="27"/>
      <c r="D39" s="27" t="s">
        <v>20</v>
      </c>
      <c r="E39" s="27" t="s">
        <v>156</v>
      </c>
      <c r="F39" s="28">
        <v>1500.0</v>
      </c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18">
        <f t="shared" si="8"/>
        <v>1500</v>
      </c>
      <c r="AC39" s="18">
        <f t="shared" si="5"/>
        <v>0</v>
      </c>
      <c r="AD39" s="20"/>
    </row>
    <row r="40" ht="14.25" customHeight="1">
      <c r="A40" s="25"/>
      <c r="B40" s="27"/>
      <c r="C40" s="27"/>
      <c r="D40" s="27" t="s">
        <v>20</v>
      </c>
      <c r="E40" s="27" t="s">
        <v>159</v>
      </c>
      <c r="F40" s="28">
        <v>1500.0</v>
      </c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18" t="str">
        <f>F40-(G40+H40+J40+K40+M40+N40+P40+Q40+S40+T40+V40+W40+O40+R40+#REF!+I40+L40+X40)</f>
        <v>#REF!</v>
      </c>
      <c r="AC40" s="18">
        <f t="shared" si="5"/>
        <v>0</v>
      </c>
      <c r="AD40" s="20"/>
    </row>
    <row r="41" ht="14.25" customHeight="1">
      <c r="A41" s="25"/>
      <c r="B41" s="27"/>
      <c r="C41" s="27"/>
      <c r="D41" s="27" t="s">
        <v>20</v>
      </c>
      <c r="E41" s="27" t="s">
        <v>164</v>
      </c>
      <c r="F41" s="28">
        <v>1500.0</v>
      </c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18">
        <f>F41-(G41+H41+J41+K41+M41+N41+P41+Q41+S41+T41+V41+W41+O41+R41+U41+I41+L41+X41)</f>
        <v>1500</v>
      </c>
      <c r="AC41" s="18">
        <f t="shared" si="5"/>
        <v>0</v>
      </c>
      <c r="AD41" s="20"/>
    </row>
    <row r="42" ht="14.25" customHeight="1">
      <c r="A42" s="68" t="s">
        <v>122</v>
      </c>
      <c r="B42" s="2"/>
      <c r="C42" s="2"/>
      <c r="D42" s="2"/>
      <c r="E42" s="3"/>
      <c r="F42" s="69">
        <f t="shared" ref="F42:X42" si="9">SUM(F4:F41)</f>
        <v>55200</v>
      </c>
      <c r="G42" s="70">
        <f t="shared" si="9"/>
        <v>0</v>
      </c>
      <c r="H42" s="70">
        <f t="shared" si="9"/>
        <v>0</v>
      </c>
      <c r="I42" s="70">
        <f t="shared" si="9"/>
        <v>0</v>
      </c>
      <c r="J42" s="70">
        <f t="shared" si="9"/>
        <v>0</v>
      </c>
      <c r="K42" s="70">
        <f t="shared" si="9"/>
        <v>0</v>
      </c>
      <c r="L42" s="70">
        <f t="shared" si="9"/>
        <v>0</v>
      </c>
      <c r="M42" s="70">
        <f t="shared" si="9"/>
        <v>0</v>
      </c>
      <c r="N42" s="70">
        <f t="shared" si="9"/>
        <v>0</v>
      </c>
      <c r="O42" s="70">
        <f t="shared" si="9"/>
        <v>0</v>
      </c>
      <c r="P42" s="70">
        <f t="shared" si="9"/>
        <v>0</v>
      </c>
      <c r="Q42" s="70">
        <f t="shared" si="9"/>
        <v>0</v>
      </c>
      <c r="R42" s="70">
        <f t="shared" si="9"/>
        <v>0</v>
      </c>
      <c r="S42" s="70">
        <f t="shared" si="9"/>
        <v>0</v>
      </c>
      <c r="T42" s="70">
        <f t="shared" si="9"/>
        <v>0</v>
      </c>
      <c r="U42" s="70">
        <f t="shared" si="9"/>
        <v>0</v>
      </c>
      <c r="V42" s="70">
        <f t="shared" si="9"/>
        <v>0</v>
      </c>
      <c r="W42" s="70">
        <f t="shared" si="9"/>
        <v>0</v>
      </c>
      <c r="X42" s="70">
        <f t="shared" si="9"/>
        <v>0</v>
      </c>
      <c r="Y42" s="70"/>
      <c r="Z42" s="70"/>
      <c r="AA42" s="70"/>
      <c r="AB42" s="70" t="str">
        <f>SUM(AB4:AB41)</f>
        <v>#REF!</v>
      </c>
      <c r="AC42" s="70">
        <f>SUM(AC4:AC38)</f>
        <v>0</v>
      </c>
    </row>
    <row r="43" ht="14.25" customHeight="1">
      <c r="A43" s="73"/>
      <c r="B43" s="73"/>
      <c r="C43" s="73"/>
      <c r="D43" s="73"/>
      <c r="E43" s="73"/>
      <c r="F43" s="72"/>
      <c r="AB43" s="20">
        <f>F42-AC42</f>
        <v>55200</v>
      </c>
      <c r="AC43" s="20">
        <f>G42+H42+J42+K42+M42+N42+O42+P42+Q42+R42+S42+T42+U42+V42+W42</f>
        <v>0</v>
      </c>
    </row>
    <row r="44" ht="14.25" customHeight="1">
      <c r="A44" s="73"/>
      <c r="B44" s="73"/>
      <c r="C44" s="73"/>
      <c r="D44" s="73"/>
      <c r="E44" s="73"/>
      <c r="F44" s="72"/>
    </row>
    <row r="45" ht="14.25" customHeight="1">
      <c r="A45" s="77" t="s">
        <v>177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9"/>
    </row>
    <row r="46" ht="28.5" customHeight="1">
      <c r="A46" s="4" t="s">
        <v>2</v>
      </c>
      <c r="B46" s="5"/>
      <c r="C46" s="6" t="s">
        <v>3</v>
      </c>
      <c r="D46" s="6" t="s">
        <v>4</v>
      </c>
      <c r="E46" s="6" t="s">
        <v>5</v>
      </c>
      <c r="F46" s="7" t="s">
        <v>134</v>
      </c>
      <c r="G46" s="8">
        <v>46216.0</v>
      </c>
      <c r="H46" s="2"/>
      <c r="I46" s="3"/>
      <c r="J46" s="8">
        <v>46217.0</v>
      </c>
      <c r="K46" s="2"/>
      <c r="L46" s="3"/>
      <c r="M46" s="8">
        <v>46218.0</v>
      </c>
      <c r="N46" s="2"/>
      <c r="O46" s="3"/>
      <c r="P46" s="8">
        <v>46219.0</v>
      </c>
      <c r="Q46" s="2"/>
      <c r="R46" s="3"/>
      <c r="S46" s="8">
        <v>46220.0</v>
      </c>
      <c r="T46" s="2"/>
      <c r="U46" s="3"/>
      <c r="V46" s="8">
        <v>46221.0</v>
      </c>
      <c r="W46" s="2"/>
      <c r="X46" s="3"/>
      <c r="Y46" s="8">
        <v>46222.0</v>
      </c>
      <c r="Z46" s="2"/>
      <c r="AA46" s="3"/>
      <c r="AB46" s="9" t="s">
        <v>7</v>
      </c>
      <c r="AC46" s="7" t="s">
        <v>8</v>
      </c>
    </row>
    <row r="47" ht="14.25" customHeight="1">
      <c r="A47" s="10"/>
      <c r="B47" s="11"/>
      <c r="C47" s="12"/>
      <c r="D47" s="12"/>
      <c r="E47" s="12"/>
      <c r="F47" s="12"/>
      <c r="G47" s="13" t="s">
        <v>9</v>
      </c>
      <c r="H47" s="13" t="s">
        <v>10</v>
      </c>
      <c r="I47" s="13" t="s">
        <v>12</v>
      </c>
      <c r="J47" s="13" t="s">
        <v>9</v>
      </c>
      <c r="K47" s="13" t="s">
        <v>10</v>
      </c>
      <c r="L47" s="13" t="s">
        <v>12</v>
      </c>
      <c r="M47" s="13" t="s">
        <v>9</v>
      </c>
      <c r="N47" s="13" t="s">
        <v>10</v>
      </c>
      <c r="O47" s="13" t="s">
        <v>12</v>
      </c>
      <c r="P47" s="13" t="s">
        <v>9</v>
      </c>
      <c r="Q47" s="13" t="s">
        <v>10</v>
      </c>
      <c r="R47" s="13" t="s">
        <v>12</v>
      </c>
      <c r="S47" s="13" t="s">
        <v>9</v>
      </c>
      <c r="T47" s="13" t="s">
        <v>10</v>
      </c>
      <c r="U47" s="13" t="s">
        <v>12</v>
      </c>
      <c r="V47" s="13" t="s">
        <v>9</v>
      </c>
      <c r="W47" s="13" t="s">
        <v>10</v>
      </c>
      <c r="X47" s="13" t="s">
        <v>12</v>
      </c>
      <c r="Y47" s="13" t="s">
        <v>9</v>
      </c>
      <c r="Z47" s="13" t="s">
        <v>10</v>
      </c>
      <c r="AA47" s="13" t="s">
        <v>12</v>
      </c>
      <c r="AB47" s="12"/>
      <c r="AC47" s="12"/>
    </row>
    <row r="48" ht="14.25" customHeight="1">
      <c r="A48" s="25">
        <v>1.0</v>
      </c>
      <c r="B48" s="27" t="s">
        <v>138</v>
      </c>
      <c r="C48" s="27" t="s">
        <v>139</v>
      </c>
      <c r="D48" s="27" t="s">
        <v>140</v>
      </c>
      <c r="E48" s="27" t="s">
        <v>141</v>
      </c>
      <c r="F48" s="28">
        <v>2500.0</v>
      </c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3"/>
      <c r="Y48" s="24"/>
      <c r="Z48" s="24"/>
      <c r="AA48" s="24"/>
      <c r="AB48" s="24">
        <f t="shared" ref="AB48:AB52" si="10">F48-(G48+H48+J48+K48+M48+N48+P48+Q48+R48+S48+T48+V48+W48)</f>
        <v>2500</v>
      </c>
      <c r="AC48" s="24">
        <f t="shared" ref="AC48:AC52" si="11">(G48+H48+J48+K48+M48+N48+P48+Q48+R48+S48+T48+V48+W48)</f>
        <v>0</v>
      </c>
    </row>
    <row r="49" ht="14.25" customHeight="1">
      <c r="A49" s="25">
        <v>2.0</v>
      </c>
      <c r="B49" s="27" t="s">
        <v>147</v>
      </c>
      <c r="C49" s="27" t="s">
        <v>139</v>
      </c>
      <c r="D49" s="27" t="s">
        <v>119</v>
      </c>
      <c r="E49" s="27" t="s">
        <v>148</v>
      </c>
      <c r="F49" s="28">
        <v>1500.0</v>
      </c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47">
        <f t="shared" si="10"/>
        <v>1500</v>
      </c>
      <c r="AC49" s="24">
        <f t="shared" si="11"/>
        <v>0</v>
      </c>
      <c r="AF49" s="31" t="s">
        <v>22</v>
      </c>
      <c r="AG49" s="2"/>
      <c r="AH49" s="2"/>
      <c r="AI49" s="3"/>
    </row>
    <row r="50" ht="14.25" customHeight="1">
      <c r="A50" s="84">
        <v>3.0</v>
      </c>
      <c r="B50" s="26" t="s">
        <v>157</v>
      </c>
      <c r="C50" s="26" t="s">
        <v>139</v>
      </c>
      <c r="D50" s="27" t="s">
        <v>158</v>
      </c>
      <c r="E50" s="27" t="s">
        <v>16</v>
      </c>
      <c r="F50" s="28">
        <v>2000.0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>
        <f t="shared" si="10"/>
        <v>2000</v>
      </c>
      <c r="AC50" s="24">
        <f t="shared" si="11"/>
        <v>0</v>
      </c>
      <c r="AF50" s="35" t="s">
        <v>25</v>
      </c>
      <c r="AG50" s="35" t="s">
        <v>26</v>
      </c>
      <c r="AH50" s="35" t="s">
        <v>27</v>
      </c>
      <c r="AI50" s="35" t="s">
        <v>28</v>
      </c>
    </row>
    <row r="51" ht="14.25" customHeight="1">
      <c r="A51" s="12"/>
      <c r="B51" s="12"/>
      <c r="C51" s="12"/>
      <c r="D51" s="27" t="s">
        <v>17</v>
      </c>
      <c r="E51" s="27"/>
      <c r="F51" s="28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47">
        <f t="shared" si="10"/>
        <v>0</v>
      </c>
      <c r="AC51" s="24">
        <f t="shared" si="11"/>
        <v>0</v>
      </c>
      <c r="AF51" s="37" t="s">
        <v>9</v>
      </c>
      <c r="AG51" s="85"/>
      <c r="AH51" s="85"/>
      <c r="AI51" s="24">
        <f>(G55+J55+M55+P55+S55+V55)</f>
        <v>0</v>
      </c>
    </row>
    <row r="52" ht="14.25" customHeight="1">
      <c r="A52" s="25">
        <v>4.0</v>
      </c>
      <c r="B52" s="27" t="s">
        <v>165</v>
      </c>
      <c r="C52" s="27" t="s">
        <v>166</v>
      </c>
      <c r="D52" s="27" t="s">
        <v>119</v>
      </c>
      <c r="E52" s="27" t="s">
        <v>167</v>
      </c>
      <c r="F52" s="28">
        <v>1500.0</v>
      </c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>
        <f t="shared" si="10"/>
        <v>1500</v>
      </c>
      <c r="AC52" s="24">
        <f t="shared" si="11"/>
        <v>0</v>
      </c>
      <c r="AF52" s="37" t="s">
        <v>10</v>
      </c>
      <c r="AG52" s="85"/>
      <c r="AH52" s="85"/>
      <c r="AI52" s="24">
        <f>H55+K55+N55+Q55+T55+W55</f>
        <v>0</v>
      </c>
    </row>
    <row r="53" ht="14.25" customHeight="1">
      <c r="A53" s="25">
        <v>5.0</v>
      </c>
      <c r="B53" s="27" t="s">
        <v>168</v>
      </c>
      <c r="C53" s="27" t="s">
        <v>166</v>
      </c>
      <c r="D53" s="27" t="s">
        <v>119</v>
      </c>
      <c r="E53" s="27" t="s">
        <v>169</v>
      </c>
      <c r="F53" s="28">
        <v>1500.0</v>
      </c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 t="str">
        <f>F53-(M53+H53+J53+K53+#REF!+N53+P53+Q53+R53+S53+T53+V53+W53)</f>
        <v>#REF!</v>
      </c>
      <c r="AC53" s="24" t="str">
        <f>(M53+H53+J53+K53+#REF!+N53+P53+Q53+R53+S53+T53+V53+W53)</f>
        <v>#REF!</v>
      </c>
      <c r="AF53" s="37" t="s">
        <v>12</v>
      </c>
      <c r="AG53" s="85"/>
      <c r="AH53" s="85"/>
      <c r="AI53" s="85"/>
    </row>
    <row r="54" ht="14.25" customHeight="1">
      <c r="A54" s="25">
        <v>6.0</v>
      </c>
      <c r="B54" s="27" t="s">
        <v>170</v>
      </c>
      <c r="C54" s="27" t="s">
        <v>171</v>
      </c>
      <c r="D54" s="27" t="s">
        <v>158</v>
      </c>
      <c r="E54" s="27" t="s">
        <v>172</v>
      </c>
      <c r="F54" s="28">
        <v>2000.0</v>
      </c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>
        <f>F54-(G54+H54+J54+K54+M54+N54+P54+Q54+R54+S54+T54+V54+W54)</f>
        <v>2000</v>
      </c>
      <c r="AC54" s="24">
        <f>(G54+H54+J54+K54+M54+N54+P54+Q54+R54+S54+T54+V54+W54)</f>
        <v>0</v>
      </c>
    </row>
    <row r="55" ht="14.25" customHeight="1">
      <c r="A55" s="68" t="s">
        <v>122</v>
      </c>
      <c r="B55" s="2"/>
      <c r="C55" s="2"/>
      <c r="D55" s="2"/>
      <c r="E55" s="3"/>
      <c r="F55" s="69">
        <f t="shared" ref="F55:H55" si="12">SUM(F48:F54)</f>
        <v>11000</v>
      </c>
      <c r="G55" s="86">
        <f t="shared" si="12"/>
        <v>0</v>
      </c>
      <c r="H55" s="86">
        <f t="shared" si="12"/>
        <v>0</v>
      </c>
      <c r="I55" s="86"/>
      <c r="J55" s="86">
        <f t="shared" ref="J55:K55" si="13">SUM(J48:J54)</f>
        <v>0</v>
      </c>
      <c r="K55" s="86">
        <f t="shared" si="13"/>
        <v>0</v>
      </c>
      <c r="L55" s="86"/>
      <c r="M55" s="86">
        <f t="shared" ref="M55:N55" si="14">SUM(M48:M54)</f>
        <v>0</v>
      </c>
      <c r="N55" s="86">
        <f t="shared" si="14"/>
        <v>0</v>
      </c>
      <c r="O55" s="86"/>
      <c r="P55" s="86">
        <f t="shared" ref="P55:T55" si="15">SUM(P48:P54)</f>
        <v>0</v>
      </c>
      <c r="Q55" s="86">
        <f t="shared" si="15"/>
        <v>0</v>
      </c>
      <c r="R55" s="86">
        <f t="shared" si="15"/>
        <v>0</v>
      </c>
      <c r="S55" s="86">
        <f t="shared" si="15"/>
        <v>0</v>
      </c>
      <c r="T55" s="86">
        <f t="shared" si="15"/>
        <v>0</v>
      </c>
      <c r="U55" s="86"/>
      <c r="V55" s="86">
        <f t="shared" ref="V55:W55" si="16">SUM(V48:V54)</f>
        <v>0</v>
      </c>
      <c r="W55" s="86">
        <f t="shared" si="16"/>
        <v>0</v>
      </c>
      <c r="X55" s="86"/>
      <c r="Y55" s="86"/>
      <c r="Z55" s="86"/>
      <c r="AA55" s="86"/>
      <c r="AB55" s="70" t="str">
        <f t="shared" ref="AB55:AC55" si="17">SUM(AB48:AB54)</f>
        <v>#REF!</v>
      </c>
      <c r="AC55" s="70" t="str">
        <f t="shared" si="17"/>
        <v>#REF!</v>
      </c>
    </row>
    <row r="56" ht="14.25" customHeight="1">
      <c r="A56" s="73"/>
      <c r="B56" s="73"/>
      <c r="C56" s="73"/>
      <c r="D56" s="73"/>
      <c r="E56" s="73"/>
      <c r="F56" s="72"/>
    </row>
    <row r="57" ht="14.25" customHeight="1">
      <c r="A57" s="73"/>
      <c r="B57" s="73"/>
      <c r="C57" s="73"/>
      <c r="D57" s="73"/>
      <c r="E57" s="73"/>
      <c r="F57" s="72"/>
    </row>
    <row r="58" ht="14.25" customHeight="1">
      <c r="A58" s="73"/>
      <c r="B58" s="73"/>
      <c r="C58" s="73"/>
      <c r="D58" s="73"/>
      <c r="E58" s="73"/>
      <c r="F58" s="72"/>
    </row>
    <row r="59" ht="14.25" customHeight="1">
      <c r="A59" s="1" t="s">
        <v>211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</row>
    <row r="60" ht="28.5" customHeight="1">
      <c r="A60" s="4" t="s">
        <v>2</v>
      </c>
      <c r="B60" s="5"/>
      <c r="C60" s="6" t="s">
        <v>3</v>
      </c>
      <c r="D60" s="6" t="s">
        <v>4</v>
      </c>
      <c r="E60" s="6" t="s">
        <v>5</v>
      </c>
      <c r="F60" s="7" t="s">
        <v>134</v>
      </c>
      <c r="G60" s="109">
        <v>46216.0</v>
      </c>
      <c r="H60" s="109">
        <v>46217.0</v>
      </c>
      <c r="I60" s="109">
        <v>46218.0</v>
      </c>
      <c r="J60" s="109">
        <v>46219.0</v>
      </c>
      <c r="K60" s="109">
        <v>46220.0</v>
      </c>
      <c r="L60" s="109">
        <v>46221.0</v>
      </c>
      <c r="M60" s="109">
        <v>46222.0</v>
      </c>
      <c r="N60" s="9" t="s">
        <v>7</v>
      </c>
      <c r="O60" s="7" t="s">
        <v>8</v>
      </c>
      <c r="R60" s="111"/>
      <c r="T60" s="111"/>
      <c r="U60" s="111"/>
      <c r="W60" s="111"/>
      <c r="X60" s="111"/>
      <c r="Y60" s="111"/>
      <c r="Z60" s="111"/>
      <c r="AA60" s="111"/>
    </row>
    <row r="61" ht="14.25" customHeight="1">
      <c r="A61" s="10"/>
      <c r="B61" s="11"/>
      <c r="C61" s="12"/>
      <c r="D61" s="12"/>
      <c r="E61" s="12"/>
      <c r="F61" s="12"/>
      <c r="G61" s="13" t="s">
        <v>9</v>
      </c>
      <c r="H61" s="13" t="s">
        <v>9</v>
      </c>
      <c r="I61" s="13" t="s">
        <v>9</v>
      </c>
      <c r="J61" s="13" t="s">
        <v>9</v>
      </c>
      <c r="K61" s="13" t="s">
        <v>9</v>
      </c>
      <c r="L61" s="13" t="s">
        <v>9</v>
      </c>
      <c r="M61" s="13" t="s">
        <v>9</v>
      </c>
      <c r="N61" s="12"/>
      <c r="O61" s="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</row>
    <row r="62" ht="14.25" customHeight="1">
      <c r="A62" s="25">
        <v>1.0</v>
      </c>
      <c r="B62" s="89" t="s">
        <v>178</v>
      </c>
      <c r="C62" s="84" t="s">
        <v>179</v>
      </c>
      <c r="D62" s="27"/>
      <c r="E62" s="90" t="s">
        <v>180</v>
      </c>
      <c r="F62" s="28"/>
      <c r="G62" s="85"/>
      <c r="H62" s="85"/>
      <c r="I62" s="85"/>
      <c r="J62" s="85"/>
      <c r="K62" s="85"/>
      <c r="L62" s="85"/>
      <c r="M62" s="85"/>
      <c r="N62" s="85"/>
      <c r="O62" s="24">
        <f t="shared" ref="O62:O68" si="18">SUM(G62:N62)</f>
        <v>0</v>
      </c>
      <c r="V62" s="113"/>
    </row>
    <row r="63" ht="14.25" customHeight="1">
      <c r="A63" s="25">
        <v>2.0</v>
      </c>
      <c r="B63" s="89" t="s">
        <v>183</v>
      </c>
      <c r="C63" s="44"/>
      <c r="D63" s="27"/>
      <c r="E63" s="90" t="s">
        <v>184</v>
      </c>
      <c r="F63" s="28"/>
      <c r="G63" s="85"/>
      <c r="H63" s="85"/>
      <c r="I63" s="85"/>
      <c r="J63" s="85"/>
      <c r="K63" s="85"/>
      <c r="L63" s="85"/>
      <c r="M63" s="85"/>
      <c r="N63" s="85"/>
      <c r="O63" s="24">
        <f t="shared" si="18"/>
        <v>0</v>
      </c>
      <c r="V63" s="113"/>
      <c r="W63" s="113"/>
      <c r="X63" s="113"/>
      <c r="Y63" s="113"/>
      <c r="Z63" s="113"/>
      <c r="AA63" s="113"/>
      <c r="AB63" s="113"/>
    </row>
    <row r="64" ht="14.25" customHeight="1">
      <c r="A64" s="25">
        <v>3.0</v>
      </c>
      <c r="B64" s="89" t="s">
        <v>185</v>
      </c>
      <c r="C64" s="44"/>
      <c r="D64" s="27"/>
      <c r="E64" s="90" t="s">
        <v>186</v>
      </c>
      <c r="F64" s="28"/>
      <c r="G64" s="85"/>
      <c r="H64" s="85"/>
      <c r="I64" s="85"/>
      <c r="J64" s="85"/>
      <c r="K64" s="85"/>
      <c r="L64" s="85"/>
      <c r="M64" s="85"/>
      <c r="N64" s="85"/>
      <c r="O64" s="24">
        <f t="shared" si="18"/>
        <v>0</v>
      </c>
      <c r="V64" s="73"/>
      <c r="W64" s="73"/>
      <c r="X64" s="73"/>
      <c r="Y64" s="73"/>
      <c r="Z64" s="73"/>
      <c r="AA64" s="73"/>
      <c r="AB64" s="72"/>
    </row>
    <row r="65" ht="14.25" customHeight="1">
      <c r="A65" s="25">
        <v>4.0</v>
      </c>
      <c r="B65" s="89" t="s">
        <v>185</v>
      </c>
      <c r="C65" s="44"/>
      <c r="D65" s="27"/>
      <c r="E65" s="90" t="s">
        <v>186</v>
      </c>
      <c r="F65" s="28"/>
      <c r="G65" s="85"/>
      <c r="H65" s="85"/>
      <c r="I65" s="85"/>
      <c r="J65" s="85"/>
      <c r="K65" s="85"/>
      <c r="L65" s="85"/>
      <c r="M65" s="85"/>
      <c r="N65" s="85"/>
      <c r="O65" s="24">
        <f t="shared" si="18"/>
        <v>0</v>
      </c>
      <c r="V65" s="73"/>
      <c r="W65" s="73"/>
      <c r="X65" s="73"/>
      <c r="Y65" s="73"/>
      <c r="Z65" s="73"/>
      <c r="AA65" s="73"/>
      <c r="AB65" s="73"/>
    </row>
    <row r="66" ht="14.25" customHeight="1">
      <c r="A66" s="25">
        <v>5.0</v>
      </c>
      <c r="B66" s="89" t="s">
        <v>187</v>
      </c>
      <c r="C66" s="44"/>
      <c r="D66" s="27"/>
      <c r="E66" s="90" t="s">
        <v>188</v>
      </c>
      <c r="F66" s="28"/>
      <c r="G66" s="85"/>
      <c r="H66" s="85"/>
      <c r="I66" s="85"/>
      <c r="J66" s="85"/>
      <c r="K66" s="85"/>
      <c r="L66" s="85"/>
      <c r="M66" s="85"/>
      <c r="N66" s="85"/>
      <c r="O66" s="24">
        <f t="shared" si="18"/>
        <v>0</v>
      </c>
      <c r="V66" s="73"/>
      <c r="W66" s="73"/>
      <c r="X66" s="73"/>
      <c r="Y66" s="73"/>
      <c r="Z66" s="73"/>
      <c r="AA66" s="73"/>
      <c r="AB66" s="73"/>
    </row>
    <row r="67" ht="14.25" customHeight="1">
      <c r="A67" s="25">
        <v>6.0</v>
      </c>
      <c r="B67" s="89" t="s">
        <v>189</v>
      </c>
      <c r="C67" s="44"/>
      <c r="D67" s="27"/>
      <c r="E67" s="90" t="s">
        <v>190</v>
      </c>
      <c r="F67" s="28"/>
      <c r="G67" s="85"/>
      <c r="H67" s="24"/>
      <c r="I67" s="85"/>
      <c r="J67" s="85"/>
      <c r="K67" s="85"/>
      <c r="L67" s="85"/>
      <c r="M67" s="85"/>
      <c r="N67" s="85"/>
      <c r="O67" s="24">
        <f t="shared" si="18"/>
        <v>0</v>
      </c>
    </row>
    <row r="68" ht="14.25" customHeight="1">
      <c r="A68" s="25">
        <v>7.0</v>
      </c>
      <c r="B68" s="89" t="s">
        <v>191</v>
      </c>
      <c r="C68" s="12"/>
      <c r="D68" s="27"/>
      <c r="E68" s="90" t="s">
        <v>192</v>
      </c>
      <c r="F68" s="28"/>
      <c r="G68" s="85"/>
      <c r="H68" s="85"/>
      <c r="I68" s="85"/>
      <c r="J68" s="85"/>
      <c r="K68" s="85"/>
      <c r="L68" s="85"/>
      <c r="M68" s="85"/>
      <c r="N68" s="85"/>
      <c r="O68" s="24">
        <f t="shared" si="18"/>
        <v>0</v>
      </c>
    </row>
    <row r="69" ht="14.25" customHeight="1">
      <c r="A69" s="68" t="s">
        <v>122</v>
      </c>
      <c r="B69" s="2"/>
      <c r="C69" s="2"/>
      <c r="D69" s="2"/>
      <c r="E69" s="3"/>
      <c r="F69" s="93"/>
      <c r="G69" s="85">
        <f t="shared" ref="G69:O69" si="19">SUM(G62:G68)</f>
        <v>0</v>
      </c>
      <c r="H69" s="24">
        <f t="shared" si="19"/>
        <v>0</v>
      </c>
      <c r="I69" s="85">
        <f t="shared" si="19"/>
        <v>0</v>
      </c>
      <c r="J69" s="85">
        <f t="shared" si="19"/>
        <v>0</v>
      </c>
      <c r="K69" s="85">
        <f t="shared" si="19"/>
        <v>0</v>
      </c>
      <c r="L69" s="85">
        <f t="shared" si="19"/>
        <v>0</v>
      </c>
      <c r="M69" s="85">
        <f t="shared" si="19"/>
        <v>0</v>
      </c>
      <c r="N69" s="85">
        <f t="shared" si="19"/>
        <v>0</v>
      </c>
      <c r="O69" s="24">
        <f t="shared" si="19"/>
        <v>0</v>
      </c>
    </row>
    <row r="70" ht="14.25" customHeight="1">
      <c r="A70" s="73"/>
      <c r="B70" s="73"/>
      <c r="C70" s="73"/>
      <c r="D70" s="73"/>
      <c r="E70" s="73"/>
      <c r="F70" s="72"/>
    </row>
    <row r="71" ht="14.25" customHeight="1">
      <c r="A71" s="73"/>
      <c r="B71" s="73"/>
      <c r="C71" s="73"/>
      <c r="D71" s="73"/>
      <c r="E71" s="73"/>
      <c r="F71" s="72"/>
    </row>
    <row r="72" ht="14.25" customHeight="1">
      <c r="A72" s="1" t="s">
        <v>218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"/>
      <c r="S72" s="20"/>
      <c r="U72" s="20"/>
    </row>
    <row r="73" ht="14.25" customHeight="1">
      <c r="A73" s="4" t="s">
        <v>220</v>
      </c>
      <c r="B73" s="5"/>
      <c r="C73" s="8">
        <v>46216.0</v>
      </c>
      <c r="D73" s="3"/>
      <c r="E73" s="8">
        <v>46217.0</v>
      </c>
      <c r="F73" s="3"/>
      <c r="G73" s="8">
        <v>46218.0</v>
      </c>
      <c r="H73" s="3"/>
      <c r="I73" s="8">
        <v>46219.0</v>
      </c>
      <c r="J73" s="3"/>
      <c r="K73" s="8">
        <v>46220.0</v>
      </c>
      <c r="L73" s="3"/>
      <c r="M73" s="8">
        <v>46221.0</v>
      </c>
      <c r="N73" s="3"/>
      <c r="O73" s="8">
        <v>46222.0</v>
      </c>
      <c r="P73" s="3"/>
      <c r="Q73" s="85"/>
      <c r="R73" s="85"/>
      <c r="S73" s="20"/>
      <c r="U73" s="20"/>
    </row>
    <row r="74" ht="14.25" customHeight="1">
      <c r="A74" s="10"/>
      <c r="B74" s="11"/>
      <c r="C74" s="13" t="s">
        <v>26</v>
      </c>
      <c r="D74" s="13" t="s">
        <v>197</v>
      </c>
      <c r="E74" s="13" t="s">
        <v>26</v>
      </c>
      <c r="F74" s="13" t="s">
        <v>197</v>
      </c>
      <c r="G74" s="13" t="s">
        <v>26</v>
      </c>
      <c r="H74" s="13" t="s">
        <v>197</v>
      </c>
      <c r="I74" s="13" t="s">
        <v>26</v>
      </c>
      <c r="J74" s="13" t="s">
        <v>197</v>
      </c>
      <c r="K74" s="13" t="s">
        <v>26</v>
      </c>
      <c r="L74" s="13" t="s">
        <v>197</v>
      </c>
      <c r="M74" s="13" t="s">
        <v>26</v>
      </c>
      <c r="N74" s="13" t="s">
        <v>197</v>
      </c>
      <c r="O74" s="13" t="s">
        <v>26</v>
      </c>
      <c r="P74" s="13" t="s">
        <v>197</v>
      </c>
      <c r="Q74" s="120" t="s">
        <v>224</v>
      </c>
      <c r="R74" s="104">
        <v>27.0</v>
      </c>
      <c r="S74" s="20"/>
      <c r="U74" s="20"/>
    </row>
    <row r="75" ht="14.25" customHeight="1">
      <c r="A75" s="25">
        <v>1.0</v>
      </c>
      <c r="B75" s="37" t="s">
        <v>225</v>
      </c>
      <c r="C75" s="39"/>
      <c r="D75" s="256"/>
      <c r="E75" s="132"/>
      <c r="F75" s="85"/>
      <c r="G75" s="27"/>
      <c r="H75" s="85"/>
      <c r="I75" s="27"/>
      <c r="J75" s="85"/>
      <c r="K75" s="85"/>
      <c r="L75" s="85"/>
      <c r="M75" s="27"/>
      <c r="N75" s="85"/>
      <c r="O75" s="85"/>
      <c r="P75" s="85"/>
      <c r="Q75" s="27">
        <f t="shared" ref="Q75:Q84" si="20">O75+M75+K75+I75+G75+E75+C75</f>
        <v>0</v>
      </c>
      <c r="R75" s="131"/>
      <c r="S75" s="20"/>
      <c r="U75" s="20"/>
    </row>
    <row r="76" ht="14.25" customHeight="1">
      <c r="A76" s="25">
        <v>2.0</v>
      </c>
      <c r="B76" s="37" t="s">
        <v>235</v>
      </c>
      <c r="C76" s="39"/>
      <c r="D76" s="39"/>
      <c r="E76" s="132"/>
      <c r="G76" s="27"/>
      <c r="H76" s="85"/>
      <c r="I76" s="27"/>
      <c r="J76" s="85"/>
      <c r="K76" s="85"/>
      <c r="L76" s="85"/>
      <c r="M76" s="85"/>
      <c r="N76" s="85"/>
      <c r="O76" s="85"/>
      <c r="P76" s="85"/>
      <c r="Q76" s="27">
        <f t="shared" si="20"/>
        <v>0</v>
      </c>
      <c r="R76" s="44"/>
      <c r="S76" s="20"/>
      <c r="U76" s="20"/>
    </row>
    <row r="77" ht="14.25" customHeight="1">
      <c r="A77" s="25">
        <v>3.0</v>
      </c>
      <c r="B77" s="37" t="s">
        <v>241</v>
      </c>
      <c r="C77" s="39"/>
      <c r="D77" s="39"/>
      <c r="E77" s="85"/>
      <c r="F77" s="85"/>
      <c r="G77" s="27"/>
      <c r="H77" s="85"/>
      <c r="I77" s="27"/>
      <c r="J77" s="85"/>
      <c r="K77" s="85"/>
      <c r="L77" s="85"/>
      <c r="M77" s="85"/>
      <c r="N77" s="85"/>
      <c r="O77" s="85"/>
      <c r="P77" s="85"/>
      <c r="Q77" s="27">
        <f t="shared" si="20"/>
        <v>0</v>
      </c>
      <c r="R77" s="44"/>
      <c r="S77" s="20"/>
      <c r="U77" s="20"/>
    </row>
    <row r="78" ht="14.25" customHeight="1">
      <c r="A78" s="25">
        <v>4.0</v>
      </c>
      <c r="B78" s="37" t="s">
        <v>253</v>
      </c>
      <c r="C78" s="39"/>
      <c r="D78" s="39"/>
      <c r="E78" s="85"/>
      <c r="F78" s="85"/>
      <c r="G78" s="27"/>
      <c r="H78" s="85"/>
      <c r="I78" s="27"/>
      <c r="J78" s="85"/>
      <c r="K78" s="85"/>
      <c r="L78" s="85"/>
      <c r="M78" s="85"/>
      <c r="N78" s="85"/>
      <c r="O78" s="85"/>
      <c r="P78" s="85"/>
      <c r="Q78" s="27">
        <f t="shared" si="20"/>
        <v>0</v>
      </c>
      <c r="R78" s="44"/>
      <c r="S78" s="20"/>
      <c r="U78" s="20"/>
    </row>
    <row r="79" ht="14.25" customHeight="1">
      <c r="A79" s="25">
        <v>5.0</v>
      </c>
      <c r="B79" s="37" t="s">
        <v>257</v>
      </c>
      <c r="C79" s="39"/>
      <c r="D79" s="39"/>
      <c r="E79" s="85"/>
      <c r="F79" s="85"/>
      <c r="G79" s="85"/>
      <c r="H79" s="85"/>
      <c r="I79" s="39"/>
      <c r="J79" s="85"/>
      <c r="K79" s="85"/>
      <c r="L79" s="85"/>
      <c r="M79" s="85"/>
      <c r="N79" s="85"/>
      <c r="O79" s="85"/>
      <c r="P79" s="85"/>
      <c r="Q79" s="27">
        <f t="shared" si="20"/>
        <v>0</v>
      </c>
      <c r="R79" s="44"/>
      <c r="S79" s="20"/>
      <c r="U79" s="20"/>
    </row>
    <row r="80" ht="14.25" customHeight="1">
      <c r="A80" s="25">
        <v>6.0</v>
      </c>
      <c r="B80" s="37" t="s">
        <v>264</v>
      </c>
      <c r="C80" s="39"/>
      <c r="D80" s="39"/>
      <c r="E80" s="85"/>
      <c r="F80" s="85"/>
      <c r="G80" s="85"/>
      <c r="H80" s="85"/>
      <c r="I80" s="39"/>
      <c r="J80" s="85"/>
      <c r="K80" s="85"/>
      <c r="L80" s="85"/>
      <c r="M80" s="85"/>
      <c r="N80" s="85"/>
      <c r="O80" s="85"/>
      <c r="P80" s="85"/>
      <c r="Q80" s="27">
        <f t="shared" si="20"/>
        <v>0</v>
      </c>
      <c r="R80" s="44"/>
      <c r="S80" s="20"/>
      <c r="U80" s="20"/>
    </row>
    <row r="81" ht="14.25" customHeight="1">
      <c r="A81" s="25">
        <v>7.0</v>
      </c>
      <c r="B81" s="139" t="s">
        <v>273</v>
      </c>
      <c r="C81" s="39"/>
      <c r="D81" s="39"/>
      <c r="E81" s="27"/>
      <c r="G81" s="27"/>
      <c r="I81" s="27"/>
      <c r="J81" s="85"/>
      <c r="K81" s="85"/>
      <c r="L81" s="85"/>
      <c r="M81" s="85"/>
      <c r="N81" s="85"/>
      <c r="O81" s="85"/>
      <c r="P81" s="85"/>
      <c r="Q81" s="27">
        <f t="shared" si="20"/>
        <v>0</v>
      </c>
      <c r="R81" s="44"/>
      <c r="S81" s="20"/>
      <c r="U81" s="20"/>
    </row>
    <row r="82" ht="14.25" customHeight="1">
      <c r="A82" s="25">
        <v>8.0</v>
      </c>
      <c r="B82" s="139" t="s">
        <v>281</v>
      </c>
      <c r="C82" s="85"/>
      <c r="D82" s="85"/>
      <c r="G82" s="73"/>
      <c r="I82" s="145"/>
      <c r="J82" s="85"/>
      <c r="K82" s="85"/>
      <c r="L82" s="85"/>
      <c r="M82" s="85"/>
      <c r="N82" s="85"/>
      <c r="O82" s="85"/>
      <c r="P82" s="85"/>
      <c r="Q82" s="27">
        <f t="shared" si="20"/>
        <v>0</v>
      </c>
      <c r="R82" s="44"/>
      <c r="S82" s="20"/>
      <c r="U82" s="20"/>
    </row>
    <row r="83" ht="14.25" customHeight="1">
      <c r="A83" s="25">
        <v>9.0</v>
      </c>
      <c r="B83" s="139" t="s">
        <v>295</v>
      </c>
      <c r="C83" s="85"/>
      <c r="D83" s="85"/>
      <c r="E83" s="85"/>
      <c r="F83" s="85"/>
      <c r="G83" s="85"/>
      <c r="H83" s="85"/>
      <c r="I83" s="39"/>
      <c r="J83" s="85"/>
      <c r="K83" s="85"/>
      <c r="L83" s="85"/>
      <c r="M83" s="85"/>
      <c r="N83" s="85"/>
      <c r="O83" s="85"/>
      <c r="P83" s="85"/>
      <c r="Q83" s="27">
        <f t="shared" si="20"/>
        <v>0</v>
      </c>
      <c r="R83" s="44"/>
      <c r="S83" s="20"/>
      <c r="U83" s="20"/>
    </row>
    <row r="84" ht="14.25" customHeight="1">
      <c r="A84" s="25">
        <v>10.0</v>
      </c>
      <c r="B84" s="139" t="s">
        <v>300</v>
      </c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27">
        <f t="shared" si="20"/>
        <v>0</v>
      </c>
      <c r="R84" s="12"/>
      <c r="S84" s="20"/>
      <c r="U84" s="20"/>
    </row>
    <row r="85" ht="14.25" customHeight="1">
      <c r="A85" s="150" t="s">
        <v>122</v>
      </c>
      <c r="B85" s="5"/>
      <c r="C85" s="151">
        <f>SUM(C75:C84)</f>
        <v>0</v>
      </c>
      <c r="D85" s="151"/>
      <c r="E85" s="151">
        <f>SUM(E75:E84)</f>
        <v>0</v>
      </c>
      <c r="F85" s="151"/>
      <c r="G85" s="151">
        <f>SUM(G75:G84)</f>
        <v>0</v>
      </c>
      <c r="H85" s="151"/>
      <c r="I85" s="151">
        <f>SUM(I75:I84)</f>
        <v>0</v>
      </c>
      <c r="J85" s="151"/>
      <c r="K85" s="151">
        <f>SUM(K75:K84)</f>
        <v>0</v>
      </c>
      <c r="L85" s="151"/>
      <c r="M85" s="151">
        <f>SUM(M75:M84)</f>
        <v>0</v>
      </c>
      <c r="N85" s="151"/>
      <c r="O85" s="151">
        <f>SUM(O75:O84)</f>
        <v>0</v>
      </c>
      <c r="P85" s="151"/>
      <c r="Q85" s="135">
        <f>SUM(Q75:Q84)</f>
        <v>0</v>
      </c>
      <c r="R85" s="158">
        <f>Q85*R74</f>
        <v>0</v>
      </c>
      <c r="S85" s="20"/>
      <c r="U85" s="20"/>
    </row>
    <row r="86" ht="14.25" customHeight="1">
      <c r="A86" s="10"/>
      <c r="B86" s="11"/>
      <c r="C86" s="86">
        <f>C85*27</f>
        <v>0</v>
      </c>
      <c r="D86" s="41"/>
      <c r="E86" s="86">
        <f>E85*27</f>
        <v>0</v>
      </c>
      <c r="F86" s="41"/>
      <c r="G86" s="86">
        <f>G85*27</f>
        <v>0</v>
      </c>
      <c r="H86" s="41"/>
      <c r="I86" s="86">
        <f>I85*27</f>
        <v>0</v>
      </c>
      <c r="J86" s="41"/>
      <c r="K86" s="86">
        <f>K85*27</f>
        <v>0</v>
      </c>
      <c r="L86" s="41"/>
      <c r="M86" s="86">
        <f>M85*27</f>
        <v>0</v>
      </c>
      <c r="N86" s="41"/>
      <c r="O86" s="86">
        <f>O85*27</f>
        <v>0</v>
      </c>
      <c r="P86" s="136"/>
      <c r="Q86" s="24">
        <f>O86+M86+K86+I86+G86+E86+C86</f>
        <v>0</v>
      </c>
      <c r="R86" s="85"/>
      <c r="S86" s="20"/>
      <c r="U86" s="20"/>
    </row>
    <row r="87" ht="14.25" customHeight="1"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158"/>
      <c r="P87" s="164" t="s">
        <v>314</v>
      </c>
      <c r="Q87" s="47">
        <f>P86+N86+L86+J86+H86+F86+D86</f>
        <v>0</v>
      </c>
      <c r="R87" s="85"/>
      <c r="S87" s="20"/>
      <c r="U87" s="20"/>
    </row>
    <row r="88" ht="14.25" customHeight="1">
      <c r="A88" s="73"/>
      <c r="B88" s="73"/>
      <c r="C88" s="73"/>
      <c r="D88" s="73"/>
      <c r="E88" s="73"/>
      <c r="F88" s="72"/>
      <c r="S88" s="20"/>
      <c r="U88" s="20"/>
    </row>
    <row r="89" ht="14.25" customHeight="1">
      <c r="A89" s="73"/>
      <c r="B89" s="73"/>
      <c r="C89" s="73"/>
      <c r="D89" s="73"/>
      <c r="E89" s="73"/>
      <c r="F89" s="72"/>
      <c r="S89" s="20"/>
      <c r="U89" s="20"/>
    </row>
    <row r="90" ht="14.25" customHeight="1">
      <c r="A90" s="73"/>
      <c r="B90" s="73"/>
      <c r="C90" s="73"/>
      <c r="D90" s="73"/>
      <c r="E90" s="73"/>
      <c r="F90" s="72"/>
      <c r="S90" s="20"/>
      <c r="U90" s="20"/>
    </row>
    <row r="91" ht="14.25" customHeight="1">
      <c r="A91" s="73"/>
      <c r="B91" s="169" t="s">
        <v>319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S91" s="20"/>
      <c r="U91" s="20"/>
    </row>
    <row r="92" ht="14.25" customHeight="1">
      <c r="A92" s="73"/>
      <c r="B92" s="170">
        <v>46216.0</v>
      </c>
      <c r="C92" s="5"/>
      <c r="D92" s="170">
        <v>46217.0</v>
      </c>
      <c r="E92" s="5"/>
      <c r="F92" s="170">
        <v>46218.0</v>
      </c>
      <c r="G92" s="5"/>
      <c r="H92" s="170">
        <v>46219.0</v>
      </c>
      <c r="I92" s="5"/>
      <c r="J92" s="170">
        <v>46220.0</v>
      </c>
      <c r="K92" s="5"/>
      <c r="L92" s="170">
        <v>46221.0</v>
      </c>
      <c r="M92" s="5"/>
      <c r="N92" s="170">
        <v>46222.0</v>
      </c>
      <c r="O92" s="5"/>
      <c r="P92" s="84" t="s">
        <v>326</v>
      </c>
      <c r="S92" s="20"/>
      <c r="U92" s="20"/>
    </row>
    <row r="93" ht="14.25" customHeight="1">
      <c r="A93" s="73"/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44"/>
      <c r="S93" s="20"/>
      <c r="U93" s="20"/>
    </row>
    <row r="94" ht="14.25" customHeight="1">
      <c r="A94" s="73"/>
      <c r="B94" s="178" t="s">
        <v>322</v>
      </c>
      <c r="C94" s="178" t="s">
        <v>332</v>
      </c>
      <c r="D94" s="178" t="s">
        <v>322</v>
      </c>
      <c r="E94" s="178" t="s">
        <v>332</v>
      </c>
      <c r="F94" s="178" t="s">
        <v>322</v>
      </c>
      <c r="G94" s="178" t="s">
        <v>332</v>
      </c>
      <c r="H94" s="178" t="s">
        <v>322</v>
      </c>
      <c r="I94" s="178" t="s">
        <v>332</v>
      </c>
      <c r="J94" s="178" t="s">
        <v>322</v>
      </c>
      <c r="K94" s="178" t="s">
        <v>332</v>
      </c>
      <c r="L94" s="178" t="s">
        <v>322</v>
      </c>
      <c r="M94" s="178" t="s">
        <v>332</v>
      </c>
      <c r="N94" s="178" t="s">
        <v>322</v>
      </c>
      <c r="O94" s="178" t="s">
        <v>332</v>
      </c>
      <c r="P94" s="44"/>
    </row>
    <row r="95" ht="14.25" customHeight="1">
      <c r="A95" s="73"/>
      <c r="B95" s="24"/>
      <c r="C95" s="161"/>
      <c r="D95" s="24"/>
      <c r="E95" s="26"/>
      <c r="F95" s="24"/>
      <c r="G95" s="24"/>
      <c r="H95" s="24"/>
      <c r="I95" s="56"/>
      <c r="J95" s="24"/>
      <c r="K95" s="24"/>
      <c r="L95" s="24"/>
      <c r="M95" s="24"/>
      <c r="N95" s="85"/>
      <c r="O95" s="85"/>
      <c r="P95" s="44"/>
    </row>
    <row r="96" ht="14.25" customHeight="1">
      <c r="A96" s="73"/>
      <c r="B96" s="24"/>
      <c r="C96" s="12"/>
      <c r="D96" s="24"/>
      <c r="E96" s="44"/>
      <c r="F96" s="24"/>
      <c r="G96" s="24"/>
      <c r="H96" s="85"/>
      <c r="I96" s="85"/>
      <c r="J96" s="24"/>
      <c r="K96" s="24"/>
      <c r="L96" s="24"/>
      <c r="M96" s="85"/>
      <c r="N96" s="85"/>
      <c r="O96" s="85"/>
      <c r="P96" s="44"/>
    </row>
    <row r="97" ht="14.25" customHeight="1">
      <c r="A97" s="73"/>
      <c r="B97" s="24"/>
      <c r="C97" s="24"/>
      <c r="D97" s="24"/>
      <c r="E97" s="12"/>
      <c r="F97" s="24"/>
      <c r="G97" s="24"/>
      <c r="H97" s="85"/>
      <c r="I97" s="85"/>
      <c r="J97" s="85"/>
      <c r="K97" s="85"/>
      <c r="L97" s="24"/>
      <c r="M97" s="24"/>
      <c r="N97" s="85"/>
      <c r="O97" s="85"/>
      <c r="P97" s="44"/>
    </row>
    <row r="98" ht="14.25" customHeight="1">
      <c r="A98" s="73"/>
      <c r="B98" s="85"/>
      <c r="C98" s="85"/>
      <c r="D98" s="85"/>
      <c r="E98" s="85"/>
      <c r="F98" s="24"/>
      <c r="G98" s="24"/>
      <c r="H98" s="85"/>
      <c r="I98" s="85"/>
      <c r="J98" s="85"/>
      <c r="K98" s="85"/>
      <c r="L98" s="24"/>
      <c r="M98" s="24"/>
      <c r="N98" s="85"/>
      <c r="O98" s="85"/>
      <c r="P98" s="12"/>
    </row>
    <row r="99" ht="14.25" customHeight="1">
      <c r="A99" s="73"/>
      <c r="B99" s="191">
        <f>SUM(B95:B98)</f>
        <v>0</v>
      </c>
      <c r="C99" s="193"/>
      <c r="D99" s="191">
        <f>SUM(D95:D98)</f>
        <v>0</v>
      </c>
      <c r="E99" s="193"/>
      <c r="F99" s="191">
        <f>SUM(F95:F98)</f>
        <v>0</v>
      </c>
      <c r="G99" s="193"/>
      <c r="H99" s="191">
        <f>SUM(H95:H98)</f>
        <v>0</v>
      </c>
      <c r="I99" s="193"/>
      <c r="J99" s="191">
        <f>SUM(J95:J98)</f>
        <v>0</v>
      </c>
      <c r="K99" s="193"/>
      <c r="L99" s="191">
        <f>SUM(L95:L98)</f>
        <v>0</v>
      </c>
      <c r="M99" s="201"/>
      <c r="N99" s="201"/>
      <c r="O99" s="201"/>
      <c r="P99" s="158">
        <f>SUM(B99:O99)</f>
        <v>0</v>
      </c>
    </row>
    <row r="100" ht="14.25" customHeight="1">
      <c r="A100" s="73"/>
      <c r="B100" s="73"/>
      <c r="C100" s="73"/>
      <c r="D100" s="73"/>
      <c r="E100" s="73"/>
      <c r="F100" s="72"/>
    </row>
    <row r="101" ht="14.25" customHeight="1">
      <c r="A101" s="73"/>
      <c r="B101" s="73"/>
      <c r="C101" s="73"/>
      <c r="D101" s="73"/>
      <c r="E101" s="73"/>
      <c r="F101" s="72"/>
    </row>
    <row r="102" ht="14.25" customHeight="1">
      <c r="A102" s="73"/>
      <c r="B102" s="73"/>
      <c r="C102" s="73"/>
      <c r="D102" s="73"/>
      <c r="E102" s="73"/>
      <c r="F102" s="72"/>
      <c r="S102" s="20"/>
    </row>
    <row r="103" ht="14.25" customHeight="1">
      <c r="A103" s="73"/>
      <c r="B103" s="73"/>
      <c r="C103" s="73"/>
      <c r="D103" s="73"/>
      <c r="E103" s="73"/>
      <c r="F103" s="72"/>
      <c r="S103" s="20"/>
    </row>
    <row r="104" ht="14.25" customHeight="1">
      <c r="A104" s="73"/>
      <c r="B104" s="165" t="s">
        <v>357</v>
      </c>
      <c r="C104" s="2"/>
      <c r="D104" s="2"/>
      <c r="E104" s="2"/>
      <c r="F104" s="3"/>
    </row>
    <row r="105" ht="14.25" customHeight="1">
      <c r="A105" s="73"/>
      <c r="B105" s="167" t="s">
        <v>317</v>
      </c>
      <c r="C105" s="165"/>
      <c r="D105" s="2"/>
      <c r="E105" s="2"/>
      <c r="F105" s="3"/>
    </row>
    <row r="106" ht="42.75" customHeight="1">
      <c r="A106" s="73"/>
      <c r="B106" s="168" t="s">
        <v>742</v>
      </c>
      <c r="C106" s="161">
        <f>G42+J42+M42+P42+S42+V42+G55+J55+M55+P55+S55+V55+Y55</f>
        <v>0</v>
      </c>
      <c r="D106" s="132"/>
      <c r="E106" s="132"/>
      <c r="F106" s="28"/>
      <c r="G106" s="72"/>
      <c r="K106" s="73"/>
      <c r="L106" s="73"/>
    </row>
    <row r="107" ht="42.75" customHeight="1">
      <c r="A107" s="73"/>
      <c r="B107" s="12"/>
      <c r="C107" s="12"/>
      <c r="D107" s="132"/>
      <c r="E107" s="132"/>
      <c r="F107" s="28"/>
      <c r="G107" s="72"/>
      <c r="H107" s="171" t="s">
        <v>531</v>
      </c>
      <c r="I107" s="3"/>
      <c r="K107" s="185" t="s">
        <v>337</v>
      </c>
      <c r="L107" s="2"/>
      <c r="M107" s="3"/>
    </row>
    <row r="108" ht="14.25" customHeight="1">
      <c r="A108" s="73"/>
      <c r="B108" s="173" t="s">
        <v>327</v>
      </c>
      <c r="C108" s="176">
        <f>G69+H69+I69+J69+K69+L69+M69</f>
        <v>0</v>
      </c>
      <c r="D108" s="177"/>
      <c r="E108" s="180">
        <f>C108</f>
        <v>0</v>
      </c>
      <c r="F108" s="28"/>
      <c r="H108" s="194" t="s">
        <v>9</v>
      </c>
      <c r="I108" s="197">
        <f>F110</f>
        <v>0</v>
      </c>
      <c r="K108" s="132" t="s">
        <v>345</v>
      </c>
      <c r="L108" s="57">
        <f>C107+E109+C115</f>
        <v>0</v>
      </c>
      <c r="M108" s="57"/>
    </row>
    <row r="109" ht="14.25" customHeight="1">
      <c r="A109" s="73"/>
      <c r="B109" s="174" t="s">
        <v>339</v>
      </c>
      <c r="C109" s="175"/>
      <c r="D109" s="140"/>
      <c r="E109" s="187"/>
      <c r="F109" s="188"/>
      <c r="H109" s="194" t="s">
        <v>344</v>
      </c>
      <c r="I109" s="197">
        <f>C119</f>
        <v>0</v>
      </c>
      <c r="K109" s="132" t="s">
        <v>350</v>
      </c>
      <c r="L109" s="202" t="str">
        <f>#REF!</f>
        <v>#REF!</v>
      </c>
      <c r="M109" s="132"/>
      <c r="W109" s="73"/>
    </row>
    <row r="110" ht="15.0" customHeight="1">
      <c r="A110" s="73"/>
      <c r="B110" s="192" t="s">
        <v>326</v>
      </c>
      <c r="C110" s="148"/>
      <c r="D110" s="148"/>
      <c r="E110" s="5"/>
      <c r="F110" s="196">
        <f>C109+C106</f>
        <v>0</v>
      </c>
      <c r="H110" s="208" t="s">
        <v>210</v>
      </c>
      <c r="I110" s="200">
        <f>SUM(I108:I109)</f>
        <v>0</v>
      </c>
      <c r="K110" s="53" t="s">
        <v>354</v>
      </c>
      <c r="L110" s="24" t="str">
        <f>L108+L109</f>
        <v>#REF!</v>
      </c>
      <c r="M110" s="85"/>
      <c r="W110" s="73"/>
    </row>
    <row r="111" ht="15.0" customHeight="1">
      <c r="A111" s="73"/>
      <c r="B111" s="10"/>
      <c r="C111" s="156"/>
      <c r="D111" s="156"/>
      <c r="E111" s="11"/>
      <c r="F111" s="12"/>
      <c r="H111" s="12"/>
      <c r="I111" s="12"/>
      <c r="K111" s="73"/>
      <c r="L111" s="73"/>
      <c r="W111" s="73"/>
    </row>
    <row r="112" ht="14.25" customHeight="1">
      <c r="A112" s="73"/>
      <c r="B112" s="73"/>
      <c r="C112" s="73"/>
      <c r="D112" s="73"/>
      <c r="E112" s="73"/>
      <c r="F112" s="72"/>
      <c r="I112" s="20"/>
      <c r="K112" s="73"/>
      <c r="L112" s="73"/>
      <c r="W112" s="73"/>
    </row>
    <row r="113" ht="14.25" customHeight="1">
      <c r="A113" s="73"/>
      <c r="B113" s="195" t="s">
        <v>386</v>
      </c>
      <c r="C113" s="2"/>
      <c r="D113" s="2"/>
      <c r="E113" s="2"/>
      <c r="F113" s="3"/>
      <c r="I113" s="20"/>
      <c r="K113" s="73"/>
      <c r="L113" s="73"/>
      <c r="W113" s="73"/>
    </row>
    <row r="114" ht="14.25" customHeight="1">
      <c r="A114" s="73"/>
      <c r="B114" s="199" t="s">
        <v>347</v>
      </c>
      <c r="C114" s="199" t="s">
        <v>322</v>
      </c>
      <c r="D114" s="172" t="s">
        <v>324</v>
      </c>
      <c r="E114" s="172" t="s">
        <v>325</v>
      </c>
      <c r="F114" s="172"/>
      <c r="I114" s="20"/>
      <c r="W114" s="73"/>
    </row>
    <row r="115" ht="14.25" customHeight="1">
      <c r="A115" s="73"/>
      <c r="B115" s="218" t="s">
        <v>743</v>
      </c>
      <c r="C115" s="175">
        <f>H42+K42+N42+Q42+T42+W42+H55+K55+N55+Q55+T55+W55+Z55</f>
        <v>0</v>
      </c>
      <c r="D115" s="183"/>
      <c r="E115" s="184"/>
      <c r="F115" s="28"/>
    </row>
    <row r="116" ht="14.25" customHeight="1">
      <c r="A116" s="73"/>
      <c r="B116" s="218" t="s">
        <v>362</v>
      </c>
      <c r="C116" s="175"/>
      <c r="D116" s="183"/>
      <c r="E116" s="184"/>
      <c r="F116" s="28"/>
    </row>
    <row r="117" ht="14.25" customHeight="1">
      <c r="A117" s="73"/>
      <c r="B117" s="218" t="s">
        <v>744</v>
      </c>
      <c r="D117" s="204"/>
      <c r="E117" s="3"/>
      <c r="F117" s="28"/>
      <c r="K117" s="217"/>
      <c r="W117" s="215"/>
    </row>
    <row r="118" ht="14.25" customHeight="1">
      <c r="A118" s="73"/>
      <c r="B118" s="218" t="s">
        <v>362</v>
      </c>
      <c r="C118" s="225"/>
      <c r="D118" s="140"/>
      <c r="E118" s="140"/>
      <c r="F118" s="28"/>
      <c r="W118" s="215"/>
    </row>
    <row r="119" ht="14.25" customHeight="1">
      <c r="A119" s="73"/>
      <c r="B119" s="232" t="s">
        <v>326</v>
      </c>
      <c r="C119" s="190">
        <f>C115+C117</f>
        <v>0</v>
      </c>
      <c r="D119" s="209"/>
      <c r="E119" s="3"/>
      <c r="F119" s="28"/>
    </row>
    <row r="120" ht="14.25" customHeight="1">
      <c r="A120" s="73"/>
      <c r="B120" s="73"/>
      <c r="C120" s="73"/>
      <c r="D120" s="73"/>
      <c r="E120" s="73"/>
      <c r="F120" s="72"/>
    </row>
    <row r="121" ht="14.25" customHeight="1">
      <c r="A121" s="73"/>
      <c r="B121" s="73"/>
      <c r="C121" s="73"/>
      <c r="D121" s="73"/>
      <c r="E121" s="73"/>
      <c r="F121" s="72"/>
    </row>
    <row r="122" ht="14.25" customHeight="1">
      <c r="A122" s="73"/>
      <c r="B122" s="73"/>
      <c r="C122" s="73"/>
      <c r="D122" s="73"/>
      <c r="E122" s="73"/>
      <c r="F122" s="72"/>
    </row>
    <row r="123" ht="14.25" customHeight="1">
      <c r="A123" s="73"/>
      <c r="B123" s="249" t="s">
        <v>395</v>
      </c>
      <c r="C123" s="78"/>
      <c r="D123" s="78"/>
      <c r="E123" s="78"/>
      <c r="F123" s="78"/>
      <c r="G123" s="78"/>
      <c r="H123" s="79"/>
    </row>
    <row r="124" ht="14.25" customHeight="1">
      <c r="A124" s="73"/>
      <c r="B124" s="251" t="s">
        <v>402</v>
      </c>
      <c r="C124" s="251" t="s">
        <v>3</v>
      </c>
      <c r="D124" s="251" t="s">
        <v>403</v>
      </c>
      <c r="E124" s="252" t="s">
        <v>404</v>
      </c>
      <c r="F124" s="251" t="s">
        <v>405</v>
      </c>
      <c r="G124" s="251" t="s">
        <v>8</v>
      </c>
      <c r="H124" s="251" t="s">
        <v>406</v>
      </c>
    </row>
    <row r="125" ht="14.25" customHeight="1">
      <c r="A125" s="73"/>
      <c r="B125" s="253"/>
      <c r="C125" s="140"/>
      <c r="D125" s="140"/>
      <c r="E125" s="140"/>
      <c r="F125" s="54"/>
      <c r="G125" s="256"/>
      <c r="H125" s="257"/>
    </row>
    <row r="126" ht="14.25" customHeight="1">
      <c r="A126" s="73"/>
      <c r="B126" s="258"/>
      <c r="C126" s="140"/>
      <c r="D126" s="140"/>
      <c r="E126" s="140"/>
      <c r="F126" s="54"/>
      <c r="G126" s="256"/>
      <c r="H126" s="257"/>
    </row>
    <row r="127" ht="14.25" customHeight="1">
      <c r="A127" s="73"/>
      <c r="B127" s="258"/>
      <c r="C127" s="140"/>
      <c r="D127" s="140"/>
      <c r="E127" s="140"/>
      <c r="F127" s="54"/>
      <c r="G127" s="256"/>
      <c r="H127" s="257"/>
    </row>
    <row r="128" ht="15.0" customHeight="1">
      <c r="A128" s="73"/>
      <c r="B128" s="262"/>
      <c r="C128" s="27"/>
      <c r="D128" s="27"/>
      <c r="E128" s="27"/>
      <c r="F128" s="28"/>
      <c r="G128" s="256"/>
      <c r="H128" s="264"/>
    </row>
    <row r="129" ht="14.25" customHeight="1">
      <c r="A129" s="73"/>
      <c r="B129" s="258"/>
      <c r="C129" s="140"/>
      <c r="D129" s="140"/>
      <c r="E129" s="140"/>
      <c r="F129" s="54"/>
      <c r="G129" s="256"/>
      <c r="H129" s="257"/>
    </row>
    <row r="130" ht="14.25" customHeight="1">
      <c r="A130" s="73"/>
      <c r="B130" s="258"/>
      <c r="C130" s="140"/>
      <c r="D130" s="140"/>
      <c r="E130" s="140"/>
      <c r="F130" s="54"/>
      <c r="G130" s="256"/>
      <c r="H130" s="257"/>
    </row>
    <row r="131" ht="14.25" customHeight="1">
      <c r="A131" s="73"/>
      <c r="B131" s="253"/>
      <c r="C131" s="140"/>
      <c r="D131" s="140"/>
      <c r="E131" s="140"/>
      <c r="F131" s="54"/>
      <c r="G131" s="256"/>
      <c r="H131" s="257"/>
    </row>
    <row r="132" ht="14.25" customHeight="1">
      <c r="A132" s="73"/>
      <c r="B132" s="253"/>
      <c r="C132" s="140"/>
      <c r="D132" s="140"/>
      <c r="E132" s="140"/>
      <c r="F132" s="54"/>
      <c r="G132" s="256"/>
      <c r="H132" s="257"/>
    </row>
    <row r="133" ht="14.25" customHeight="1">
      <c r="A133" s="73"/>
      <c r="B133" s="253"/>
      <c r="C133" s="140"/>
      <c r="D133" s="140"/>
      <c r="E133" s="140"/>
      <c r="F133" s="54"/>
      <c r="G133" s="256"/>
      <c r="H133" s="257"/>
    </row>
    <row r="134" ht="14.25" customHeight="1">
      <c r="A134" s="73"/>
      <c r="B134" s="253"/>
      <c r="C134" s="140"/>
      <c r="D134" s="140"/>
      <c r="E134" s="140"/>
      <c r="F134" s="54"/>
      <c r="G134" s="256"/>
      <c r="H134" s="257"/>
    </row>
    <row r="135" ht="14.25" customHeight="1">
      <c r="A135" s="73"/>
      <c r="B135" s="253"/>
      <c r="C135" s="140"/>
      <c r="D135" s="140"/>
      <c r="E135" s="140"/>
      <c r="F135" s="54"/>
      <c r="G135" s="256"/>
      <c r="H135" s="257"/>
    </row>
    <row r="136" ht="14.25" customHeight="1">
      <c r="A136" s="73"/>
      <c r="B136" s="258"/>
      <c r="C136" s="268"/>
      <c r="D136" s="140"/>
      <c r="E136" s="140"/>
      <c r="F136" s="54"/>
      <c r="G136" s="256"/>
      <c r="H136" s="257"/>
    </row>
    <row r="137" ht="14.25" customHeight="1">
      <c r="A137" s="73"/>
      <c r="B137" s="258"/>
      <c r="C137" s="268"/>
      <c r="D137" s="140"/>
      <c r="E137" s="140"/>
      <c r="F137" s="54"/>
      <c r="G137" s="256"/>
      <c r="H137" s="257"/>
    </row>
    <row r="138" ht="14.25" customHeight="1">
      <c r="A138" s="73"/>
      <c r="B138" s="253"/>
      <c r="C138" s="140"/>
      <c r="D138" s="140"/>
      <c r="E138" s="140"/>
      <c r="F138" s="54"/>
      <c r="G138" s="256"/>
      <c r="H138" s="257"/>
    </row>
    <row r="139" ht="14.25" customHeight="1">
      <c r="A139" s="73"/>
      <c r="B139" s="253"/>
      <c r="C139" s="140"/>
      <c r="D139" s="140"/>
      <c r="E139" s="140"/>
      <c r="F139" s="54"/>
      <c r="G139" s="256"/>
      <c r="H139" s="257"/>
    </row>
    <row r="140" ht="14.25" customHeight="1">
      <c r="A140" s="73"/>
      <c r="B140" s="253"/>
      <c r="C140" s="140"/>
      <c r="D140" s="140"/>
      <c r="E140" s="140"/>
      <c r="F140" s="54"/>
      <c r="G140" s="256"/>
      <c r="H140" s="257"/>
    </row>
    <row r="141" ht="14.25" customHeight="1">
      <c r="A141" s="73"/>
      <c r="B141" s="253"/>
      <c r="C141" s="140"/>
      <c r="D141" s="140"/>
      <c r="E141" s="140"/>
      <c r="F141" s="54"/>
      <c r="G141" s="256"/>
      <c r="H141" s="257"/>
    </row>
    <row r="142" ht="14.25" customHeight="1">
      <c r="A142" s="73"/>
      <c r="B142" s="272" t="s">
        <v>210</v>
      </c>
      <c r="C142" s="2"/>
      <c r="D142" s="2"/>
      <c r="E142" s="2"/>
      <c r="F142" s="2"/>
      <c r="G142" s="3"/>
      <c r="H142" s="274">
        <f>SUM(H125:H141)</f>
        <v>0</v>
      </c>
    </row>
    <row r="143" ht="14.25" customHeight="1">
      <c r="A143" s="73"/>
      <c r="B143" s="275"/>
      <c r="C143" s="73"/>
      <c r="D143" s="73"/>
      <c r="E143" s="73"/>
      <c r="F143" s="72"/>
    </row>
    <row r="144" ht="14.25" customHeight="1">
      <c r="A144" s="73"/>
      <c r="B144" s="275"/>
      <c r="C144" s="73"/>
      <c r="D144" s="73"/>
      <c r="E144" s="73"/>
      <c r="F144" s="72"/>
    </row>
    <row r="145" ht="14.25" customHeight="1">
      <c r="A145" s="73"/>
      <c r="B145" s="275"/>
      <c r="C145" s="73"/>
      <c r="D145" s="73"/>
      <c r="E145" s="73"/>
      <c r="F145" s="72"/>
    </row>
    <row r="146" ht="14.25" customHeight="1">
      <c r="A146" s="73"/>
      <c r="B146" s="278" t="s">
        <v>410</v>
      </c>
      <c r="C146" s="2"/>
      <c r="D146" s="2"/>
      <c r="E146" s="2"/>
      <c r="F146" s="2"/>
      <c r="G146" s="2"/>
      <c r="H146" s="3"/>
    </row>
    <row r="147" ht="14.25" customHeight="1">
      <c r="A147" s="73"/>
      <c r="B147" s="25" t="s">
        <v>402</v>
      </c>
      <c r="C147" s="25" t="s">
        <v>220</v>
      </c>
      <c r="D147" s="25" t="s">
        <v>413</v>
      </c>
      <c r="E147" s="284" t="s">
        <v>414</v>
      </c>
      <c r="F147" s="101" t="s">
        <v>415</v>
      </c>
      <c r="G147" s="52" t="s">
        <v>416</v>
      </c>
      <c r="H147" s="139" t="s">
        <v>417</v>
      </c>
    </row>
    <row r="148" ht="14.25" customHeight="1">
      <c r="A148" s="73"/>
      <c r="B148" s="26" t="s">
        <v>419</v>
      </c>
      <c r="C148" s="27" t="s">
        <v>420</v>
      </c>
      <c r="D148" s="26">
        <v>400.0</v>
      </c>
      <c r="E148" s="26">
        <f>D148*7</f>
        <v>2800</v>
      </c>
      <c r="F148" s="27"/>
      <c r="G148" s="26">
        <f>F148+F149+F150</f>
        <v>0</v>
      </c>
      <c r="H148" s="26">
        <f>E148-G148</f>
        <v>2800</v>
      </c>
    </row>
    <row r="149" ht="14.25" customHeight="1">
      <c r="A149" s="73"/>
      <c r="B149" s="44"/>
      <c r="C149" s="27" t="s">
        <v>422</v>
      </c>
      <c r="D149" s="44"/>
      <c r="E149" s="44"/>
      <c r="F149" s="27"/>
      <c r="G149" s="44"/>
      <c r="H149" s="44"/>
    </row>
    <row r="150" ht="14.25" customHeight="1">
      <c r="A150" s="73"/>
      <c r="B150" s="12"/>
      <c r="C150" s="27" t="s">
        <v>424</v>
      </c>
      <c r="D150" s="12"/>
      <c r="E150" s="12"/>
      <c r="F150" s="27"/>
      <c r="G150" s="12"/>
      <c r="H150" s="12"/>
    </row>
    <row r="151" ht="14.25" customHeight="1">
      <c r="A151" s="73"/>
      <c r="B151" s="26" t="s">
        <v>230</v>
      </c>
      <c r="C151" s="27" t="s">
        <v>426</v>
      </c>
      <c r="D151" s="26">
        <v>550.0</v>
      </c>
      <c r="E151" s="26">
        <f>D151*7</f>
        <v>3850</v>
      </c>
      <c r="F151" s="27"/>
      <c r="G151" s="26">
        <f>F151+F152</f>
        <v>0</v>
      </c>
      <c r="H151" s="26">
        <f>E151-G151</f>
        <v>3850</v>
      </c>
    </row>
    <row r="152" ht="14.25" customHeight="1">
      <c r="A152" s="73"/>
      <c r="B152" s="12"/>
      <c r="C152" s="27" t="s">
        <v>424</v>
      </c>
      <c r="D152" s="12"/>
      <c r="E152" s="12"/>
      <c r="F152" s="27"/>
      <c r="G152" s="12"/>
      <c r="H152" s="12"/>
    </row>
    <row r="153" ht="14.25" customHeight="1">
      <c r="A153" s="73"/>
      <c r="B153" s="26" t="s">
        <v>50</v>
      </c>
      <c r="C153" s="27" t="s">
        <v>253</v>
      </c>
      <c r="D153" s="26">
        <v>500.0</v>
      </c>
      <c r="E153" s="26">
        <f>500*7</f>
        <v>3500</v>
      </c>
      <c r="F153" s="27"/>
      <c r="G153" s="26">
        <f>F153+F154+F155</f>
        <v>0</v>
      </c>
      <c r="H153" s="308">
        <f>E153-G153</f>
        <v>3500</v>
      </c>
      <c r="J153" s="320"/>
    </row>
    <row r="154" ht="54.0" customHeight="1">
      <c r="A154" s="73"/>
      <c r="B154" s="44"/>
      <c r="C154" s="27" t="s">
        <v>432</v>
      </c>
      <c r="D154" s="44"/>
      <c r="E154" s="44"/>
      <c r="F154" s="27"/>
      <c r="G154" s="44"/>
      <c r="H154" s="44"/>
    </row>
    <row r="155" ht="14.25" customHeight="1">
      <c r="A155" s="73"/>
      <c r="B155" s="12"/>
      <c r="C155" s="27" t="s">
        <v>435</v>
      </c>
      <c r="D155" s="12"/>
      <c r="E155" s="12"/>
      <c r="F155" s="27"/>
      <c r="G155" s="12"/>
      <c r="H155" s="12"/>
    </row>
    <row r="156" ht="14.25" customHeight="1">
      <c r="A156" s="73"/>
      <c r="B156" s="27" t="s">
        <v>205</v>
      </c>
      <c r="C156" s="27" t="s">
        <v>438</v>
      </c>
      <c r="D156" s="27">
        <v>400.0</v>
      </c>
      <c r="E156" s="27">
        <f t="shared" ref="E156:E157" si="21">400*7</f>
        <v>2800</v>
      </c>
      <c r="F156" s="27"/>
      <c r="G156" s="27" t="str">
        <f t="shared" ref="G156:G158" si="22">F156</f>
        <v/>
      </c>
      <c r="H156" s="27">
        <f t="shared" ref="H156:H157" si="23">E156-G156</f>
        <v>2800</v>
      </c>
    </row>
    <row r="157" ht="14.25" customHeight="1">
      <c r="A157" s="73"/>
      <c r="B157" s="27" t="s">
        <v>441</v>
      </c>
      <c r="C157" s="27" t="s">
        <v>442</v>
      </c>
      <c r="D157" s="27">
        <v>400.0</v>
      </c>
      <c r="E157" s="27">
        <f t="shared" si="21"/>
        <v>2800</v>
      </c>
      <c r="F157" s="27"/>
      <c r="G157" s="27" t="str">
        <f t="shared" si="22"/>
        <v/>
      </c>
      <c r="H157" s="27">
        <f t="shared" si="23"/>
        <v>2800</v>
      </c>
    </row>
    <row r="158" ht="14.25" customHeight="1">
      <c r="A158" s="73"/>
      <c r="B158" s="27" t="s">
        <v>449</v>
      </c>
      <c r="C158" s="27" t="s">
        <v>257</v>
      </c>
      <c r="D158" s="27"/>
      <c r="E158" s="28"/>
      <c r="F158" s="27"/>
      <c r="G158" s="27" t="str">
        <f t="shared" si="22"/>
        <v/>
      </c>
      <c r="H158" s="27"/>
    </row>
    <row r="159" ht="14.25" customHeight="1">
      <c r="A159" s="73"/>
      <c r="B159" s="27"/>
      <c r="C159" s="27" t="s">
        <v>451</v>
      </c>
      <c r="D159" s="27"/>
      <c r="E159" s="28"/>
      <c r="F159" s="27"/>
      <c r="G159" s="27">
        <v>30.0</v>
      </c>
      <c r="H159" s="27"/>
    </row>
    <row r="160" ht="14.25" customHeight="1">
      <c r="A160" s="73"/>
      <c r="B160" s="27"/>
      <c r="C160" s="27" t="s">
        <v>431</v>
      </c>
      <c r="D160" s="27"/>
      <c r="E160" s="28"/>
      <c r="F160" s="27"/>
      <c r="G160" s="27"/>
      <c r="H160" s="27"/>
    </row>
    <row r="161" ht="14.25" customHeight="1">
      <c r="A161" s="73"/>
      <c r="B161" s="27"/>
      <c r="C161" s="27"/>
      <c r="D161" s="27"/>
      <c r="E161" s="28"/>
      <c r="F161" s="85"/>
      <c r="G161" s="85"/>
      <c r="H161" s="85"/>
    </row>
    <row r="162" ht="14.25" customHeight="1">
      <c r="A162" s="73"/>
      <c r="B162" s="317" t="s">
        <v>456</v>
      </c>
      <c r="C162" s="3"/>
      <c r="D162" s="27"/>
      <c r="E162" s="318">
        <f t="shared" ref="E162:F162" si="24">SUM(E148:E161)</f>
        <v>15750</v>
      </c>
      <c r="F162" s="319">
        <f t="shared" si="24"/>
        <v>0</v>
      </c>
      <c r="G162" s="102">
        <f>SUM(G148:G160)</f>
        <v>30</v>
      </c>
      <c r="H162" s="85"/>
    </row>
    <row r="163" ht="14.25" customHeight="1">
      <c r="A163" s="73"/>
      <c r="B163" s="73"/>
      <c r="C163" s="73"/>
      <c r="D163" s="73"/>
      <c r="E163" s="73"/>
      <c r="F163" s="72"/>
    </row>
    <row r="164" ht="14.25" customHeight="1">
      <c r="A164" s="73"/>
      <c r="B164" s="73"/>
      <c r="C164" s="73"/>
      <c r="D164" s="73"/>
      <c r="E164" s="73"/>
      <c r="F164" s="72"/>
    </row>
    <row r="165" ht="14.25" customHeight="1">
      <c r="A165" s="73"/>
      <c r="B165" s="73"/>
      <c r="C165" s="73"/>
      <c r="D165" s="73"/>
      <c r="E165" s="73"/>
      <c r="F165" s="72"/>
    </row>
    <row r="166" ht="14.25" customHeight="1">
      <c r="A166" s="73"/>
      <c r="B166" s="73"/>
      <c r="C166" s="73"/>
      <c r="D166" s="73"/>
      <c r="E166" s="73"/>
      <c r="F166" s="72"/>
    </row>
    <row r="167" ht="14.25" customHeight="1">
      <c r="A167" s="73"/>
      <c r="B167" s="73"/>
      <c r="C167" s="73"/>
      <c r="D167" s="73"/>
      <c r="E167" s="73"/>
      <c r="F167" s="72"/>
    </row>
    <row r="168" ht="14.25" customHeight="1">
      <c r="A168" s="73"/>
      <c r="B168" s="73"/>
      <c r="C168" s="73"/>
      <c r="D168" s="73"/>
      <c r="E168" s="73"/>
      <c r="F168" s="72"/>
    </row>
    <row r="169" ht="14.25" customHeight="1">
      <c r="A169" s="73"/>
      <c r="B169" s="73"/>
      <c r="C169" s="73"/>
      <c r="D169" s="73"/>
      <c r="E169" s="73"/>
      <c r="F169" s="72"/>
      <c r="K169" s="34">
        <f>SUM(K163:K168)</f>
        <v>0</v>
      </c>
    </row>
    <row r="170" ht="14.25" customHeight="1">
      <c r="A170" s="73"/>
      <c r="B170" s="73"/>
      <c r="C170" s="73"/>
      <c r="D170" s="73"/>
      <c r="E170" s="73"/>
      <c r="F170" s="72"/>
    </row>
    <row r="171" ht="14.25" customHeight="1">
      <c r="A171" s="73"/>
      <c r="B171" s="73"/>
      <c r="C171" s="73"/>
      <c r="D171" s="73"/>
      <c r="E171" s="73"/>
      <c r="F171" s="72"/>
    </row>
    <row r="172" ht="14.25" customHeight="1">
      <c r="A172" s="73"/>
      <c r="B172" s="73"/>
      <c r="C172" s="73"/>
      <c r="D172" s="73"/>
      <c r="E172" s="73"/>
      <c r="F172" s="72"/>
    </row>
    <row r="173" ht="14.25" customHeight="1">
      <c r="A173" s="73"/>
      <c r="B173" s="73"/>
      <c r="C173" s="73"/>
      <c r="D173" s="73"/>
      <c r="E173" s="73"/>
      <c r="F173" s="72"/>
    </row>
    <row r="174" ht="14.25" customHeight="1">
      <c r="A174" s="73"/>
      <c r="B174" s="73"/>
      <c r="C174" s="73"/>
      <c r="D174" s="73"/>
      <c r="E174" s="73"/>
      <c r="F174" s="72"/>
    </row>
    <row r="175" ht="14.25" customHeight="1">
      <c r="A175" s="73"/>
      <c r="B175" s="73"/>
      <c r="C175" s="73"/>
      <c r="D175" s="73"/>
      <c r="E175" s="73"/>
      <c r="F175" s="72"/>
    </row>
    <row r="176" ht="14.25" customHeight="1">
      <c r="A176" s="73"/>
      <c r="B176" s="73"/>
      <c r="C176" s="73"/>
      <c r="D176" s="73"/>
      <c r="E176" s="73"/>
      <c r="F176" s="72"/>
    </row>
    <row r="177" ht="14.25" customHeight="1">
      <c r="A177" s="73"/>
      <c r="B177" s="73"/>
      <c r="C177" s="73"/>
      <c r="D177" s="73"/>
      <c r="E177" s="73"/>
      <c r="F177" s="72"/>
    </row>
    <row r="178" ht="14.25" customHeight="1">
      <c r="A178" s="73"/>
      <c r="B178" s="73"/>
      <c r="C178" s="73"/>
      <c r="D178" s="73"/>
      <c r="E178" s="73"/>
      <c r="F178" s="72"/>
    </row>
    <row r="179" ht="14.25" customHeight="1">
      <c r="A179" s="73"/>
      <c r="B179" s="73"/>
      <c r="C179" s="73"/>
      <c r="D179" s="73"/>
      <c r="E179" s="73"/>
      <c r="F179" s="72"/>
    </row>
    <row r="180" ht="14.25" customHeight="1">
      <c r="A180" s="73"/>
      <c r="B180" s="73"/>
      <c r="C180" s="73"/>
      <c r="D180" s="73"/>
      <c r="E180" s="73"/>
      <c r="F180" s="72"/>
    </row>
    <row r="181" ht="14.25" customHeight="1">
      <c r="A181" s="73"/>
      <c r="B181" s="73"/>
      <c r="C181" s="73"/>
      <c r="D181" s="73"/>
      <c r="E181" s="73"/>
      <c r="F181" s="72"/>
    </row>
    <row r="182" ht="14.25" customHeight="1">
      <c r="A182" s="73"/>
      <c r="B182" s="73"/>
      <c r="C182" s="73"/>
      <c r="D182" s="73"/>
      <c r="E182" s="73"/>
      <c r="F182" s="72"/>
    </row>
    <row r="183" ht="14.25" customHeight="1">
      <c r="A183" s="73"/>
      <c r="B183" s="73"/>
      <c r="C183" s="73"/>
      <c r="D183" s="73"/>
      <c r="E183" s="73"/>
      <c r="F183" s="72"/>
    </row>
    <row r="184" ht="14.25" customHeight="1">
      <c r="A184" s="73"/>
      <c r="B184" s="73"/>
      <c r="C184" s="73"/>
      <c r="D184" s="73"/>
      <c r="E184" s="73"/>
      <c r="F184" s="72"/>
    </row>
    <row r="185" ht="14.25" customHeight="1">
      <c r="A185" s="73"/>
      <c r="B185" s="73"/>
      <c r="C185" s="73"/>
      <c r="D185" s="73"/>
      <c r="E185" s="73"/>
      <c r="F185" s="72"/>
    </row>
    <row r="186" ht="14.25" customHeight="1">
      <c r="A186" s="73"/>
      <c r="B186" s="321" t="s">
        <v>547</v>
      </c>
      <c r="C186" s="322"/>
      <c r="D186" s="322"/>
      <c r="E186" s="322"/>
      <c r="F186" s="322"/>
      <c r="G186" s="323"/>
    </row>
    <row r="187" ht="14.25" customHeight="1">
      <c r="A187" s="73"/>
      <c r="B187" s="324"/>
      <c r="C187" s="325"/>
      <c r="D187" s="325"/>
      <c r="E187" s="325"/>
      <c r="F187" s="325"/>
      <c r="G187" s="326"/>
    </row>
    <row r="188" ht="14.25" customHeight="1">
      <c r="A188" s="73"/>
      <c r="B188" s="327" t="s">
        <v>479</v>
      </c>
      <c r="C188" s="78"/>
      <c r="D188" s="78"/>
      <c r="E188" s="78"/>
      <c r="F188" s="78"/>
      <c r="G188" s="79"/>
    </row>
    <row r="189" ht="14.25" customHeight="1">
      <c r="A189" s="73"/>
      <c r="B189" s="4" t="s">
        <v>2</v>
      </c>
      <c r="C189" s="5"/>
      <c r="D189" s="6" t="s">
        <v>3</v>
      </c>
      <c r="E189" s="6" t="s">
        <v>4</v>
      </c>
      <c r="F189" s="6" t="s">
        <v>5</v>
      </c>
      <c r="G189" s="328" t="s">
        <v>6</v>
      </c>
    </row>
    <row r="190" ht="14.25" customHeight="1">
      <c r="A190" s="73"/>
      <c r="B190" s="10"/>
      <c r="C190" s="11"/>
      <c r="D190" s="12"/>
      <c r="E190" s="12"/>
      <c r="F190" s="12"/>
      <c r="G190" s="88"/>
    </row>
    <row r="191" ht="14.25" customHeight="1">
      <c r="A191" s="73"/>
      <c r="B191" s="329">
        <v>1.0</v>
      </c>
      <c r="C191" s="15" t="s">
        <v>13</v>
      </c>
      <c r="D191" s="15" t="s">
        <v>14</v>
      </c>
      <c r="E191" s="16" t="s">
        <v>15</v>
      </c>
      <c r="F191" s="16" t="s">
        <v>16</v>
      </c>
      <c r="G191" s="330">
        <v>1200.0</v>
      </c>
    </row>
    <row r="192" ht="14.25" customHeight="1">
      <c r="A192" s="73"/>
      <c r="B192" s="329">
        <v>2.0</v>
      </c>
      <c r="C192" s="12"/>
      <c r="D192" s="12"/>
      <c r="E192" s="16" t="s">
        <v>17</v>
      </c>
      <c r="F192" s="16"/>
      <c r="G192" s="330">
        <v>500.0</v>
      </c>
    </row>
    <row r="193" ht="14.25" customHeight="1">
      <c r="A193" s="73"/>
      <c r="B193" s="52">
        <v>3.0</v>
      </c>
      <c r="C193" s="307" t="s">
        <v>18</v>
      </c>
      <c r="D193" s="307" t="s">
        <v>19</v>
      </c>
      <c r="E193" s="140" t="s">
        <v>20</v>
      </c>
      <c r="F193" s="140" t="s">
        <v>21</v>
      </c>
      <c r="G193" s="331">
        <v>2500.0</v>
      </c>
    </row>
    <row r="194" ht="14.25" customHeight="1">
      <c r="A194" s="73"/>
      <c r="B194" s="52">
        <v>4.0</v>
      </c>
      <c r="C194" s="12"/>
      <c r="D194" s="12"/>
      <c r="E194" s="140" t="s">
        <v>17</v>
      </c>
      <c r="F194" s="140"/>
      <c r="G194" s="331">
        <v>500.0</v>
      </c>
    </row>
    <row r="195" ht="14.25" customHeight="1">
      <c r="A195" s="73"/>
      <c r="B195" s="52">
        <v>5.0</v>
      </c>
      <c r="C195" s="140" t="s">
        <v>30</v>
      </c>
      <c r="D195" s="140" t="s">
        <v>19</v>
      </c>
      <c r="E195" s="140" t="s">
        <v>31</v>
      </c>
      <c r="F195" s="140" t="s">
        <v>32</v>
      </c>
      <c r="G195" s="331">
        <v>1500.0</v>
      </c>
      <c r="T195" s="20"/>
    </row>
    <row r="196" ht="14.25" customHeight="1">
      <c r="A196" s="73"/>
      <c r="B196" s="52">
        <v>6.0</v>
      </c>
      <c r="C196" s="140" t="s">
        <v>35</v>
      </c>
      <c r="D196" s="140" t="s">
        <v>19</v>
      </c>
      <c r="E196" s="140" t="s">
        <v>31</v>
      </c>
      <c r="F196" s="140" t="s">
        <v>36</v>
      </c>
      <c r="G196" s="331">
        <v>1500.0</v>
      </c>
    </row>
    <row r="197" ht="14.25" customHeight="1">
      <c r="A197" s="73"/>
      <c r="B197" s="52">
        <v>7.0</v>
      </c>
      <c r="C197" s="140" t="s">
        <v>39</v>
      </c>
      <c r="D197" s="140" t="s">
        <v>19</v>
      </c>
      <c r="E197" s="140"/>
      <c r="F197" s="140"/>
      <c r="G197" s="331">
        <v>1500.0</v>
      </c>
    </row>
    <row r="198" ht="14.25" customHeight="1">
      <c r="A198" s="73"/>
      <c r="B198" s="329">
        <v>8.0</v>
      </c>
      <c r="C198" s="16" t="s">
        <v>41</v>
      </c>
      <c r="D198" s="16" t="s">
        <v>42</v>
      </c>
      <c r="E198" s="16" t="s">
        <v>43</v>
      </c>
      <c r="F198" s="16" t="s">
        <v>44</v>
      </c>
      <c r="G198" s="330">
        <v>700.0</v>
      </c>
    </row>
    <row r="199" ht="14.25" customHeight="1">
      <c r="A199" s="73"/>
      <c r="B199" s="329">
        <v>9.0</v>
      </c>
      <c r="C199" s="16" t="s">
        <v>45</v>
      </c>
      <c r="D199" s="16" t="s">
        <v>46</v>
      </c>
      <c r="E199" s="16" t="s">
        <v>47</v>
      </c>
      <c r="F199" s="16" t="s">
        <v>48</v>
      </c>
      <c r="G199" s="330">
        <v>1500.0</v>
      </c>
    </row>
    <row r="200" ht="14.25" customHeight="1">
      <c r="A200" s="73"/>
      <c r="B200" s="52">
        <v>10.0</v>
      </c>
      <c r="C200" s="307" t="s">
        <v>50</v>
      </c>
      <c r="D200" s="140" t="s">
        <v>51</v>
      </c>
      <c r="E200" s="140" t="s">
        <v>52</v>
      </c>
      <c r="F200" s="140" t="s">
        <v>53</v>
      </c>
      <c r="G200" s="331">
        <v>1500.0</v>
      </c>
    </row>
    <row r="201" ht="14.25" customHeight="1">
      <c r="A201" s="73"/>
      <c r="B201" s="52">
        <v>11.0</v>
      </c>
      <c r="C201" s="12"/>
      <c r="D201" s="140" t="s">
        <v>54</v>
      </c>
      <c r="E201" s="140" t="s">
        <v>17</v>
      </c>
      <c r="F201" s="140"/>
      <c r="G201" s="54">
        <v>500.0</v>
      </c>
    </row>
    <row r="202" ht="14.25" customHeight="1">
      <c r="A202" s="73"/>
      <c r="B202" s="52">
        <v>12.0</v>
      </c>
      <c r="C202" s="140" t="s">
        <v>57</v>
      </c>
      <c r="D202" s="140" t="s">
        <v>51</v>
      </c>
      <c r="E202" s="140" t="s">
        <v>58</v>
      </c>
      <c r="F202" s="140" t="s">
        <v>59</v>
      </c>
      <c r="G202" s="54">
        <v>1500.0</v>
      </c>
    </row>
    <row r="203" ht="14.25" customHeight="1">
      <c r="A203" s="73"/>
      <c r="B203" s="329">
        <v>13.0</v>
      </c>
      <c r="C203" s="15" t="s">
        <v>61</v>
      </c>
      <c r="D203" s="16" t="s">
        <v>63</v>
      </c>
      <c r="E203" s="16" t="s">
        <v>65</v>
      </c>
      <c r="F203" s="16" t="s">
        <v>66</v>
      </c>
      <c r="G203" s="17">
        <v>2500.0</v>
      </c>
    </row>
    <row r="204" ht="14.25" customHeight="1">
      <c r="A204" s="73"/>
      <c r="B204" s="329">
        <v>14.0</v>
      </c>
      <c r="C204" s="12"/>
      <c r="D204" s="16" t="s">
        <v>63</v>
      </c>
      <c r="E204" s="16" t="s">
        <v>17</v>
      </c>
      <c r="F204" s="16"/>
      <c r="G204" s="17">
        <v>300.0</v>
      </c>
    </row>
    <row r="205" ht="14.25" customHeight="1">
      <c r="A205" s="73"/>
      <c r="B205" s="329">
        <v>15.0</v>
      </c>
      <c r="C205" s="16" t="s">
        <v>68</v>
      </c>
      <c r="D205" s="16" t="s">
        <v>63</v>
      </c>
      <c r="E205" s="16" t="s">
        <v>69</v>
      </c>
      <c r="F205" s="16" t="s">
        <v>70</v>
      </c>
      <c r="G205" s="17">
        <v>2500.0</v>
      </c>
    </row>
    <row r="206" ht="14.25" customHeight="1">
      <c r="A206" s="73"/>
      <c r="B206" s="329">
        <v>16.0</v>
      </c>
      <c r="C206" s="16" t="s">
        <v>71</v>
      </c>
      <c r="D206" s="16" t="s">
        <v>63</v>
      </c>
      <c r="E206" s="16" t="s">
        <v>58</v>
      </c>
      <c r="F206" s="16" t="s">
        <v>72</v>
      </c>
      <c r="G206" s="17">
        <v>4000.0</v>
      </c>
    </row>
    <row r="207" ht="14.25" customHeight="1">
      <c r="A207" s="73"/>
      <c r="B207" s="52">
        <v>17.0</v>
      </c>
      <c r="C207" s="307" t="s">
        <v>74</v>
      </c>
      <c r="D207" s="307" t="s">
        <v>75</v>
      </c>
      <c r="E207" s="140" t="s">
        <v>65</v>
      </c>
      <c r="F207" s="140" t="s">
        <v>76</v>
      </c>
      <c r="G207" s="54">
        <v>2500.0</v>
      </c>
    </row>
    <row r="208" ht="14.25" customHeight="1">
      <c r="A208" s="73"/>
      <c r="B208" s="52">
        <v>18.0</v>
      </c>
      <c r="C208" s="44"/>
      <c r="D208" s="44"/>
      <c r="E208" s="140" t="s">
        <v>77</v>
      </c>
      <c r="F208" s="140"/>
      <c r="G208" s="184">
        <v>1000.0</v>
      </c>
    </row>
    <row r="209" ht="14.25" customHeight="1">
      <c r="A209" s="73"/>
      <c r="B209" s="52">
        <v>19.0</v>
      </c>
      <c r="C209" s="44"/>
      <c r="D209" s="44"/>
      <c r="E209" s="140" t="s">
        <v>78</v>
      </c>
      <c r="F209" s="140"/>
      <c r="G209" s="184"/>
    </row>
    <row r="210" ht="14.25" customHeight="1">
      <c r="A210" s="73"/>
      <c r="B210" s="52">
        <v>20.0</v>
      </c>
      <c r="C210" s="12"/>
      <c r="D210" s="12"/>
      <c r="E210" s="140" t="s">
        <v>81</v>
      </c>
      <c r="F210" s="140"/>
      <c r="G210" s="184"/>
    </row>
    <row r="211" ht="14.25" customHeight="1">
      <c r="A211" s="73"/>
      <c r="B211" s="52">
        <v>21.0</v>
      </c>
      <c r="C211" s="140" t="s">
        <v>82</v>
      </c>
      <c r="D211" s="140" t="s">
        <v>75</v>
      </c>
      <c r="E211" s="140" t="s">
        <v>65</v>
      </c>
      <c r="F211" s="140" t="s">
        <v>83</v>
      </c>
      <c r="G211" s="54">
        <v>1500.0</v>
      </c>
    </row>
    <row r="212" ht="14.25" customHeight="1">
      <c r="A212" s="73"/>
      <c r="B212" s="52">
        <v>22.0</v>
      </c>
      <c r="C212" s="140" t="s">
        <v>89</v>
      </c>
      <c r="D212" s="140" t="s">
        <v>75</v>
      </c>
      <c r="E212" s="140" t="s">
        <v>58</v>
      </c>
      <c r="F212" s="140" t="s">
        <v>90</v>
      </c>
      <c r="G212" s="54">
        <v>3000.0</v>
      </c>
    </row>
    <row r="213" ht="14.25" customHeight="1">
      <c r="A213" s="73"/>
      <c r="B213" s="52">
        <v>23.0</v>
      </c>
      <c r="C213" s="140" t="s">
        <v>93</v>
      </c>
      <c r="D213" s="140" t="s">
        <v>75</v>
      </c>
      <c r="E213" s="140" t="s">
        <v>69</v>
      </c>
      <c r="F213" s="140" t="s">
        <v>94</v>
      </c>
      <c r="G213" s="54">
        <v>2500.0</v>
      </c>
    </row>
    <row r="214" ht="14.25" customHeight="1">
      <c r="A214" s="73"/>
      <c r="B214" s="329">
        <v>24.0</v>
      </c>
      <c r="C214" s="16" t="s">
        <v>96</v>
      </c>
      <c r="D214" s="15" t="s">
        <v>98</v>
      </c>
      <c r="E214" s="16" t="s">
        <v>99</v>
      </c>
      <c r="F214" s="16" t="s">
        <v>100</v>
      </c>
      <c r="G214" s="17">
        <v>2500.0</v>
      </c>
    </row>
    <row r="215" ht="14.25" customHeight="1">
      <c r="A215" s="73"/>
      <c r="B215" s="329">
        <v>25.0</v>
      </c>
      <c r="C215" s="16" t="s">
        <v>102</v>
      </c>
      <c r="D215" s="12"/>
      <c r="E215" s="16" t="s">
        <v>17</v>
      </c>
      <c r="F215" s="16"/>
      <c r="G215" s="17">
        <v>1000.0</v>
      </c>
    </row>
    <row r="216" ht="14.25" customHeight="1">
      <c r="A216" s="73"/>
      <c r="B216" s="52">
        <v>26.0</v>
      </c>
      <c r="C216" s="140" t="s">
        <v>104</v>
      </c>
      <c r="D216" s="140" t="s">
        <v>105</v>
      </c>
      <c r="E216" s="140" t="s">
        <v>20</v>
      </c>
      <c r="F216" s="140" t="s">
        <v>106</v>
      </c>
      <c r="G216" s="54">
        <v>2500.0</v>
      </c>
    </row>
    <row r="217" ht="14.25" customHeight="1">
      <c r="A217" s="73"/>
      <c r="B217" s="52">
        <v>27.0</v>
      </c>
      <c r="C217" s="307" t="s">
        <v>107</v>
      </c>
      <c r="D217" s="307" t="s">
        <v>105</v>
      </c>
      <c r="E217" s="140" t="s">
        <v>109</v>
      </c>
      <c r="F217" s="140" t="s">
        <v>110</v>
      </c>
      <c r="G217" s="54">
        <v>1000.0</v>
      </c>
    </row>
    <row r="218" ht="14.25" customHeight="1">
      <c r="A218" s="73"/>
      <c r="B218" s="52">
        <v>28.0</v>
      </c>
      <c r="C218" s="44"/>
      <c r="D218" s="44"/>
      <c r="E218" s="140" t="s">
        <v>111</v>
      </c>
      <c r="F218" s="140"/>
      <c r="G218" s="54">
        <v>500.0</v>
      </c>
    </row>
    <row r="219" ht="14.25" customHeight="1">
      <c r="A219" s="73"/>
      <c r="B219" s="52">
        <v>29.0</v>
      </c>
      <c r="C219" s="12"/>
      <c r="D219" s="12"/>
      <c r="E219" s="140" t="s">
        <v>111</v>
      </c>
      <c r="F219" s="140"/>
      <c r="G219" s="54">
        <v>500.0</v>
      </c>
    </row>
    <row r="220" ht="14.25" customHeight="1">
      <c r="A220" s="73"/>
      <c r="B220" s="52">
        <v>30.0</v>
      </c>
      <c r="C220" s="307" t="s">
        <v>114</v>
      </c>
      <c r="D220" s="140"/>
      <c r="E220" s="140"/>
      <c r="F220" s="140" t="s">
        <v>115</v>
      </c>
      <c r="G220" s="54">
        <v>800.0</v>
      </c>
    </row>
    <row r="221" ht="14.25" customHeight="1">
      <c r="A221" s="73"/>
      <c r="B221" s="52">
        <v>31.0</v>
      </c>
      <c r="C221" s="12"/>
      <c r="D221" s="140"/>
      <c r="E221" s="140" t="s">
        <v>17</v>
      </c>
      <c r="F221" s="140"/>
      <c r="G221" s="54">
        <v>500.0</v>
      </c>
    </row>
    <row r="222" ht="14.25" customHeight="1">
      <c r="A222" s="73"/>
      <c r="B222" s="52">
        <v>32.0</v>
      </c>
      <c r="C222" s="363" t="s">
        <v>135</v>
      </c>
      <c r="D222" s="140" t="s">
        <v>136</v>
      </c>
      <c r="E222" s="140"/>
      <c r="F222" s="140" t="s">
        <v>137</v>
      </c>
      <c r="G222" s="54">
        <v>1500.0</v>
      </c>
    </row>
    <row r="223" ht="14.25" customHeight="1">
      <c r="A223" s="73"/>
      <c r="B223" s="52">
        <v>33.0</v>
      </c>
      <c r="C223" s="363" t="s">
        <v>142</v>
      </c>
      <c r="D223" s="140" t="s">
        <v>143</v>
      </c>
      <c r="E223" s="140" t="s">
        <v>20</v>
      </c>
      <c r="F223" s="140" t="s">
        <v>144</v>
      </c>
      <c r="G223" s="54">
        <v>1500.0</v>
      </c>
    </row>
    <row r="224" ht="14.25" customHeight="1">
      <c r="A224" s="73"/>
      <c r="B224" s="52">
        <v>34.0</v>
      </c>
      <c r="C224" s="363" t="s">
        <v>145</v>
      </c>
      <c r="D224" s="140" t="s">
        <v>146</v>
      </c>
      <c r="E224" s="140" t="s">
        <v>43</v>
      </c>
      <c r="F224" s="140"/>
      <c r="G224" s="54">
        <v>700.0</v>
      </c>
    </row>
    <row r="225" ht="14.25" customHeight="1">
      <c r="A225" s="73"/>
      <c r="B225" s="52">
        <v>35.0</v>
      </c>
      <c r="C225" s="140" t="s">
        <v>118</v>
      </c>
      <c r="D225" s="140"/>
      <c r="E225" s="140" t="s">
        <v>119</v>
      </c>
      <c r="F225" s="140" t="s">
        <v>120</v>
      </c>
      <c r="G225" s="54">
        <v>3000.0</v>
      </c>
    </row>
    <row r="226" ht="14.25" customHeight="1">
      <c r="A226" s="73"/>
      <c r="B226" s="52">
        <v>36.0</v>
      </c>
      <c r="C226" s="363" t="s">
        <v>155</v>
      </c>
      <c r="D226" s="140"/>
      <c r="E226" s="140" t="s">
        <v>20</v>
      </c>
      <c r="F226" s="140" t="s">
        <v>156</v>
      </c>
      <c r="G226" s="54">
        <v>1500.0</v>
      </c>
    </row>
    <row r="227" ht="14.25" customHeight="1">
      <c r="A227" s="73"/>
      <c r="B227" s="339" t="s">
        <v>122</v>
      </c>
      <c r="C227" s="2"/>
      <c r="D227" s="2"/>
      <c r="E227" s="2"/>
      <c r="F227" s="3"/>
      <c r="G227" s="340">
        <f>SUM(G191:G226)</f>
        <v>52200</v>
      </c>
    </row>
    <row r="228" ht="14.25" customHeight="1">
      <c r="A228" s="73"/>
      <c r="B228" s="341" t="s">
        <v>490</v>
      </c>
      <c r="C228" s="2"/>
      <c r="D228" s="2"/>
      <c r="E228" s="2"/>
      <c r="F228" s="2"/>
      <c r="G228" s="3"/>
    </row>
    <row r="229" ht="14.25" customHeight="1">
      <c r="A229" s="73"/>
      <c r="B229" s="4" t="s">
        <v>2</v>
      </c>
      <c r="C229" s="5"/>
      <c r="D229" s="6" t="s">
        <v>3</v>
      </c>
      <c r="E229" s="6" t="s">
        <v>4</v>
      </c>
      <c r="F229" s="6" t="s">
        <v>5</v>
      </c>
      <c r="G229" s="7" t="s">
        <v>134</v>
      </c>
    </row>
    <row r="230" ht="14.25" customHeight="1">
      <c r="A230" s="73"/>
      <c r="B230" s="10"/>
      <c r="C230" s="11"/>
      <c r="D230" s="12"/>
      <c r="E230" s="12"/>
      <c r="F230" s="12"/>
      <c r="G230" s="12"/>
    </row>
    <row r="231" ht="14.25" customHeight="1">
      <c r="A231" s="73"/>
      <c r="B231" s="52">
        <v>1.0</v>
      </c>
      <c r="C231" s="140" t="s">
        <v>138</v>
      </c>
      <c r="D231" s="140" t="s">
        <v>139</v>
      </c>
      <c r="E231" s="140" t="s">
        <v>140</v>
      </c>
      <c r="F231" s="140" t="s">
        <v>141</v>
      </c>
      <c r="G231" s="54">
        <v>2500.0</v>
      </c>
    </row>
    <row r="232" ht="14.25" customHeight="1">
      <c r="A232" s="73"/>
      <c r="B232" s="52">
        <v>2.0</v>
      </c>
      <c r="C232" s="140" t="s">
        <v>147</v>
      </c>
      <c r="D232" s="140" t="s">
        <v>139</v>
      </c>
      <c r="E232" s="140" t="s">
        <v>119</v>
      </c>
      <c r="F232" s="140" t="s">
        <v>148</v>
      </c>
      <c r="G232" s="54">
        <v>1500.0</v>
      </c>
    </row>
    <row r="233" ht="14.25" customHeight="1">
      <c r="A233" s="73"/>
      <c r="B233" s="343">
        <v>3.0</v>
      </c>
      <c r="C233" s="307" t="s">
        <v>157</v>
      </c>
      <c r="D233" s="307" t="s">
        <v>139</v>
      </c>
      <c r="E233" s="140" t="s">
        <v>158</v>
      </c>
      <c r="F233" s="140" t="s">
        <v>16</v>
      </c>
      <c r="G233" s="54">
        <v>2000.0</v>
      </c>
    </row>
    <row r="234" ht="14.25" customHeight="1">
      <c r="A234" s="73"/>
      <c r="B234" s="12"/>
      <c r="C234" s="12"/>
      <c r="D234" s="12"/>
      <c r="E234" s="140" t="s">
        <v>17</v>
      </c>
      <c r="F234" s="140"/>
      <c r="G234" s="54"/>
    </row>
    <row r="235" ht="14.25" customHeight="1">
      <c r="A235" s="73"/>
      <c r="B235" s="52">
        <v>4.0</v>
      </c>
      <c r="C235" s="140" t="s">
        <v>165</v>
      </c>
      <c r="D235" s="140" t="s">
        <v>166</v>
      </c>
      <c r="E235" s="140" t="s">
        <v>119</v>
      </c>
      <c r="F235" s="140" t="s">
        <v>167</v>
      </c>
      <c r="G235" s="54">
        <v>1500.0</v>
      </c>
    </row>
    <row r="236" ht="14.25" customHeight="1">
      <c r="A236" s="73"/>
      <c r="B236" s="52">
        <v>5.0</v>
      </c>
      <c r="C236" s="140" t="s">
        <v>168</v>
      </c>
      <c r="D236" s="140" t="s">
        <v>166</v>
      </c>
      <c r="E236" s="140" t="s">
        <v>119</v>
      </c>
      <c r="F236" s="140" t="s">
        <v>169</v>
      </c>
      <c r="G236" s="54">
        <v>1500.0</v>
      </c>
    </row>
    <row r="237" ht="14.25" customHeight="1">
      <c r="A237" s="73"/>
      <c r="B237" s="52">
        <v>6.0</v>
      </c>
      <c r="C237" s="140" t="s">
        <v>170</v>
      </c>
      <c r="D237" s="140" t="s">
        <v>171</v>
      </c>
      <c r="E237" s="140" t="s">
        <v>158</v>
      </c>
      <c r="F237" s="140" t="s">
        <v>172</v>
      </c>
      <c r="G237" s="54">
        <v>2000.0</v>
      </c>
    </row>
    <row r="238" ht="14.25" customHeight="1">
      <c r="A238" s="73"/>
      <c r="B238" s="339" t="s">
        <v>122</v>
      </c>
      <c r="C238" s="2"/>
      <c r="D238" s="2"/>
      <c r="E238" s="2"/>
      <c r="F238" s="3"/>
      <c r="G238" s="236">
        <f>SUM(G231:G237)</f>
        <v>11000</v>
      </c>
    </row>
    <row r="239" ht="14.25" customHeight="1">
      <c r="A239" s="73"/>
      <c r="B239" s="73"/>
      <c r="C239" s="73"/>
      <c r="D239" s="73"/>
      <c r="E239" s="73"/>
      <c r="F239" s="72"/>
    </row>
    <row r="240" ht="14.25" customHeight="1">
      <c r="A240" s="73"/>
      <c r="B240" s="73"/>
      <c r="C240" s="73"/>
      <c r="D240" s="73"/>
      <c r="E240" s="73"/>
      <c r="F240" s="72"/>
    </row>
    <row r="241" ht="14.25" customHeight="1">
      <c r="A241" s="73"/>
      <c r="B241" s="73"/>
      <c r="C241" s="73"/>
      <c r="D241" s="73"/>
      <c r="E241" s="73"/>
      <c r="F241" s="72"/>
    </row>
    <row r="242" ht="14.25" customHeight="1">
      <c r="A242" s="73"/>
      <c r="B242" s="73"/>
      <c r="C242" s="73"/>
      <c r="D242" s="73"/>
      <c r="E242" s="73"/>
      <c r="F242" s="72"/>
    </row>
    <row r="243" ht="14.25" customHeight="1">
      <c r="A243" s="73"/>
      <c r="B243" s="73"/>
      <c r="C243" s="73"/>
      <c r="D243" s="73"/>
      <c r="E243" s="73"/>
      <c r="F243" s="72"/>
    </row>
    <row r="244" ht="14.25" customHeight="1">
      <c r="A244" s="73"/>
      <c r="B244" s="73"/>
      <c r="C244" s="73"/>
      <c r="D244" s="73"/>
      <c r="E244" s="73"/>
      <c r="F244" s="72"/>
    </row>
    <row r="245" ht="14.25" customHeight="1">
      <c r="A245" s="73"/>
      <c r="B245" s="73"/>
      <c r="C245" s="73"/>
      <c r="D245" s="73"/>
      <c r="E245" s="73"/>
      <c r="F245" s="72"/>
    </row>
    <row r="246" ht="14.25" customHeight="1">
      <c r="A246" s="73"/>
      <c r="B246" s="73"/>
      <c r="C246" s="73"/>
      <c r="D246" s="73"/>
      <c r="E246" s="73"/>
      <c r="F246" s="72"/>
    </row>
    <row r="247" ht="14.25" customHeight="1">
      <c r="A247" s="73"/>
      <c r="B247" s="73"/>
      <c r="C247" s="73"/>
      <c r="D247" s="73"/>
      <c r="E247" s="73"/>
      <c r="F247" s="72"/>
    </row>
    <row r="248" ht="14.25" customHeight="1">
      <c r="A248" s="73"/>
      <c r="B248" s="73"/>
      <c r="C248" s="73"/>
      <c r="D248" s="73"/>
      <c r="E248" s="73"/>
      <c r="F248" s="72"/>
    </row>
    <row r="249" ht="14.25" customHeight="1">
      <c r="A249" s="73"/>
      <c r="B249" s="73"/>
      <c r="C249" s="73"/>
      <c r="D249" s="73"/>
      <c r="E249" s="73"/>
      <c r="F249" s="72"/>
    </row>
    <row r="250" ht="14.25" customHeight="1">
      <c r="A250" s="73"/>
      <c r="B250" s="73"/>
      <c r="C250" s="73"/>
      <c r="D250" s="73"/>
      <c r="E250" s="73"/>
      <c r="F250" s="72"/>
    </row>
    <row r="251" ht="14.25" customHeight="1">
      <c r="A251" s="73"/>
      <c r="B251" s="73"/>
      <c r="C251" s="73"/>
      <c r="D251" s="73"/>
      <c r="E251" s="73"/>
      <c r="F251" s="72"/>
    </row>
    <row r="252" ht="14.25" customHeight="1">
      <c r="A252" s="73"/>
      <c r="B252" s="73"/>
      <c r="C252" s="73"/>
      <c r="D252" s="73"/>
      <c r="E252" s="73"/>
      <c r="F252" s="72"/>
    </row>
    <row r="253" ht="14.25" customHeight="1">
      <c r="A253" s="73"/>
      <c r="B253" s="73"/>
      <c r="C253" s="73"/>
      <c r="D253" s="73"/>
      <c r="E253" s="73"/>
      <c r="F253" s="72"/>
    </row>
    <row r="254" ht="14.25" customHeight="1">
      <c r="A254" s="73"/>
      <c r="B254" s="73"/>
      <c r="C254" s="73"/>
      <c r="D254" s="73"/>
      <c r="E254" s="73"/>
      <c r="F254" s="72"/>
    </row>
    <row r="255" ht="14.25" customHeight="1">
      <c r="A255" s="73"/>
      <c r="B255" s="73"/>
      <c r="C255" s="73"/>
      <c r="D255" s="73"/>
      <c r="E255" s="73"/>
      <c r="F255" s="72"/>
    </row>
    <row r="256" ht="14.25" customHeight="1">
      <c r="A256" s="73"/>
      <c r="B256" s="73"/>
      <c r="C256" s="73"/>
      <c r="D256" s="73"/>
      <c r="E256" s="73"/>
      <c r="F256" s="72"/>
    </row>
    <row r="257" ht="14.25" customHeight="1">
      <c r="A257" s="73"/>
      <c r="B257" s="73"/>
      <c r="C257" s="73"/>
      <c r="D257" s="73"/>
      <c r="E257" s="73"/>
      <c r="F257" s="72"/>
    </row>
    <row r="258" ht="14.25" customHeight="1">
      <c r="A258" s="73"/>
      <c r="B258" s="73"/>
      <c r="C258" s="73"/>
      <c r="D258" s="73"/>
      <c r="E258" s="73"/>
      <c r="F258" s="72"/>
    </row>
    <row r="259" ht="14.25" customHeight="1">
      <c r="A259" s="73"/>
      <c r="B259" s="73"/>
      <c r="C259" s="73"/>
      <c r="D259" s="73"/>
      <c r="E259" s="73"/>
      <c r="F259" s="72"/>
    </row>
    <row r="260" ht="14.25" customHeight="1">
      <c r="A260" s="73"/>
      <c r="B260" s="73"/>
      <c r="C260" s="73"/>
      <c r="D260" s="73"/>
      <c r="E260" s="73"/>
      <c r="F260" s="72"/>
    </row>
    <row r="261" ht="14.25" customHeight="1">
      <c r="A261" s="73"/>
      <c r="B261" s="73"/>
      <c r="C261" s="73"/>
      <c r="D261" s="73"/>
      <c r="E261" s="73"/>
      <c r="F261" s="72"/>
    </row>
    <row r="262" ht="14.25" customHeight="1">
      <c r="A262" s="73"/>
      <c r="B262" s="73"/>
      <c r="C262" s="73"/>
      <c r="D262" s="73"/>
      <c r="E262" s="73"/>
      <c r="F262" s="72"/>
    </row>
    <row r="263" ht="14.25" customHeight="1">
      <c r="A263" s="73"/>
      <c r="B263" s="73"/>
      <c r="C263" s="73"/>
      <c r="D263" s="73"/>
      <c r="E263" s="73"/>
      <c r="F263" s="72"/>
    </row>
    <row r="264" ht="14.25" customHeight="1">
      <c r="A264" s="73"/>
      <c r="B264" s="73"/>
      <c r="C264" s="73"/>
      <c r="D264" s="73"/>
      <c r="E264" s="73"/>
      <c r="F264" s="72"/>
    </row>
    <row r="265" ht="14.25" customHeight="1">
      <c r="A265" s="73"/>
      <c r="B265" s="73"/>
      <c r="C265" s="73"/>
      <c r="D265" s="73"/>
      <c r="E265" s="73"/>
      <c r="F265" s="72"/>
    </row>
    <row r="266" ht="14.25" customHeight="1">
      <c r="A266" s="73"/>
      <c r="B266" s="73"/>
      <c r="C266" s="73"/>
      <c r="D266" s="73"/>
      <c r="E266" s="73"/>
      <c r="F266" s="72"/>
    </row>
    <row r="267" ht="14.25" customHeight="1">
      <c r="A267" s="73"/>
      <c r="B267" s="73"/>
      <c r="C267" s="73"/>
      <c r="D267" s="73"/>
      <c r="E267" s="73"/>
      <c r="F267" s="72"/>
    </row>
    <row r="268" ht="14.25" customHeight="1">
      <c r="A268" s="73"/>
      <c r="B268" s="73"/>
      <c r="C268" s="73"/>
      <c r="D268" s="73"/>
      <c r="E268" s="73"/>
      <c r="F268" s="72"/>
    </row>
    <row r="269" ht="14.25" customHeight="1">
      <c r="A269" s="73"/>
      <c r="B269" s="73"/>
      <c r="C269" s="73"/>
      <c r="D269" s="73"/>
      <c r="E269" s="73"/>
      <c r="F269" s="72"/>
    </row>
    <row r="270" ht="14.25" customHeight="1">
      <c r="A270" s="73"/>
      <c r="B270" s="73"/>
      <c r="C270" s="73"/>
      <c r="D270" s="73"/>
      <c r="E270" s="73"/>
      <c r="F270" s="72"/>
    </row>
    <row r="271" ht="14.25" customHeight="1">
      <c r="A271" s="73"/>
      <c r="B271" s="73"/>
      <c r="C271" s="73"/>
      <c r="D271" s="73"/>
      <c r="E271" s="73"/>
      <c r="F271" s="72"/>
    </row>
    <row r="272" ht="14.25" customHeight="1">
      <c r="A272" s="73"/>
      <c r="B272" s="73"/>
      <c r="C272" s="73"/>
      <c r="D272" s="73"/>
      <c r="E272" s="73"/>
      <c r="F272" s="72"/>
    </row>
    <row r="273" ht="14.25" customHeight="1">
      <c r="A273" s="73"/>
      <c r="B273" s="73"/>
      <c r="C273" s="73"/>
      <c r="D273" s="73"/>
      <c r="E273" s="73"/>
      <c r="F273" s="72"/>
    </row>
    <row r="274" ht="14.25" customHeight="1">
      <c r="A274" s="73"/>
      <c r="B274" s="73"/>
      <c r="C274" s="73"/>
      <c r="D274" s="73"/>
      <c r="E274" s="73"/>
      <c r="F274" s="72"/>
    </row>
    <row r="275" ht="14.25" customHeight="1">
      <c r="A275" s="73"/>
      <c r="B275" s="73"/>
      <c r="C275" s="73"/>
      <c r="D275" s="73"/>
      <c r="E275" s="73"/>
      <c r="F275" s="72"/>
    </row>
    <row r="276" ht="14.25" customHeight="1">
      <c r="A276" s="73"/>
      <c r="B276" s="73"/>
      <c r="C276" s="73"/>
      <c r="D276" s="73"/>
      <c r="E276" s="73"/>
      <c r="F276" s="72"/>
    </row>
    <row r="277" ht="14.25" customHeight="1">
      <c r="A277" s="73"/>
      <c r="B277" s="73"/>
      <c r="C277" s="73"/>
      <c r="D277" s="73"/>
      <c r="E277" s="73"/>
      <c r="F277" s="72"/>
    </row>
    <row r="278" ht="14.25" customHeight="1">
      <c r="A278" s="73"/>
      <c r="B278" s="73"/>
      <c r="C278" s="73"/>
      <c r="D278" s="73"/>
      <c r="E278" s="73"/>
      <c r="F278" s="72"/>
    </row>
    <row r="279" ht="14.25" customHeight="1">
      <c r="A279" s="73"/>
      <c r="B279" s="73"/>
      <c r="C279" s="73"/>
      <c r="D279" s="73"/>
      <c r="E279" s="73"/>
      <c r="F279" s="72"/>
    </row>
    <row r="280" ht="14.25" customHeight="1">
      <c r="A280" s="73"/>
      <c r="B280" s="73"/>
      <c r="C280" s="73"/>
      <c r="D280" s="73"/>
      <c r="E280" s="73"/>
      <c r="F280" s="72"/>
    </row>
    <row r="281" ht="14.25" customHeight="1">
      <c r="A281" s="73"/>
      <c r="B281" s="73"/>
      <c r="C281" s="73"/>
      <c r="D281" s="73"/>
      <c r="E281" s="73"/>
      <c r="F281" s="72"/>
    </row>
    <row r="282" ht="14.25" customHeight="1">
      <c r="A282" s="73"/>
      <c r="B282" s="73"/>
      <c r="C282" s="73"/>
      <c r="D282" s="73"/>
      <c r="E282" s="73"/>
      <c r="F282" s="72"/>
    </row>
    <row r="283" ht="14.25" customHeight="1">
      <c r="A283" s="73"/>
      <c r="B283" s="73"/>
      <c r="C283" s="73"/>
      <c r="D283" s="73"/>
      <c r="E283" s="73"/>
      <c r="F283" s="72"/>
    </row>
    <row r="284" ht="14.25" customHeight="1">
      <c r="A284" s="73"/>
      <c r="B284" s="73"/>
      <c r="C284" s="73"/>
      <c r="D284" s="73"/>
      <c r="E284" s="73"/>
      <c r="F284" s="72"/>
    </row>
    <row r="285" ht="14.25" customHeight="1">
      <c r="A285" s="73"/>
      <c r="B285" s="73"/>
      <c r="C285" s="73"/>
      <c r="D285" s="73"/>
      <c r="E285" s="73"/>
      <c r="F285" s="72"/>
    </row>
    <row r="286" ht="14.25" customHeight="1">
      <c r="A286" s="73"/>
      <c r="B286" s="73"/>
      <c r="C286" s="73"/>
      <c r="D286" s="73"/>
      <c r="E286" s="73"/>
      <c r="F286" s="72"/>
    </row>
    <row r="287" ht="14.25" customHeight="1">
      <c r="A287" s="73"/>
      <c r="B287" s="73"/>
      <c r="C287" s="73"/>
      <c r="D287" s="73"/>
      <c r="E287" s="73"/>
      <c r="F287" s="72"/>
    </row>
    <row r="288" ht="14.25" customHeight="1">
      <c r="A288" s="73"/>
      <c r="B288" s="73"/>
      <c r="C288" s="73"/>
      <c r="D288" s="73"/>
      <c r="E288" s="73"/>
      <c r="F288" s="72"/>
    </row>
    <row r="289" ht="14.25" customHeight="1">
      <c r="A289" s="73"/>
      <c r="B289" s="73"/>
      <c r="C289" s="73"/>
      <c r="D289" s="73"/>
      <c r="E289" s="73"/>
      <c r="F289" s="72"/>
    </row>
    <row r="290" ht="14.25" customHeight="1">
      <c r="A290" s="73"/>
      <c r="B290" s="73"/>
      <c r="C290" s="73"/>
      <c r="D290" s="73"/>
      <c r="E290" s="73"/>
      <c r="F290" s="72"/>
    </row>
    <row r="291" ht="14.25" customHeight="1">
      <c r="A291" s="73"/>
      <c r="B291" s="73"/>
      <c r="C291" s="73"/>
      <c r="D291" s="73"/>
      <c r="E291" s="73"/>
      <c r="F291" s="72"/>
    </row>
    <row r="292" ht="14.25" customHeight="1">
      <c r="A292" s="73"/>
      <c r="B292" s="73"/>
      <c r="C292" s="73"/>
      <c r="D292" s="73"/>
      <c r="E292" s="73"/>
      <c r="F292" s="72"/>
    </row>
    <row r="293" ht="14.25" customHeight="1">
      <c r="A293" s="73"/>
      <c r="B293" s="73"/>
      <c r="C293" s="73"/>
      <c r="D293" s="73"/>
      <c r="E293" s="73"/>
      <c r="F293" s="72"/>
    </row>
    <row r="294" ht="14.25" customHeight="1">
      <c r="A294" s="73"/>
      <c r="B294" s="73"/>
      <c r="C294" s="73"/>
      <c r="D294" s="73"/>
      <c r="E294" s="73"/>
      <c r="F294" s="72"/>
    </row>
    <row r="295" ht="14.25" customHeight="1">
      <c r="A295" s="73"/>
      <c r="B295" s="73"/>
      <c r="C295" s="73"/>
      <c r="D295" s="73"/>
      <c r="E295" s="73"/>
      <c r="F295" s="72"/>
    </row>
    <row r="296" ht="14.25" customHeight="1">
      <c r="A296" s="73"/>
      <c r="B296" s="73"/>
      <c r="C296" s="73"/>
      <c r="D296" s="73"/>
      <c r="E296" s="73"/>
      <c r="F296" s="72"/>
    </row>
    <row r="297" ht="14.25" customHeight="1">
      <c r="A297" s="73"/>
      <c r="B297" s="73"/>
      <c r="C297" s="73"/>
      <c r="D297" s="73"/>
      <c r="E297" s="73"/>
      <c r="F297" s="72"/>
    </row>
    <row r="298" ht="14.25" customHeight="1">
      <c r="A298" s="73"/>
      <c r="B298" s="73"/>
      <c r="C298" s="73"/>
      <c r="D298" s="73"/>
      <c r="E298" s="73"/>
      <c r="F298" s="72"/>
    </row>
    <row r="299" ht="14.25" customHeight="1">
      <c r="A299" s="73"/>
      <c r="B299" s="73"/>
      <c r="C299" s="73"/>
      <c r="D299" s="73"/>
      <c r="E299" s="73"/>
      <c r="F299" s="72"/>
    </row>
    <row r="300" ht="14.25" customHeight="1">
      <c r="A300" s="73"/>
      <c r="B300" s="73"/>
      <c r="C300" s="73"/>
      <c r="D300" s="73"/>
      <c r="E300" s="73"/>
      <c r="F300" s="72"/>
    </row>
    <row r="301" ht="14.25" customHeight="1">
      <c r="A301" s="73"/>
      <c r="B301" s="73"/>
      <c r="C301" s="73"/>
      <c r="D301" s="73"/>
      <c r="E301" s="73"/>
      <c r="F301" s="72"/>
    </row>
    <row r="302" ht="14.25" customHeight="1">
      <c r="A302" s="73"/>
      <c r="B302" s="73"/>
      <c r="C302" s="73"/>
      <c r="D302" s="73"/>
      <c r="E302" s="73"/>
      <c r="F302" s="72"/>
    </row>
    <row r="303" ht="14.25" customHeight="1">
      <c r="A303" s="73"/>
      <c r="B303" s="73"/>
      <c r="C303" s="73"/>
      <c r="D303" s="73"/>
      <c r="E303" s="73"/>
      <c r="F303" s="72"/>
    </row>
    <row r="304" ht="14.25" customHeight="1">
      <c r="A304" s="73"/>
      <c r="B304" s="73"/>
      <c r="C304" s="73"/>
      <c r="D304" s="73"/>
      <c r="E304" s="73"/>
      <c r="F304" s="72"/>
    </row>
    <row r="305" ht="14.25" customHeight="1">
      <c r="A305" s="73"/>
      <c r="B305" s="73"/>
      <c r="C305" s="73"/>
      <c r="D305" s="73"/>
      <c r="E305" s="73"/>
      <c r="F305" s="72"/>
    </row>
    <row r="306" ht="14.25" customHeight="1">
      <c r="A306" s="73"/>
      <c r="B306" s="73"/>
      <c r="C306" s="73"/>
      <c r="D306" s="73"/>
      <c r="E306" s="73"/>
      <c r="F306" s="72"/>
    </row>
    <row r="307" ht="14.25" customHeight="1">
      <c r="A307" s="73"/>
      <c r="B307" s="73"/>
      <c r="C307" s="73"/>
      <c r="D307" s="73"/>
      <c r="E307" s="73"/>
      <c r="F307" s="72"/>
    </row>
    <row r="308" ht="14.25" customHeight="1">
      <c r="A308" s="73"/>
      <c r="B308" s="73"/>
      <c r="C308" s="73"/>
      <c r="D308" s="73"/>
      <c r="E308" s="73"/>
      <c r="F308" s="72"/>
    </row>
    <row r="309" ht="14.25" customHeight="1">
      <c r="A309" s="73"/>
      <c r="B309" s="73"/>
      <c r="C309" s="73"/>
      <c r="D309" s="73"/>
      <c r="E309" s="73"/>
      <c r="F309" s="72"/>
    </row>
    <row r="310" ht="14.25" customHeight="1">
      <c r="A310" s="73"/>
      <c r="B310" s="73"/>
      <c r="C310" s="73"/>
      <c r="D310" s="73"/>
      <c r="E310" s="73"/>
      <c r="F310" s="72"/>
    </row>
    <row r="311" ht="14.25" customHeight="1">
      <c r="A311" s="73"/>
      <c r="B311" s="73"/>
      <c r="C311" s="73"/>
      <c r="D311" s="73"/>
      <c r="E311" s="73"/>
      <c r="F311" s="72"/>
    </row>
    <row r="312" ht="14.25" customHeight="1">
      <c r="A312" s="73"/>
      <c r="B312" s="73"/>
      <c r="C312" s="73"/>
      <c r="D312" s="73"/>
      <c r="E312" s="73"/>
      <c r="F312" s="72"/>
    </row>
    <row r="313" ht="14.25" customHeight="1">
      <c r="A313" s="73"/>
      <c r="B313" s="73"/>
      <c r="C313" s="73"/>
      <c r="D313" s="73"/>
      <c r="E313" s="73"/>
      <c r="F313" s="72"/>
    </row>
    <row r="314" ht="14.25" customHeight="1">
      <c r="A314" s="73"/>
      <c r="B314" s="73"/>
      <c r="C314" s="73"/>
      <c r="D314" s="73"/>
      <c r="E314" s="73"/>
      <c r="F314" s="72"/>
    </row>
    <row r="315" ht="14.25" customHeight="1">
      <c r="A315" s="73"/>
      <c r="B315" s="73"/>
      <c r="C315" s="73"/>
      <c r="D315" s="73"/>
      <c r="E315" s="73"/>
      <c r="F315" s="72"/>
    </row>
    <row r="316" ht="14.25" customHeight="1">
      <c r="A316" s="73"/>
      <c r="B316" s="73"/>
      <c r="C316" s="73"/>
      <c r="D316" s="73"/>
      <c r="E316" s="73"/>
      <c r="F316" s="72"/>
    </row>
    <row r="317" ht="14.25" customHeight="1">
      <c r="A317" s="73"/>
      <c r="B317" s="73"/>
      <c r="C317" s="73"/>
      <c r="D317" s="73"/>
      <c r="E317" s="73"/>
      <c r="F317" s="72"/>
    </row>
    <row r="318" ht="14.25" customHeight="1">
      <c r="A318" s="73"/>
      <c r="B318" s="73"/>
      <c r="C318" s="73"/>
      <c r="D318" s="73"/>
      <c r="E318" s="73"/>
      <c r="F318" s="72"/>
    </row>
    <row r="319" ht="14.25" customHeight="1">
      <c r="A319" s="73"/>
      <c r="B319" s="73"/>
      <c r="C319" s="73"/>
      <c r="D319" s="73"/>
      <c r="E319" s="73"/>
      <c r="F319" s="72"/>
    </row>
    <row r="320" ht="14.25" customHeight="1">
      <c r="A320" s="73"/>
      <c r="B320" s="73"/>
      <c r="C320" s="73"/>
      <c r="D320" s="73"/>
      <c r="E320" s="73"/>
      <c r="F320" s="72"/>
    </row>
    <row r="321" ht="14.25" customHeight="1">
      <c r="A321" s="73"/>
      <c r="B321" s="73"/>
      <c r="C321" s="73"/>
      <c r="D321" s="73"/>
      <c r="E321" s="73"/>
      <c r="F321" s="72"/>
    </row>
    <row r="322" ht="14.25" customHeight="1">
      <c r="A322" s="73"/>
      <c r="B322" s="73"/>
      <c r="C322" s="73"/>
      <c r="D322" s="73"/>
      <c r="E322" s="73"/>
      <c r="F322" s="72"/>
    </row>
    <row r="323" ht="14.25" customHeight="1">
      <c r="A323" s="73"/>
      <c r="B323" s="73"/>
      <c r="C323" s="73"/>
      <c r="D323" s="73"/>
      <c r="E323" s="73"/>
      <c r="F323" s="72"/>
    </row>
    <row r="324" ht="14.25" customHeight="1">
      <c r="A324" s="73"/>
      <c r="B324" s="73"/>
      <c r="C324" s="73"/>
      <c r="D324" s="73"/>
      <c r="E324" s="73"/>
      <c r="F324" s="72"/>
    </row>
    <row r="325" ht="14.25" customHeight="1">
      <c r="A325" s="73"/>
      <c r="B325" s="73"/>
      <c r="C325" s="73"/>
      <c r="D325" s="73"/>
      <c r="E325" s="73"/>
      <c r="F325" s="72"/>
    </row>
    <row r="326" ht="14.25" customHeight="1">
      <c r="A326" s="73"/>
      <c r="B326" s="73"/>
      <c r="C326" s="73"/>
      <c r="D326" s="73"/>
      <c r="E326" s="73"/>
      <c r="F326" s="72"/>
    </row>
    <row r="327" ht="14.25" customHeight="1">
      <c r="A327" s="73"/>
      <c r="B327" s="73"/>
      <c r="C327" s="73"/>
      <c r="D327" s="73"/>
      <c r="E327" s="73"/>
      <c r="F327" s="72"/>
    </row>
    <row r="328" ht="14.25" customHeight="1">
      <c r="A328" s="73"/>
      <c r="B328" s="73"/>
      <c r="C328" s="73"/>
      <c r="D328" s="73"/>
      <c r="E328" s="73"/>
      <c r="F328" s="72"/>
    </row>
    <row r="329" ht="14.25" customHeight="1">
      <c r="A329" s="73"/>
      <c r="B329" s="73"/>
      <c r="C329" s="73"/>
      <c r="D329" s="73"/>
      <c r="E329" s="73"/>
      <c r="F329" s="72"/>
    </row>
    <row r="330" ht="14.25" customHeight="1">
      <c r="A330" s="73"/>
      <c r="B330" s="73"/>
      <c r="C330" s="73"/>
      <c r="D330" s="73"/>
      <c r="E330" s="73"/>
      <c r="F330" s="72"/>
    </row>
    <row r="331" ht="14.25" customHeight="1">
      <c r="A331" s="73"/>
      <c r="B331" s="73"/>
      <c r="C331" s="73"/>
      <c r="D331" s="73"/>
      <c r="E331" s="73"/>
      <c r="F331" s="72"/>
    </row>
    <row r="332" ht="14.25" customHeight="1">
      <c r="A332" s="73"/>
      <c r="B332" s="73"/>
      <c r="C332" s="73"/>
      <c r="D332" s="73"/>
      <c r="E332" s="73"/>
      <c r="F332" s="72"/>
    </row>
    <row r="333" ht="14.25" customHeight="1">
      <c r="A333" s="73"/>
      <c r="B333" s="73"/>
      <c r="C333" s="73"/>
      <c r="D333" s="73"/>
      <c r="E333" s="73"/>
      <c r="F333" s="72"/>
    </row>
    <row r="334" ht="14.25" customHeight="1">
      <c r="A334" s="73"/>
      <c r="B334" s="73"/>
      <c r="C334" s="73"/>
      <c r="D334" s="73"/>
      <c r="E334" s="73"/>
      <c r="F334" s="72"/>
    </row>
    <row r="335" ht="14.25" customHeight="1">
      <c r="A335" s="73"/>
      <c r="B335" s="73"/>
      <c r="C335" s="73"/>
      <c r="D335" s="73"/>
      <c r="E335" s="73"/>
      <c r="F335" s="72"/>
    </row>
    <row r="336" ht="14.25" customHeight="1">
      <c r="A336" s="73"/>
      <c r="B336" s="73"/>
      <c r="C336" s="73"/>
      <c r="D336" s="73"/>
      <c r="E336" s="73"/>
      <c r="F336" s="72"/>
    </row>
    <row r="337" ht="14.25" customHeight="1">
      <c r="A337" s="73"/>
      <c r="B337" s="73"/>
      <c r="C337" s="73"/>
      <c r="D337" s="73"/>
      <c r="E337" s="73"/>
      <c r="F337" s="72"/>
    </row>
    <row r="338" ht="14.25" customHeight="1">
      <c r="A338" s="73"/>
      <c r="B338" s="73"/>
      <c r="C338" s="73"/>
      <c r="D338" s="73"/>
      <c r="E338" s="73"/>
      <c r="F338" s="72"/>
    </row>
    <row r="339" ht="14.25" customHeight="1">
      <c r="A339" s="73"/>
      <c r="B339" s="73"/>
      <c r="C339" s="73"/>
      <c r="D339" s="73"/>
      <c r="E339" s="73"/>
      <c r="F339" s="72"/>
    </row>
    <row r="340" ht="14.25" customHeight="1">
      <c r="A340" s="73"/>
      <c r="B340" s="73"/>
      <c r="C340" s="73"/>
      <c r="D340" s="73"/>
      <c r="E340" s="73"/>
      <c r="F340" s="72"/>
    </row>
    <row r="341" ht="14.25" customHeight="1">
      <c r="A341" s="73"/>
      <c r="B341" s="73"/>
      <c r="C341" s="73"/>
      <c r="D341" s="73"/>
      <c r="E341" s="73"/>
      <c r="F341" s="72"/>
    </row>
    <row r="342" ht="14.25" customHeight="1">
      <c r="A342" s="73"/>
      <c r="B342" s="73"/>
      <c r="C342" s="73"/>
      <c r="D342" s="73"/>
      <c r="E342" s="73"/>
      <c r="F342" s="72"/>
    </row>
    <row r="343" ht="14.25" customHeight="1">
      <c r="A343" s="73"/>
      <c r="B343" s="73"/>
      <c r="C343" s="73"/>
      <c r="D343" s="73"/>
      <c r="E343" s="73"/>
      <c r="F343" s="72"/>
    </row>
    <row r="344" ht="14.25" customHeight="1">
      <c r="A344" s="73"/>
      <c r="B344" s="73"/>
      <c r="C344" s="73"/>
      <c r="D344" s="73"/>
      <c r="E344" s="73"/>
      <c r="F344" s="72"/>
    </row>
    <row r="345" ht="14.25" customHeight="1">
      <c r="A345" s="73"/>
      <c r="B345" s="73"/>
      <c r="C345" s="73"/>
      <c r="D345" s="73"/>
      <c r="E345" s="73"/>
      <c r="F345" s="72"/>
    </row>
    <row r="346" ht="14.25" customHeight="1">
      <c r="A346" s="73"/>
      <c r="B346" s="73"/>
      <c r="C346" s="73"/>
      <c r="D346" s="73"/>
      <c r="E346" s="73"/>
      <c r="F346" s="72"/>
    </row>
    <row r="347" ht="14.25" customHeight="1">
      <c r="A347" s="73"/>
      <c r="B347" s="73"/>
      <c r="C347" s="73"/>
      <c r="D347" s="73"/>
      <c r="E347" s="73"/>
      <c r="F347" s="72"/>
    </row>
    <row r="348" ht="14.25" customHeight="1">
      <c r="A348" s="73"/>
      <c r="B348" s="73"/>
      <c r="C348" s="73"/>
      <c r="D348" s="73"/>
      <c r="E348" s="73"/>
      <c r="F348" s="72"/>
    </row>
    <row r="349" ht="14.25" customHeight="1">
      <c r="A349" s="73"/>
      <c r="B349" s="73"/>
      <c r="C349" s="73"/>
      <c r="D349" s="73"/>
      <c r="E349" s="73"/>
      <c r="F349" s="72"/>
    </row>
    <row r="350" ht="14.25" customHeight="1">
      <c r="A350" s="73"/>
      <c r="B350" s="73"/>
      <c r="C350" s="73"/>
      <c r="D350" s="73"/>
      <c r="E350" s="73"/>
      <c r="F350" s="72"/>
    </row>
    <row r="351" ht="14.25" customHeight="1">
      <c r="A351" s="73"/>
      <c r="B351" s="73"/>
      <c r="C351" s="73"/>
      <c r="D351" s="73"/>
      <c r="E351" s="73"/>
      <c r="F351" s="72"/>
    </row>
    <row r="352" ht="14.25" customHeight="1">
      <c r="A352" s="73"/>
      <c r="B352" s="73"/>
      <c r="C352" s="73"/>
      <c r="D352" s="73"/>
      <c r="E352" s="73"/>
      <c r="F352" s="72"/>
    </row>
    <row r="353" ht="14.25" customHeight="1">
      <c r="A353" s="73"/>
      <c r="B353" s="73"/>
      <c r="C353" s="73"/>
      <c r="D353" s="73"/>
      <c r="E353" s="73"/>
      <c r="F353" s="72"/>
    </row>
    <row r="354" ht="14.25" customHeight="1">
      <c r="A354" s="73"/>
      <c r="B354" s="73"/>
      <c r="C354" s="73"/>
      <c r="D354" s="73"/>
      <c r="E354" s="73"/>
      <c r="F354" s="72"/>
    </row>
    <row r="355" ht="14.25" customHeight="1">
      <c r="A355" s="73"/>
      <c r="B355" s="73"/>
      <c r="C355" s="73"/>
      <c r="D355" s="73"/>
      <c r="E355" s="73"/>
      <c r="F355" s="72"/>
    </row>
    <row r="356" ht="14.25" customHeight="1">
      <c r="A356" s="73"/>
      <c r="B356" s="73"/>
      <c r="C356" s="73"/>
      <c r="D356" s="73"/>
      <c r="E356" s="73"/>
      <c r="F356" s="72"/>
    </row>
    <row r="357" ht="14.25" customHeight="1">
      <c r="A357" s="73"/>
      <c r="B357" s="73"/>
      <c r="C357" s="73"/>
      <c r="D357" s="73"/>
      <c r="E357" s="73"/>
      <c r="F357" s="72"/>
    </row>
    <row r="358" ht="14.25" customHeight="1">
      <c r="A358" s="73"/>
      <c r="B358" s="73"/>
      <c r="C358" s="73"/>
      <c r="D358" s="73"/>
      <c r="E358" s="73"/>
      <c r="F358" s="72"/>
    </row>
    <row r="359" ht="14.25" customHeight="1">
      <c r="A359" s="73"/>
      <c r="B359" s="73"/>
      <c r="C359" s="73"/>
      <c r="D359" s="73"/>
      <c r="E359" s="73"/>
      <c r="F359" s="72"/>
    </row>
    <row r="360" ht="14.25" customHeight="1">
      <c r="A360" s="73"/>
      <c r="B360" s="73"/>
      <c r="C360" s="73"/>
      <c r="D360" s="73"/>
      <c r="E360" s="73"/>
      <c r="F360" s="72"/>
    </row>
    <row r="361" ht="14.25" customHeight="1">
      <c r="A361" s="73"/>
      <c r="B361" s="73"/>
      <c r="C361" s="73"/>
      <c r="D361" s="73"/>
      <c r="E361" s="73"/>
      <c r="F361" s="72"/>
    </row>
    <row r="362" ht="14.25" customHeight="1">
      <c r="A362" s="73"/>
      <c r="B362" s="73"/>
      <c r="C362" s="73"/>
      <c r="D362" s="73"/>
      <c r="E362" s="73"/>
      <c r="F362" s="72"/>
    </row>
    <row r="363" ht="14.25" customHeight="1">
      <c r="A363" s="73"/>
      <c r="B363" s="73"/>
      <c r="C363" s="73"/>
      <c r="D363" s="73"/>
      <c r="E363" s="73"/>
      <c r="F363" s="72"/>
    </row>
    <row r="364" ht="14.25" customHeight="1">
      <c r="A364" s="73"/>
      <c r="B364" s="73"/>
      <c r="C364" s="73"/>
      <c r="D364" s="73"/>
      <c r="E364" s="73"/>
      <c r="F364" s="72"/>
    </row>
    <row r="365" ht="14.25" customHeight="1">
      <c r="A365" s="73"/>
      <c r="B365" s="73"/>
      <c r="C365" s="73"/>
      <c r="D365" s="73"/>
      <c r="E365" s="73"/>
      <c r="F365" s="72"/>
    </row>
    <row r="366" ht="14.25" customHeight="1">
      <c r="A366" s="73"/>
      <c r="B366" s="73"/>
      <c r="C366" s="73"/>
      <c r="D366" s="73"/>
      <c r="E366" s="73"/>
      <c r="F366" s="72"/>
    </row>
    <row r="367" ht="14.25" customHeight="1">
      <c r="A367" s="73"/>
      <c r="B367" s="73"/>
      <c r="C367" s="73"/>
      <c r="D367" s="73"/>
      <c r="E367" s="73"/>
      <c r="F367" s="72"/>
    </row>
    <row r="368" ht="14.25" customHeight="1">
      <c r="A368" s="73"/>
      <c r="B368" s="73"/>
      <c r="C368" s="73"/>
      <c r="D368" s="73"/>
      <c r="E368" s="73"/>
      <c r="F368" s="72"/>
    </row>
    <row r="369" ht="14.25" customHeight="1">
      <c r="A369" s="73"/>
      <c r="B369" s="73"/>
      <c r="C369" s="73"/>
      <c r="D369" s="73"/>
      <c r="E369" s="73"/>
      <c r="F369" s="72"/>
    </row>
    <row r="370" ht="14.25" customHeight="1">
      <c r="A370" s="73"/>
      <c r="B370" s="73"/>
      <c r="C370" s="73"/>
      <c r="D370" s="73"/>
      <c r="E370" s="73"/>
      <c r="F370" s="72"/>
    </row>
    <row r="371" ht="14.25" customHeight="1">
      <c r="A371" s="73"/>
      <c r="B371" s="73"/>
      <c r="C371" s="73"/>
      <c r="D371" s="73"/>
      <c r="E371" s="73"/>
      <c r="F371" s="72"/>
    </row>
    <row r="372" ht="14.25" customHeight="1">
      <c r="A372" s="73"/>
      <c r="B372" s="73"/>
      <c r="C372" s="73"/>
      <c r="D372" s="73"/>
      <c r="E372" s="73"/>
      <c r="F372" s="72"/>
    </row>
    <row r="373" ht="14.25" customHeight="1">
      <c r="A373" s="73"/>
      <c r="B373" s="73"/>
      <c r="C373" s="73"/>
      <c r="D373" s="73"/>
      <c r="E373" s="73"/>
      <c r="F373" s="72"/>
    </row>
    <row r="374" ht="14.25" customHeight="1">
      <c r="A374" s="73"/>
      <c r="B374" s="73"/>
      <c r="C374" s="73"/>
      <c r="D374" s="73"/>
      <c r="E374" s="73"/>
      <c r="F374" s="72"/>
    </row>
    <row r="375" ht="14.25" customHeight="1">
      <c r="A375" s="73"/>
      <c r="B375" s="73"/>
      <c r="C375" s="73"/>
      <c r="D375" s="73"/>
      <c r="E375" s="73"/>
      <c r="F375" s="72"/>
    </row>
    <row r="376" ht="14.25" customHeight="1">
      <c r="A376" s="73"/>
      <c r="B376" s="73"/>
      <c r="C376" s="73"/>
      <c r="D376" s="73"/>
      <c r="E376" s="73"/>
      <c r="F376" s="72"/>
    </row>
    <row r="377" ht="14.25" customHeight="1">
      <c r="A377" s="73"/>
      <c r="B377" s="73"/>
      <c r="C377" s="73"/>
      <c r="D377" s="73"/>
      <c r="E377" s="73"/>
      <c r="F377" s="72"/>
    </row>
    <row r="378" ht="14.25" customHeight="1">
      <c r="A378" s="73"/>
      <c r="B378" s="73"/>
      <c r="C378" s="73"/>
      <c r="D378" s="73"/>
      <c r="E378" s="73"/>
      <c r="F378" s="72"/>
    </row>
    <row r="379" ht="14.25" customHeight="1">
      <c r="A379" s="73"/>
      <c r="B379" s="73"/>
      <c r="C379" s="73"/>
      <c r="D379" s="73"/>
      <c r="E379" s="73"/>
      <c r="F379" s="72"/>
    </row>
    <row r="380" ht="14.25" customHeight="1">
      <c r="A380" s="73"/>
      <c r="B380" s="73"/>
      <c r="C380" s="73"/>
      <c r="D380" s="73"/>
      <c r="E380" s="73"/>
      <c r="F380" s="72"/>
    </row>
    <row r="381" ht="14.25" customHeight="1">
      <c r="A381" s="73"/>
      <c r="B381" s="73"/>
      <c r="C381" s="73"/>
      <c r="D381" s="73"/>
      <c r="E381" s="73"/>
      <c r="F381" s="72"/>
    </row>
    <row r="382" ht="14.25" customHeight="1">
      <c r="A382" s="73"/>
      <c r="B382" s="73"/>
      <c r="C382" s="73"/>
      <c r="D382" s="73"/>
      <c r="E382" s="73"/>
      <c r="F382" s="72"/>
    </row>
    <row r="383" ht="14.25" customHeight="1">
      <c r="A383" s="73"/>
      <c r="B383" s="73"/>
      <c r="C383" s="73"/>
      <c r="D383" s="73"/>
      <c r="E383" s="73"/>
      <c r="F383" s="72"/>
    </row>
    <row r="384" ht="14.25" customHeight="1">
      <c r="A384" s="73"/>
      <c r="B384" s="73"/>
      <c r="C384" s="73"/>
      <c r="D384" s="73"/>
      <c r="E384" s="73"/>
      <c r="F384" s="72"/>
    </row>
    <row r="385" ht="14.25" customHeight="1">
      <c r="A385" s="73"/>
      <c r="B385" s="73"/>
      <c r="C385" s="73"/>
      <c r="D385" s="73"/>
      <c r="E385" s="73"/>
      <c r="F385" s="72"/>
    </row>
    <row r="386" ht="14.25" customHeight="1">
      <c r="A386" s="73"/>
      <c r="B386" s="73"/>
      <c r="C386" s="73"/>
      <c r="D386" s="73"/>
      <c r="E386" s="73"/>
      <c r="F386" s="72"/>
    </row>
    <row r="387" ht="14.25" customHeight="1">
      <c r="A387" s="73"/>
      <c r="B387" s="73"/>
      <c r="C387" s="73"/>
      <c r="D387" s="73"/>
      <c r="E387" s="73"/>
      <c r="F387" s="72"/>
    </row>
    <row r="388" ht="14.25" customHeight="1">
      <c r="A388" s="73"/>
      <c r="B388" s="73"/>
      <c r="C388" s="73"/>
      <c r="D388" s="73"/>
      <c r="E388" s="73"/>
      <c r="F388" s="72"/>
    </row>
    <row r="389" ht="14.25" customHeight="1">
      <c r="A389" s="73"/>
      <c r="B389" s="73"/>
      <c r="C389" s="73"/>
      <c r="D389" s="73"/>
      <c r="E389" s="73"/>
      <c r="F389" s="72"/>
    </row>
    <row r="390" ht="14.25" customHeight="1">
      <c r="A390" s="73"/>
      <c r="B390" s="73"/>
      <c r="C390" s="73"/>
      <c r="D390" s="73"/>
      <c r="E390" s="73"/>
      <c r="F390" s="72"/>
    </row>
    <row r="391" ht="14.25" customHeight="1">
      <c r="A391" s="73"/>
      <c r="B391" s="73"/>
      <c r="C391" s="73"/>
      <c r="D391" s="73"/>
      <c r="E391" s="73"/>
      <c r="F391" s="72"/>
    </row>
    <row r="392" ht="14.25" customHeight="1">
      <c r="A392" s="73"/>
      <c r="B392" s="73"/>
      <c r="C392" s="73"/>
      <c r="D392" s="73"/>
      <c r="E392" s="73"/>
      <c r="F392" s="72"/>
    </row>
    <row r="393" ht="14.25" customHeight="1">
      <c r="A393" s="73"/>
      <c r="B393" s="73"/>
      <c r="C393" s="73"/>
      <c r="D393" s="73"/>
      <c r="E393" s="73"/>
      <c r="F393" s="72"/>
    </row>
    <row r="394" ht="14.25" customHeight="1">
      <c r="A394" s="73"/>
      <c r="B394" s="73"/>
      <c r="C394" s="73"/>
      <c r="D394" s="73"/>
      <c r="E394" s="73"/>
      <c r="F394" s="72"/>
    </row>
    <row r="395" ht="14.25" customHeight="1">
      <c r="A395" s="73"/>
      <c r="B395" s="73"/>
      <c r="C395" s="73"/>
      <c r="D395" s="73"/>
      <c r="E395" s="73"/>
      <c r="F395" s="72"/>
    </row>
    <row r="396" ht="14.25" customHeight="1">
      <c r="A396" s="73"/>
      <c r="B396" s="73"/>
      <c r="C396" s="73"/>
      <c r="D396" s="73"/>
      <c r="E396" s="73"/>
      <c r="F396" s="72"/>
    </row>
    <row r="397" ht="14.25" customHeight="1">
      <c r="A397" s="73"/>
      <c r="B397" s="73"/>
      <c r="C397" s="73"/>
      <c r="D397" s="73"/>
      <c r="E397" s="73"/>
      <c r="F397" s="72"/>
    </row>
    <row r="398" ht="14.25" customHeight="1">
      <c r="A398" s="73"/>
      <c r="B398" s="73"/>
      <c r="C398" s="73"/>
      <c r="D398" s="73"/>
      <c r="E398" s="73"/>
      <c r="F398" s="72"/>
    </row>
    <row r="399" ht="14.25" customHeight="1">
      <c r="A399" s="73"/>
      <c r="B399" s="73"/>
      <c r="C399" s="73"/>
      <c r="D399" s="73"/>
      <c r="E399" s="73"/>
      <c r="F399" s="72"/>
    </row>
    <row r="400" ht="14.25" customHeight="1">
      <c r="A400" s="73"/>
      <c r="B400" s="73"/>
      <c r="C400" s="73"/>
      <c r="D400" s="73"/>
      <c r="E400" s="73"/>
      <c r="F400" s="72"/>
    </row>
    <row r="401" ht="14.25" customHeight="1">
      <c r="A401" s="73"/>
      <c r="B401" s="73"/>
      <c r="C401" s="73"/>
      <c r="D401" s="73"/>
      <c r="E401" s="73"/>
      <c r="F401" s="72"/>
    </row>
    <row r="402" ht="14.25" customHeight="1">
      <c r="A402" s="73"/>
      <c r="B402" s="73"/>
      <c r="C402" s="73"/>
      <c r="D402" s="73"/>
      <c r="E402" s="73"/>
      <c r="F402" s="72"/>
    </row>
    <row r="403" ht="14.25" customHeight="1">
      <c r="A403" s="73"/>
      <c r="B403" s="73"/>
      <c r="C403" s="73"/>
      <c r="D403" s="73"/>
      <c r="E403" s="73"/>
      <c r="F403" s="72"/>
    </row>
    <row r="404" ht="14.25" customHeight="1">
      <c r="A404" s="73"/>
      <c r="B404" s="73"/>
      <c r="C404" s="73"/>
      <c r="D404" s="73"/>
      <c r="E404" s="73"/>
      <c r="F404" s="72"/>
    </row>
    <row r="405" ht="14.25" customHeight="1">
      <c r="A405" s="73"/>
      <c r="B405" s="73"/>
      <c r="C405" s="73"/>
      <c r="D405" s="73"/>
      <c r="E405" s="73"/>
      <c r="F405" s="72"/>
    </row>
    <row r="406" ht="14.25" customHeight="1">
      <c r="A406" s="73"/>
      <c r="B406" s="73"/>
      <c r="C406" s="73"/>
      <c r="D406" s="73"/>
      <c r="E406" s="73"/>
      <c r="F406" s="72"/>
    </row>
    <row r="407" ht="14.25" customHeight="1">
      <c r="A407" s="73"/>
      <c r="B407" s="73"/>
      <c r="C407" s="73"/>
      <c r="D407" s="73"/>
      <c r="E407" s="73"/>
      <c r="F407" s="72"/>
    </row>
    <row r="408" ht="14.25" customHeight="1">
      <c r="A408" s="73"/>
      <c r="B408" s="73"/>
      <c r="C408" s="73"/>
      <c r="D408" s="73"/>
      <c r="E408" s="73"/>
      <c r="F408" s="72"/>
    </row>
    <row r="409" ht="14.25" customHeight="1">
      <c r="A409" s="73"/>
      <c r="B409" s="73"/>
      <c r="C409" s="73"/>
      <c r="D409" s="73"/>
      <c r="E409" s="73"/>
      <c r="F409" s="72"/>
    </row>
    <row r="410" ht="14.25" customHeight="1">
      <c r="A410" s="73"/>
      <c r="B410" s="73"/>
      <c r="C410" s="73"/>
      <c r="D410" s="73"/>
      <c r="E410" s="73"/>
      <c r="F410" s="72"/>
    </row>
    <row r="411" ht="14.25" customHeight="1">
      <c r="A411" s="73"/>
      <c r="B411" s="73"/>
      <c r="C411" s="73"/>
      <c r="D411" s="73"/>
      <c r="E411" s="73"/>
      <c r="F411" s="72"/>
    </row>
    <row r="412" ht="14.25" customHeight="1">
      <c r="A412" s="73"/>
      <c r="B412" s="73"/>
      <c r="C412" s="73"/>
      <c r="D412" s="73"/>
      <c r="E412" s="73"/>
      <c r="F412" s="72"/>
    </row>
    <row r="413" ht="14.25" customHeight="1">
      <c r="A413" s="73"/>
      <c r="B413" s="73"/>
      <c r="C413" s="73"/>
      <c r="D413" s="73"/>
      <c r="E413" s="73"/>
      <c r="F413" s="72"/>
    </row>
    <row r="414" ht="14.25" customHeight="1">
      <c r="A414" s="73"/>
      <c r="B414" s="73"/>
      <c r="C414" s="73"/>
      <c r="D414" s="73"/>
      <c r="E414" s="73"/>
      <c r="F414" s="72"/>
    </row>
    <row r="415" ht="14.25" customHeight="1">
      <c r="A415" s="73"/>
      <c r="B415" s="73"/>
      <c r="C415" s="73"/>
      <c r="D415" s="73"/>
      <c r="E415" s="73"/>
      <c r="F415" s="72"/>
    </row>
    <row r="416" ht="14.25" customHeight="1">
      <c r="A416" s="73"/>
      <c r="B416" s="73"/>
      <c r="C416" s="73"/>
      <c r="D416" s="73"/>
      <c r="E416" s="73"/>
      <c r="F416" s="72"/>
    </row>
    <row r="417" ht="14.25" customHeight="1">
      <c r="A417" s="73"/>
      <c r="B417" s="73"/>
      <c r="C417" s="73"/>
      <c r="D417" s="73"/>
      <c r="E417" s="73"/>
      <c r="F417" s="72"/>
    </row>
    <row r="418" ht="14.25" customHeight="1">
      <c r="A418" s="73"/>
      <c r="B418" s="73"/>
      <c r="C418" s="73"/>
      <c r="D418" s="73"/>
      <c r="E418" s="73"/>
      <c r="F418" s="72"/>
    </row>
    <row r="419" ht="14.25" customHeight="1">
      <c r="A419" s="73"/>
      <c r="B419" s="73"/>
      <c r="C419" s="73"/>
      <c r="D419" s="73"/>
      <c r="E419" s="73"/>
      <c r="F419" s="72"/>
    </row>
    <row r="420" ht="14.25" customHeight="1">
      <c r="A420" s="73"/>
      <c r="B420" s="73"/>
      <c r="C420" s="73"/>
      <c r="D420" s="73"/>
      <c r="E420" s="73"/>
      <c r="F420" s="72"/>
    </row>
    <row r="421" ht="14.25" customHeight="1">
      <c r="A421" s="73"/>
      <c r="B421" s="73"/>
      <c r="C421" s="73"/>
      <c r="D421" s="73"/>
      <c r="E421" s="73"/>
      <c r="F421" s="72"/>
    </row>
    <row r="422" ht="14.25" customHeight="1">
      <c r="A422" s="73"/>
      <c r="B422" s="73"/>
      <c r="C422" s="73"/>
      <c r="D422" s="73"/>
      <c r="E422" s="73"/>
      <c r="F422" s="72"/>
    </row>
    <row r="423" ht="14.25" customHeight="1">
      <c r="A423" s="73"/>
      <c r="B423" s="73"/>
      <c r="C423" s="73"/>
      <c r="D423" s="73"/>
      <c r="E423" s="73"/>
      <c r="F423" s="72"/>
    </row>
    <row r="424" ht="14.25" customHeight="1">
      <c r="A424" s="73"/>
      <c r="B424" s="73"/>
      <c r="C424" s="73"/>
      <c r="D424" s="73"/>
      <c r="E424" s="73"/>
      <c r="F424" s="72"/>
    </row>
    <row r="425" ht="14.25" customHeight="1">
      <c r="A425" s="73"/>
      <c r="B425" s="73"/>
      <c r="C425" s="73"/>
      <c r="D425" s="73"/>
      <c r="E425" s="73"/>
      <c r="F425" s="72"/>
    </row>
    <row r="426" ht="14.25" customHeight="1">
      <c r="A426" s="73"/>
      <c r="B426" s="73"/>
      <c r="C426" s="73"/>
      <c r="D426" s="73"/>
      <c r="E426" s="73"/>
      <c r="F426" s="72"/>
    </row>
    <row r="427" ht="14.25" customHeight="1">
      <c r="A427" s="73"/>
      <c r="B427" s="73"/>
      <c r="C427" s="73"/>
      <c r="D427" s="73"/>
      <c r="E427" s="73"/>
      <c r="F427" s="72"/>
    </row>
    <row r="428" ht="14.25" customHeight="1">
      <c r="A428" s="73"/>
      <c r="B428" s="73"/>
      <c r="C428" s="73"/>
      <c r="D428" s="73"/>
      <c r="E428" s="73"/>
      <c r="F428" s="72"/>
    </row>
    <row r="429" ht="14.25" customHeight="1">
      <c r="A429" s="73"/>
      <c r="B429" s="73"/>
      <c r="C429" s="73"/>
      <c r="D429" s="73"/>
      <c r="E429" s="73"/>
      <c r="F429" s="72"/>
    </row>
    <row r="430" ht="14.25" customHeight="1">
      <c r="A430" s="73"/>
      <c r="B430" s="73"/>
      <c r="C430" s="73"/>
      <c r="D430" s="73"/>
      <c r="E430" s="73"/>
      <c r="F430" s="72"/>
    </row>
    <row r="431" ht="14.25" customHeight="1">
      <c r="A431" s="73"/>
      <c r="B431" s="73"/>
      <c r="C431" s="73"/>
      <c r="D431" s="73"/>
      <c r="E431" s="73"/>
      <c r="F431" s="72"/>
    </row>
    <row r="432" ht="14.25" customHeight="1">
      <c r="A432" s="73"/>
      <c r="B432" s="73"/>
      <c r="C432" s="73"/>
      <c r="D432" s="73"/>
      <c r="E432" s="73"/>
      <c r="F432" s="72"/>
    </row>
    <row r="433" ht="14.25" customHeight="1">
      <c r="A433" s="73"/>
      <c r="B433" s="73"/>
      <c r="C433" s="73"/>
      <c r="D433" s="73"/>
      <c r="E433" s="73"/>
      <c r="F433" s="72"/>
    </row>
    <row r="434" ht="14.25" customHeight="1">
      <c r="A434" s="73"/>
      <c r="B434" s="73"/>
      <c r="C434" s="73"/>
      <c r="D434" s="73"/>
      <c r="E434" s="73"/>
      <c r="F434" s="72"/>
    </row>
    <row r="435" ht="14.25" customHeight="1">
      <c r="A435" s="73"/>
      <c r="B435" s="73"/>
      <c r="C435" s="73"/>
      <c r="D435" s="73"/>
      <c r="E435" s="73"/>
      <c r="F435" s="72"/>
    </row>
    <row r="436" ht="14.25" customHeight="1">
      <c r="A436" s="73"/>
      <c r="B436" s="73"/>
      <c r="C436" s="73"/>
      <c r="D436" s="73"/>
      <c r="E436" s="73"/>
      <c r="F436" s="72"/>
    </row>
    <row r="437" ht="14.25" customHeight="1">
      <c r="A437" s="73"/>
      <c r="B437" s="73"/>
      <c r="C437" s="73"/>
      <c r="D437" s="73"/>
      <c r="E437" s="73"/>
      <c r="F437" s="72"/>
    </row>
    <row r="438" ht="14.25" customHeight="1">
      <c r="A438" s="73"/>
      <c r="B438" s="73"/>
      <c r="C438" s="73"/>
      <c r="D438" s="73"/>
      <c r="E438" s="73"/>
      <c r="F438" s="72"/>
    </row>
    <row r="439" ht="14.25" customHeight="1">
      <c r="A439" s="73"/>
      <c r="B439" s="73"/>
      <c r="C439" s="73"/>
      <c r="D439" s="73"/>
      <c r="E439" s="73"/>
      <c r="F439" s="72"/>
    </row>
    <row r="440" ht="14.25" customHeight="1">
      <c r="A440" s="73"/>
      <c r="B440" s="73"/>
      <c r="C440" s="73"/>
      <c r="D440" s="73"/>
      <c r="E440" s="73"/>
      <c r="F440" s="72"/>
    </row>
    <row r="441" ht="14.25" customHeight="1">
      <c r="A441" s="73"/>
      <c r="B441" s="73"/>
      <c r="C441" s="73"/>
      <c r="D441" s="73"/>
      <c r="E441" s="73"/>
      <c r="F441" s="72"/>
    </row>
    <row r="442" ht="14.25" customHeight="1">
      <c r="A442" s="73"/>
      <c r="B442" s="73"/>
      <c r="C442" s="73"/>
      <c r="D442" s="73"/>
      <c r="E442" s="73"/>
      <c r="F442" s="72"/>
    </row>
    <row r="443" ht="14.25" customHeight="1">
      <c r="A443" s="73"/>
      <c r="B443" s="73"/>
      <c r="C443" s="73"/>
      <c r="D443" s="73"/>
      <c r="E443" s="73"/>
      <c r="F443" s="72"/>
    </row>
    <row r="444" ht="14.25" customHeight="1">
      <c r="A444" s="73"/>
      <c r="B444" s="73"/>
      <c r="C444" s="73"/>
      <c r="D444" s="73"/>
      <c r="E444" s="73"/>
      <c r="F444" s="72"/>
    </row>
    <row r="445" ht="14.25" customHeight="1">
      <c r="A445" s="73"/>
      <c r="B445" s="73"/>
      <c r="C445" s="73"/>
      <c r="D445" s="73"/>
      <c r="E445" s="73"/>
      <c r="F445" s="72"/>
    </row>
    <row r="446" ht="14.25" customHeight="1">
      <c r="A446" s="73"/>
      <c r="B446" s="73"/>
      <c r="C446" s="73"/>
      <c r="D446" s="73"/>
      <c r="E446" s="73"/>
      <c r="F446" s="72"/>
    </row>
    <row r="447" ht="14.25" customHeight="1">
      <c r="A447" s="73"/>
      <c r="B447" s="73"/>
      <c r="C447" s="73"/>
      <c r="D447" s="73"/>
      <c r="E447" s="73"/>
      <c r="F447" s="72"/>
    </row>
    <row r="448" ht="14.25" customHeight="1">
      <c r="A448" s="73"/>
      <c r="B448" s="73"/>
      <c r="C448" s="73"/>
      <c r="D448" s="73"/>
      <c r="E448" s="73"/>
      <c r="F448" s="72"/>
    </row>
    <row r="449" ht="14.25" customHeight="1">
      <c r="A449" s="73"/>
      <c r="B449" s="73"/>
      <c r="C449" s="73"/>
      <c r="D449" s="73"/>
      <c r="E449" s="73"/>
      <c r="F449" s="72"/>
    </row>
    <row r="450" ht="14.25" customHeight="1">
      <c r="A450" s="73"/>
      <c r="B450" s="73"/>
      <c r="C450" s="73"/>
      <c r="D450" s="73"/>
      <c r="E450" s="73"/>
      <c r="F450" s="72"/>
    </row>
    <row r="451" ht="14.25" customHeight="1">
      <c r="A451" s="73"/>
      <c r="B451" s="73"/>
      <c r="C451" s="73"/>
      <c r="D451" s="73"/>
      <c r="E451" s="73"/>
      <c r="F451" s="72"/>
    </row>
    <row r="452" ht="14.25" customHeight="1">
      <c r="A452" s="73"/>
      <c r="B452" s="73"/>
      <c r="C452" s="73"/>
      <c r="D452" s="73"/>
      <c r="E452" s="73"/>
      <c r="F452" s="72"/>
    </row>
    <row r="453" ht="14.25" customHeight="1">
      <c r="A453" s="73"/>
      <c r="B453" s="73"/>
      <c r="C453" s="73"/>
      <c r="D453" s="73"/>
      <c r="E453" s="73"/>
      <c r="F453" s="72"/>
    </row>
    <row r="454" ht="14.25" customHeight="1">
      <c r="A454" s="73"/>
      <c r="B454" s="73"/>
      <c r="C454" s="73"/>
      <c r="D454" s="73"/>
      <c r="E454" s="73"/>
      <c r="F454" s="72"/>
    </row>
    <row r="455" ht="14.25" customHeight="1">
      <c r="A455" s="73"/>
      <c r="B455" s="73"/>
      <c r="C455" s="73"/>
      <c r="D455" s="73"/>
      <c r="E455" s="73"/>
      <c r="F455" s="72"/>
    </row>
    <row r="456" ht="14.25" customHeight="1">
      <c r="A456" s="73"/>
      <c r="B456" s="73"/>
      <c r="C456" s="73"/>
      <c r="D456" s="73"/>
      <c r="E456" s="73"/>
      <c r="F456" s="72"/>
    </row>
    <row r="457" ht="14.25" customHeight="1">
      <c r="A457" s="73"/>
      <c r="B457" s="73"/>
      <c r="C457" s="73"/>
      <c r="D457" s="73"/>
      <c r="E457" s="73"/>
      <c r="F457" s="72"/>
    </row>
    <row r="458" ht="14.25" customHeight="1">
      <c r="A458" s="73"/>
      <c r="B458" s="73"/>
      <c r="C458" s="73"/>
      <c r="D458" s="73"/>
      <c r="E458" s="73"/>
      <c r="F458" s="72"/>
    </row>
    <row r="459" ht="14.25" customHeight="1">
      <c r="A459" s="73"/>
      <c r="B459" s="73"/>
      <c r="C459" s="73"/>
      <c r="D459" s="73"/>
      <c r="E459" s="73"/>
      <c r="F459" s="72"/>
    </row>
    <row r="460" ht="14.25" customHeight="1">
      <c r="A460" s="73"/>
      <c r="B460" s="73"/>
      <c r="C460" s="73"/>
      <c r="D460" s="73"/>
      <c r="E460" s="73"/>
      <c r="F460" s="72"/>
    </row>
    <row r="461" ht="14.25" customHeight="1">
      <c r="A461" s="73"/>
      <c r="B461" s="73"/>
      <c r="C461" s="73"/>
      <c r="D461" s="73"/>
      <c r="E461" s="73"/>
      <c r="F461" s="72"/>
    </row>
    <row r="462" ht="14.25" customHeight="1">
      <c r="A462" s="73"/>
      <c r="B462" s="73"/>
      <c r="C462" s="73"/>
      <c r="D462" s="73"/>
      <c r="E462" s="73"/>
      <c r="F462" s="72"/>
    </row>
    <row r="463" ht="14.25" customHeight="1">
      <c r="A463" s="73"/>
      <c r="B463" s="73"/>
      <c r="C463" s="73"/>
      <c r="D463" s="73"/>
      <c r="E463" s="73"/>
      <c r="F463" s="72"/>
    </row>
    <row r="464" ht="14.25" customHeight="1">
      <c r="A464" s="73"/>
      <c r="B464" s="73"/>
      <c r="C464" s="73"/>
      <c r="D464" s="73"/>
      <c r="E464" s="73"/>
      <c r="F464" s="72"/>
    </row>
    <row r="465" ht="14.25" customHeight="1">
      <c r="A465" s="73"/>
      <c r="B465" s="73"/>
      <c r="C465" s="73"/>
      <c r="D465" s="73"/>
      <c r="E465" s="73"/>
      <c r="F465" s="72"/>
    </row>
    <row r="466" ht="14.25" customHeight="1">
      <c r="A466" s="73"/>
      <c r="B466" s="73"/>
      <c r="C466" s="73"/>
      <c r="D466" s="73"/>
      <c r="E466" s="73"/>
      <c r="F466" s="72"/>
    </row>
    <row r="467" ht="14.25" customHeight="1">
      <c r="A467" s="73"/>
      <c r="B467" s="73"/>
      <c r="C467" s="73"/>
      <c r="D467" s="73"/>
      <c r="E467" s="73"/>
      <c r="F467" s="72"/>
    </row>
    <row r="468" ht="14.25" customHeight="1">
      <c r="A468" s="73"/>
      <c r="B468" s="73"/>
      <c r="C468" s="73"/>
      <c r="D468" s="73"/>
      <c r="E468" s="73"/>
      <c r="F468" s="72"/>
    </row>
    <row r="469" ht="14.25" customHeight="1">
      <c r="A469" s="73"/>
      <c r="B469" s="73"/>
      <c r="C469" s="73"/>
      <c r="D469" s="73"/>
      <c r="E469" s="73"/>
      <c r="F469" s="72"/>
    </row>
    <row r="470" ht="14.25" customHeight="1">
      <c r="A470" s="73"/>
      <c r="B470" s="73"/>
      <c r="C470" s="73"/>
      <c r="D470" s="73"/>
      <c r="E470" s="73"/>
      <c r="F470" s="72"/>
    </row>
    <row r="471" ht="14.25" customHeight="1">
      <c r="A471" s="73"/>
      <c r="B471" s="73"/>
      <c r="C471" s="73"/>
      <c r="D471" s="73"/>
      <c r="E471" s="73"/>
      <c r="F471" s="72"/>
    </row>
    <row r="472" ht="14.25" customHeight="1">
      <c r="A472" s="73"/>
      <c r="B472" s="73"/>
      <c r="C472" s="73"/>
      <c r="D472" s="73"/>
      <c r="E472" s="73"/>
      <c r="F472" s="72"/>
    </row>
    <row r="473" ht="14.25" customHeight="1">
      <c r="A473" s="73"/>
      <c r="B473" s="73"/>
      <c r="C473" s="73"/>
      <c r="D473" s="73"/>
      <c r="E473" s="73"/>
      <c r="F473" s="72"/>
    </row>
    <row r="474" ht="14.25" customHeight="1">
      <c r="A474" s="73"/>
      <c r="B474" s="73"/>
      <c r="C474" s="73"/>
      <c r="D474" s="73"/>
      <c r="E474" s="73"/>
      <c r="F474" s="72"/>
    </row>
    <row r="475" ht="14.25" customHeight="1">
      <c r="A475" s="73"/>
      <c r="B475" s="73"/>
      <c r="C475" s="73"/>
      <c r="D475" s="73"/>
      <c r="E475" s="73"/>
      <c r="F475" s="72"/>
    </row>
    <row r="476" ht="14.25" customHeight="1">
      <c r="A476" s="73"/>
      <c r="B476" s="73"/>
      <c r="C476" s="73"/>
      <c r="D476" s="73"/>
      <c r="E476" s="73"/>
      <c r="F476" s="72"/>
    </row>
    <row r="477" ht="14.25" customHeight="1">
      <c r="A477" s="73"/>
      <c r="B477" s="73"/>
      <c r="C477" s="73"/>
      <c r="D477" s="73"/>
      <c r="E477" s="73"/>
      <c r="F477" s="72"/>
    </row>
    <row r="478" ht="14.25" customHeight="1">
      <c r="A478" s="73"/>
      <c r="B478" s="73"/>
      <c r="C478" s="73"/>
      <c r="D478" s="73"/>
      <c r="E478" s="73"/>
      <c r="F478" s="72"/>
    </row>
    <row r="479" ht="14.25" customHeight="1">
      <c r="A479" s="73"/>
      <c r="B479" s="73"/>
      <c r="C479" s="73"/>
      <c r="D479" s="73"/>
      <c r="E479" s="73"/>
      <c r="F479" s="72"/>
    </row>
    <row r="480" ht="14.25" customHeight="1">
      <c r="A480" s="73"/>
      <c r="B480" s="73"/>
      <c r="C480" s="73"/>
      <c r="D480" s="73"/>
      <c r="E480" s="73"/>
      <c r="F480" s="72"/>
    </row>
    <row r="481" ht="14.25" customHeight="1">
      <c r="A481" s="73"/>
      <c r="B481" s="73"/>
      <c r="C481" s="73"/>
      <c r="D481" s="73"/>
      <c r="E481" s="73"/>
      <c r="F481" s="72"/>
    </row>
    <row r="482" ht="14.25" customHeight="1">
      <c r="A482" s="73"/>
      <c r="B482" s="73"/>
      <c r="C482" s="73"/>
      <c r="D482" s="73"/>
      <c r="E482" s="73"/>
      <c r="F482" s="72"/>
    </row>
    <row r="483" ht="14.25" customHeight="1">
      <c r="A483" s="73"/>
      <c r="B483" s="73"/>
      <c r="C483" s="73"/>
      <c r="D483" s="73"/>
      <c r="E483" s="73"/>
      <c r="F483" s="72"/>
    </row>
    <row r="484" ht="14.25" customHeight="1">
      <c r="A484" s="73"/>
      <c r="B484" s="73"/>
      <c r="C484" s="73"/>
      <c r="D484" s="73"/>
      <c r="E484" s="73"/>
      <c r="F484" s="72"/>
    </row>
    <row r="485" ht="14.25" customHeight="1">
      <c r="A485" s="73"/>
      <c r="B485" s="73"/>
      <c r="C485" s="73"/>
      <c r="D485" s="73"/>
      <c r="E485" s="73"/>
      <c r="F485" s="72"/>
    </row>
    <row r="486" ht="14.25" customHeight="1">
      <c r="A486" s="73"/>
      <c r="B486" s="73"/>
      <c r="C486" s="73"/>
      <c r="D486" s="73"/>
      <c r="E486" s="73"/>
      <c r="F486" s="72"/>
    </row>
    <row r="487" ht="14.25" customHeight="1">
      <c r="A487" s="73"/>
      <c r="B487" s="73"/>
      <c r="C487" s="73"/>
      <c r="D487" s="73"/>
      <c r="E487" s="73"/>
      <c r="F487" s="72"/>
    </row>
    <row r="488" ht="14.25" customHeight="1">
      <c r="A488" s="73"/>
      <c r="B488" s="73"/>
      <c r="C488" s="73"/>
      <c r="D488" s="73"/>
      <c r="E488" s="73"/>
      <c r="F488" s="72"/>
    </row>
    <row r="489" ht="14.25" customHeight="1">
      <c r="A489" s="73"/>
      <c r="B489" s="73"/>
      <c r="C489" s="73"/>
      <c r="D489" s="73"/>
      <c r="E489" s="73"/>
      <c r="F489" s="72"/>
    </row>
    <row r="490" ht="14.25" customHeight="1">
      <c r="A490" s="73"/>
      <c r="B490" s="73"/>
      <c r="C490" s="73"/>
      <c r="D490" s="73"/>
      <c r="E490" s="73"/>
      <c r="F490" s="72"/>
    </row>
    <row r="491" ht="14.25" customHeight="1">
      <c r="A491" s="73"/>
      <c r="B491" s="73"/>
      <c r="C491" s="73"/>
      <c r="D491" s="73"/>
      <c r="E491" s="73"/>
      <c r="F491" s="72"/>
    </row>
    <row r="492" ht="14.25" customHeight="1">
      <c r="A492" s="73"/>
      <c r="B492" s="73"/>
      <c r="C492" s="73"/>
      <c r="D492" s="73"/>
      <c r="E492" s="73"/>
      <c r="F492" s="72"/>
    </row>
    <row r="493" ht="14.25" customHeight="1">
      <c r="A493" s="73"/>
      <c r="B493" s="73"/>
      <c r="C493" s="73"/>
      <c r="D493" s="73"/>
      <c r="E493" s="73"/>
      <c r="F493" s="72"/>
    </row>
    <row r="494" ht="14.25" customHeight="1">
      <c r="A494" s="73"/>
      <c r="B494" s="73"/>
      <c r="C494" s="73"/>
      <c r="D494" s="73"/>
      <c r="E494" s="73"/>
      <c r="F494" s="72"/>
    </row>
    <row r="495" ht="14.25" customHeight="1">
      <c r="A495" s="73"/>
      <c r="B495" s="73"/>
      <c r="C495" s="73"/>
      <c r="D495" s="73"/>
      <c r="E495" s="73"/>
      <c r="F495" s="72"/>
    </row>
    <row r="496" ht="14.25" customHeight="1">
      <c r="A496" s="73"/>
      <c r="B496" s="73"/>
      <c r="C496" s="73"/>
      <c r="D496" s="73"/>
      <c r="E496" s="73"/>
      <c r="F496" s="72"/>
    </row>
    <row r="497" ht="14.25" customHeight="1">
      <c r="A497" s="73"/>
      <c r="B497" s="73"/>
      <c r="C497" s="73"/>
      <c r="D497" s="73"/>
      <c r="E497" s="73"/>
      <c r="F497" s="72"/>
    </row>
    <row r="498" ht="14.25" customHeight="1">
      <c r="A498" s="73"/>
      <c r="B498" s="73"/>
      <c r="C498" s="73"/>
      <c r="D498" s="73"/>
      <c r="E498" s="73"/>
      <c r="F498" s="72"/>
    </row>
    <row r="499" ht="14.25" customHeight="1">
      <c r="A499" s="73"/>
      <c r="B499" s="73"/>
      <c r="C499" s="73"/>
      <c r="D499" s="73"/>
      <c r="E499" s="73"/>
      <c r="F499" s="72"/>
    </row>
    <row r="500" ht="14.25" customHeight="1">
      <c r="A500" s="73"/>
      <c r="B500" s="73"/>
      <c r="C500" s="73"/>
      <c r="D500" s="73"/>
      <c r="E500" s="73"/>
      <c r="F500" s="72"/>
    </row>
    <row r="501" ht="14.25" customHeight="1">
      <c r="A501" s="73"/>
      <c r="B501" s="73"/>
      <c r="C501" s="73"/>
      <c r="D501" s="73"/>
      <c r="E501" s="73"/>
      <c r="F501" s="72"/>
    </row>
    <row r="502" ht="14.25" customHeight="1">
      <c r="A502" s="73"/>
      <c r="B502" s="73"/>
      <c r="C502" s="73"/>
      <c r="D502" s="73"/>
      <c r="E502" s="73"/>
      <c r="F502" s="72"/>
    </row>
    <row r="503" ht="14.25" customHeight="1">
      <c r="A503" s="73"/>
      <c r="B503" s="73"/>
      <c r="C503" s="73"/>
      <c r="D503" s="73"/>
      <c r="E503" s="73"/>
      <c r="F503" s="72"/>
    </row>
    <row r="504" ht="14.25" customHeight="1">
      <c r="A504" s="73"/>
      <c r="B504" s="73"/>
      <c r="C504" s="73"/>
      <c r="D504" s="73"/>
      <c r="E504" s="73"/>
      <c r="F504" s="72"/>
    </row>
    <row r="505" ht="14.25" customHeight="1">
      <c r="A505" s="73"/>
      <c r="B505" s="73"/>
      <c r="C505" s="73"/>
      <c r="D505" s="73"/>
      <c r="E505" s="73"/>
      <c r="F505" s="72"/>
    </row>
    <row r="506" ht="14.25" customHeight="1">
      <c r="A506" s="73"/>
      <c r="B506" s="73"/>
      <c r="C506" s="73"/>
      <c r="D506" s="73"/>
      <c r="E506" s="73"/>
      <c r="F506" s="72"/>
    </row>
    <row r="507" ht="14.25" customHeight="1">
      <c r="A507" s="73"/>
      <c r="B507" s="73"/>
      <c r="C507" s="73"/>
      <c r="D507" s="73"/>
      <c r="E507" s="73"/>
      <c r="F507" s="72"/>
    </row>
    <row r="508" ht="14.25" customHeight="1">
      <c r="A508" s="73"/>
      <c r="B508" s="73"/>
      <c r="C508" s="73"/>
      <c r="D508" s="73"/>
      <c r="E508" s="73"/>
      <c r="F508" s="72"/>
    </row>
    <row r="509" ht="14.25" customHeight="1">
      <c r="A509" s="73"/>
      <c r="B509" s="73"/>
      <c r="C509" s="73"/>
      <c r="D509" s="73"/>
      <c r="E509" s="73"/>
      <c r="F509" s="72"/>
    </row>
    <row r="510" ht="14.25" customHeight="1">
      <c r="A510" s="73"/>
      <c r="B510" s="73"/>
      <c r="C510" s="73"/>
      <c r="D510" s="73"/>
      <c r="E510" s="73"/>
      <c r="F510" s="72"/>
    </row>
    <row r="511" ht="14.25" customHeight="1">
      <c r="A511" s="73"/>
      <c r="B511" s="73"/>
      <c r="C511" s="73"/>
      <c r="D511" s="73"/>
      <c r="E511" s="73"/>
      <c r="F511" s="72"/>
    </row>
    <row r="512" ht="14.25" customHeight="1">
      <c r="A512" s="73"/>
      <c r="B512" s="73"/>
      <c r="C512" s="73"/>
      <c r="D512" s="73"/>
      <c r="E512" s="73"/>
      <c r="F512" s="72"/>
    </row>
    <row r="513" ht="14.25" customHeight="1">
      <c r="A513" s="73"/>
      <c r="B513" s="73"/>
      <c r="C513" s="73"/>
      <c r="D513" s="73"/>
      <c r="E513" s="73"/>
      <c r="F513" s="72"/>
    </row>
    <row r="514" ht="14.25" customHeight="1">
      <c r="A514" s="73"/>
      <c r="B514" s="73"/>
      <c r="C514" s="73"/>
      <c r="D514" s="73"/>
      <c r="E514" s="73"/>
      <c r="F514" s="72"/>
    </row>
    <row r="515" ht="14.25" customHeight="1">
      <c r="A515" s="73"/>
      <c r="B515" s="73"/>
      <c r="C515" s="73"/>
      <c r="D515" s="73"/>
      <c r="E515" s="73"/>
      <c r="F515" s="72"/>
    </row>
    <row r="516" ht="14.25" customHeight="1">
      <c r="A516" s="73"/>
      <c r="B516" s="73"/>
      <c r="C516" s="73"/>
      <c r="D516" s="73"/>
      <c r="E516" s="73"/>
      <c r="F516" s="72"/>
    </row>
    <row r="517" ht="14.25" customHeight="1">
      <c r="A517" s="73"/>
      <c r="B517" s="73"/>
      <c r="C517" s="73"/>
      <c r="D517" s="73"/>
      <c r="E517" s="73"/>
      <c r="F517" s="72"/>
    </row>
    <row r="518" ht="14.25" customHeight="1">
      <c r="A518" s="73"/>
      <c r="B518" s="73"/>
      <c r="C518" s="73"/>
      <c r="D518" s="73"/>
      <c r="E518" s="73"/>
      <c r="F518" s="72"/>
    </row>
    <row r="519" ht="14.25" customHeight="1">
      <c r="A519" s="73"/>
      <c r="B519" s="73"/>
      <c r="C519" s="73"/>
      <c r="D519" s="73"/>
      <c r="E519" s="73"/>
      <c r="F519" s="72"/>
    </row>
    <row r="520" ht="14.25" customHeight="1">
      <c r="A520" s="73"/>
      <c r="B520" s="73"/>
      <c r="C520" s="73"/>
      <c r="D520" s="73"/>
      <c r="E520" s="73"/>
      <c r="F520" s="72"/>
    </row>
    <row r="521" ht="14.25" customHeight="1">
      <c r="A521" s="73"/>
      <c r="B521" s="73"/>
      <c r="C521" s="73"/>
      <c r="D521" s="73"/>
      <c r="E521" s="73"/>
      <c r="F521" s="72"/>
    </row>
    <row r="522" ht="14.25" customHeight="1">
      <c r="A522" s="73"/>
      <c r="B522" s="73"/>
      <c r="C522" s="73"/>
      <c r="D522" s="73"/>
      <c r="E522" s="73"/>
      <c r="F522" s="72"/>
    </row>
    <row r="523" ht="14.25" customHeight="1">
      <c r="A523" s="73"/>
      <c r="B523" s="73"/>
      <c r="C523" s="73"/>
      <c r="D523" s="73"/>
      <c r="E523" s="73"/>
      <c r="F523" s="72"/>
    </row>
    <row r="524" ht="14.25" customHeight="1">
      <c r="A524" s="73"/>
      <c r="B524" s="73"/>
      <c r="C524" s="73"/>
      <c r="D524" s="73"/>
      <c r="E524" s="73"/>
      <c r="F524" s="72"/>
    </row>
    <row r="525" ht="14.25" customHeight="1">
      <c r="A525" s="73"/>
      <c r="B525" s="73"/>
      <c r="C525" s="73"/>
      <c r="D525" s="73"/>
      <c r="E525" s="73"/>
      <c r="F525" s="72"/>
    </row>
    <row r="526" ht="14.25" customHeight="1">
      <c r="A526" s="73"/>
      <c r="B526" s="73"/>
      <c r="C526" s="73"/>
      <c r="D526" s="73"/>
      <c r="E526" s="73"/>
      <c r="F526" s="72"/>
    </row>
    <row r="527" ht="14.25" customHeight="1">
      <c r="A527" s="73"/>
      <c r="B527" s="73"/>
      <c r="C527" s="73"/>
      <c r="D527" s="73"/>
      <c r="E527" s="73"/>
      <c r="F527" s="72"/>
    </row>
    <row r="528" ht="14.25" customHeight="1">
      <c r="A528" s="73"/>
      <c r="B528" s="73"/>
      <c r="C528" s="73"/>
      <c r="D528" s="73"/>
      <c r="E528" s="73"/>
      <c r="F528" s="72"/>
    </row>
    <row r="529" ht="14.25" customHeight="1">
      <c r="A529" s="73"/>
      <c r="B529" s="73"/>
      <c r="C529" s="73"/>
      <c r="D529" s="73"/>
      <c r="E529" s="73"/>
      <c r="F529" s="72"/>
    </row>
    <row r="530" ht="14.25" customHeight="1">
      <c r="A530" s="73"/>
      <c r="B530" s="73"/>
      <c r="C530" s="73"/>
      <c r="D530" s="73"/>
      <c r="E530" s="73"/>
      <c r="F530" s="72"/>
    </row>
    <row r="531" ht="14.25" customHeight="1">
      <c r="A531" s="73"/>
      <c r="B531" s="73"/>
      <c r="C531" s="73"/>
      <c r="D531" s="73"/>
      <c r="E531" s="73"/>
      <c r="F531" s="72"/>
    </row>
    <row r="532" ht="14.25" customHeight="1">
      <c r="A532" s="73"/>
      <c r="B532" s="73"/>
      <c r="C532" s="73"/>
      <c r="D532" s="73"/>
      <c r="E532" s="73"/>
      <c r="F532" s="72"/>
    </row>
    <row r="533" ht="14.25" customHeight="1">
      <c r="A533" s="73"/>
      <c r="B533" s="73"/>
      <c r="C533" s="73"/>
      <c r="D533" s="73"/>
      <c r="E533" s="73"/>
      <c r="F533" s="72"/>
    </row>
    <row r="534" ht="14.25" customHeight="1">
      <c r="A534" s="73"/>
      <c r="B534" s="73"/>
      <c r="C534" s="73"/>
      <c r="D534" s="73"/>
      <c r="E534" s="73"/>
      <c r="F534" s="72"/>
    </row>
    <row r="535" ht="14.25" customHeight="1">
      <c r="A535" s="73"/>
      <c r="B535" s="73"/>
      <c r="C535" s="73"/>
      <c r="D535" s="73"/>
      <c r="E535" s="73"/>
      <c r="F535" s="72"/>
    </row>
    <row r="536" ht="14.25" customHeight="1">
      <c r="A536" s="73"/>
      <c r="B536" s="73"/>
      <c r="C536" s="73"/>
      <c r="D536" s="73"/>
      <c r="E536" s="73"/>
      <c r="F536" s="72"/>
    </row>
    <row r="537" ht="14.25" customHeight="1">
      <c r="A537" s="73"/>
      <c r="B537" s="73"/>
      <c r="C537" s="73"/>
      <c r="D537" s="73"/>
      <c r="E537" s="73"/>
      <c r="F537" s="72"/>
    </row>
    <row r="538" ht="14.25" customHeight="1">
      <c r="A538" s="73"/>
      <c r="B538" s="73"/>
      <c r="C538" s="73"/>
      <c r="D538" s="73"/>
      <c r="E538" s="73"/>
      <c r="F538" s="72"/>
    </row>
    <row r="539" ht="14.25" customHeight="1">
      <c r="A539" s="73"/>
      <c r="B539" s="73"/>
      <c r="C539" s="73"/>
      <c r="D539" s="73"/>
      <c r="E539" s="73"/>
      <c r="F539" s="72"/>
    </row>
    <row r="540" ht="14.25" customHeight="1">
      <c r="A540" s="73"/>
      <c r="B540" s="73"/>
      <c r="C540" s="73"/>
      <c r="D540" s="73"/>
      <c r="E540" s="73"/>
      <c r="F540" s="72"/>
    </row>
    <row r="541" ht="14.25" customHeight="1">
      <c r="A541" s="73"/>
      <c r="B541" s="73"/>
      <c r="C541" s="73"/>
      <c r="D541" s="73"/>
      <c r="E541" s="73"/>
      <c r="F541" s="72"/>
    </row>
    <row r="542" ht="14.25" customHeight="1">
      <c r="A542" s="73"/>
      <c r="B542" s="73"/>
      <c r="C542" s="73"/>
      <c r="D542" s="73"/>
      <c r="E542" s="73"/>
      <c r="F542" s="72"/>
    </row>
    <row r="543" ht="14.25" customHeight="1">
      <c r="A543" s="73"/>
      <c r="B543" s="73"/>
      <c r="C543" s="73"/>
      <c r="D543" s="73"/>
      <c r="E543" s="73"/>
      <c r="F543" s="72"/>
    </row>
    <row r="544" ht="14.25" customHeight="1">
      <c r="A544" s="73"/>
      <c r="B544" s="73"/>
      <c r="C544" s="73"/>
      <c r="D544" s="73"/>
      <c r="E544" s="73"/>
      <c r="F544" s="72"/>
    </row>
    <row r="545" ht="14.25" customHeight="1">
      <c r="A545" s="73"/>
      <c r="B545" s="73"/>
      <c r="C545" s="73"/>
      <c r="D545" s="73"/>
      <c r="E545" s="73"/>
      <c r="F545" s="72"/>
    </row>
    <row r="546" ht="14.25" customHeight="1">
      <c r="A546" s="73"/>
      <c r="B546" s="73"/>
      <c r="C546" s="73"/>
      <c r="D546" s="73"/>
      <c r="E546" s="73"/>
      <c r="F546" s="72"/>
    </row>
    <row r="547" ht="14.25" customHeight="1">
      <c r="A547" s="73"/>
      <c r="B547" s="73"/>
      <c r="C547" s="73"/>
      <c r="D547" s="73"/>
      <c r="E547" s="73"/>
      <c r="F547" s="72"/>
    </row>
    <row r="548" ht="14.25" customHeight="1">
      <c r="A548" s="73"/>
      <c r="B548" s="73"/>
      <c r="C548" s="73"/>
      <c r="D548" s="73"/>
      <c r="E548" s="73"/>
      <c r="F548" s="72"/>
    </row>
    <row r="549" ht="14.25" customHeight="1">
      <c r="A549" s="73"/>
      <c r="B549" s="73"/>
      <c r="C549" s="73"/>
      <c r="D549" s="73"/>
      <c r="E549" s="73"/>
      <c r="F549" s="72"/>
    </row>
    <row r="550" ht="14.25" customHeight="1">
      <c r="A550" s="73"/>
      <c r="B550" s="73"/>
      <c r="C550" s="73"/>
      <c r="D550" s="73"/>
      <c r="E550" s="73"/>
      <c r="F550" s="72"/>
    </row>
    <row r="551" ht="14.25" customHeight="1">
      <c r="A551" s="73"/>
      <c r="B551" s="73"/>
      <c r="C551" s="73"/>
      <c r="D551" s="73"/>
      <c r="E551" s="73"/>
      <c r="F551" s="72"/>
    </row>
    <row r="552" ht="14.25" customHeight="1">
      <c r="A552" s="73"/>
      <c r="B552" s="73"/>
      <c r="C552" s="73"/>
      <c r="D552" s="73"/>
      <c r="E552" s="73"/>
      <c r="F552" s="72"/>
    </row>
    <row r="553" ht="14.25" customHeight="1">
      <c r="A553" s="73"/>
      <c r="B553" s="73"/>
      <c r="C553" s="73"/>
      <c r="D553" s="73"/>
      <c r="E553" s="73"/>
      <c r="F553" s="72"/>
    </row>
    <row r="554" ht="14.25" customHeight="1">
      <c r="A554" s="73"/>
      <c r="B554" s="73"/>
      <c r="C554" s="73"/>
      <c r="D554" s="73"/>
      <c r="E554" s="73"/>
      <c r="F554" s="72"/>
    </row>
    <row r="555" ht="14.25" customHeight="1">
      <c r="A555" s="73"/>
      <c r="B555" s="73"/>
      <c r="C555" s="73"/>
      <c r="D555" s="73"/>
      <c r="E555" s="73"/>
      <c r="F555" s="72"/>
    </row>
    <row r="556" ht="14.25" customHeight="1">
      <c r="A556" s="73"/>
      <c r="B556" s="73"/>
      <c r="C556" s="73"/>
      <c r="D556" s="73"/>
      <c r="E556" s="73"/>
      <c r="F556" s="72"/>
    </row>
    <row r="557" ht="14.25" customHeight="1">
      <c r="A557" s="73"/>
      <c r="B557" s="73"/>
      <c r="C557" s="73"/>
      <c r="D557" s="73"/>
      <c r="E557" s="73"/>
      <c r="F557" s="72"/>
    </row>
    <row r="558" ht="14.25" customHeight="1">
      <c r="A558" s="73"/>
      <c r="B558" s="73"/>
      <c r="C558" s="73"/>
      <c r="D558" s="73"/>
      <c r="E558" s="73"/>
      <c r="F558" s="72"/>
    </row>
    <row r="559" ht="14.25" customHeight="1">
      <c r="A559" s="73"/>
      <c r="B559" s="73"/>
      <c r="C559" s="73"/>
      <c r="D559" s="73"/>
      <c r="E559" s="73"/>
      <c r="F559" s="72"/>
    </row>
    <row r="560" ht="14.25" customHeight="1">
      <c r="A560" s="73"/>
      <c r="B560" s="73"/>
      <c r="C560" s="73"/>
      <c r="D560" s="73"/>
      <c r="E560" s="73"/>
      <c r="F560" s="72"/>
    </row>
    <row r="561" ht="14.25" customHeight="1">
      <c r="A561" s="73"/>
      <c r="B561" s="73"/>
      <c r="C561" s="73"/>
      <c r="D561" s="73"/>
      <c r="E561" s="73"/>
      <c r="F561" s="72"/>
    </row>
    <row r="562" ht="14.25" customHeight="1">
      <c r="A562" s="73"/>
      <c r="B562" s="73"/>
      <c r="C562" s="73"/>
      <c r="D562" s="73"/>
      <c r="E562" s="73"/>
      <c r="F562" s="72"/>
    </row>
    <row r="563" ht="14.25" customHeight="1">
      <c r="A563" s="73"/>
      <c r="B563" s="73"/>
      <c r="C563" s="73"/>
      <c r="D563" s="73"/>
      <c r="E563" s="73"/>
      <c r="F563" s="72"/>
    </row>
    <row r="564" ht="14.25" customHeight="1">
      <c r="A564" s="73"/>
      <c r="B564" s="73"/>
      <c r="C564" s="73"/>
      <c r="D564" s="73"/>
      <c r="E564" s="73"/>
      <c r="F564" s="72"/>
    </row>
    <row r="565" ht="14.25" customHeight="1">
      <c r="A565" s="73"/>
      <c r="B565" s="73"/>
      <c r="C565" s="73"/>
      <c r="D565" s="73"/>
      <c r="E565" s="73"/>
      <c r="F565" s="72"/>
    </row>
    <row r="566" ht="14.25" customHeight="1">
      <c r="A566" s="73"/>
      <c r="B566" s="73"/>
      <c r="C566" s="73"/>
      <c r="D566" s="73"/>
      <c r="E566" s="73"/>
      <c r="F566" s="72"/>
    </row>
    <row r="567" ht="14.25" customHeight="1">
      <c r="A567" s="73"/>
      <c r="B567" s="73"/>
      <c r="C567" s="73"/>
      <c r="D567" s="73"/>
      <c r="E567" s="73"/>
      <c r="F567" s="72"/>
    </row>
    <row r="568" ht="14.25" customHeight="1">
      <c r="A568" s="73"/>
      <c r="B568" s="73"/>
      <c r="C568" s="73"/>
      <c r="D568" s="73"/>
      <c r="E568" s="73"/>
      <c r="F568" s="72"/>
    </row>
    <row r="569" ht="14.25" customHeight="1">
      <c r="A569" s="73"/>
      <c r="B569" s="73"/>
      <c r="C569" s="73"/>
      <c r="D569" s="73"/>
      <c r="E569" s="73"/>
      <c r="F569" s="72"/>
    </row>
    <row r="570" ht="14.25" customHeight="1">
      <c r="A570" s="73"/>
      <c r="B570" s="73"/>
      <c r="C570" s="73"/>
      <c r="D570" s="73"/>
      <c r="E570" s="73"/>
      <c r="F570" s="72"/>
    </row>
    <row r="571" ht="14.25" customHeight="1">
      <c r="A571" s="73"/>
      <c r="B571" s="73"/>
      <c r="C571" s="73"/>
      <c r="D571" s="73"/>
      <c r="E571" s="73"/>
      <c r="F571" s="72"/>
    </row>
    <row r="572" ht="14.25" customHeight="1">
      <c r="A572" s="73"/>
      <c r="B572" s="73"/>
      <c r="C572" s="73"/>
      <c r="D572" s="73"/>
      <c r="E572" s="73"/>
      <c r="F572" s="72"/>
    </row>
    <row r="573" ht="14.25" customHeight="1">
      <c r="A573" s="73"/>
      <c r="B573" s="73"/>
      <c r="C573" s="73"/>
      <c r="D573" s="73"/>
      <c r="E573" s="73"/>
      <c r="F573" s="72"/>
    </row>
    <row r="574" ht="14.25" customHeight="1">
      <c r="A574" s="73"/>
      <c r="B574" s="73"/>
      <c r="C574" s="73"/>
      <c r="D574" s="73"/>
      <c r="E574" s="73"/>
      <c r="F574" s="72"/>
    </row>
    <row r="575" ht="14.25" customHeight="1">
      <c r="A575" s="73"/>
      <c r="B575" s="73"/>
      <c r="C575" s="73"/>
      <c r="D575" s="73"/>
      <c r="E575" s="73"/>
      <c r="F575" s="72"/>
    </row>
    <row r="576" ht="14.25" customHeight="1">
      <c r="A576" s="73"/>
      <c r="B576" s="73"/>
      <c r="C576" s="73"/>
      <c r="D576" s="73"/>
      <c r="E576" s="73"/>
      <c r="F576" s="72"/>
    </row>
    <row r="577" ht="14.25" customHeight="1">
      <c r="A577" s="73"/>
      <c r="B577" s="73"/>
      <c r="C577" s="73"/>
      <c r="D577" s="73"/>
      <c r="E577" s="73"/>
      <c r="F577" s="72"/>
    </row>
    <row r="578" ht="14.25" customHeight="1">
      <c r="A578" s="73"/>
      <c r="B578" s="73"/>
      <c r="C578" s="73"/>
      <c r="D578" s="73"/>
      <c r="E578" s="73"/>
      <c r="F578" s="72"/>
    </row>
    <row r="579" ht="14.25" customHeight="1">
      <c r="A579" s="73"/>
      <c r="B579" s="73"/>
      <c r="C579" s="73"/>
      <c r="D579" s="73"/>
      <c r="E579" s="73"/>
      <c r="F579" s="72"/>
    </row>
    <row r="580" ht="14.25" customHeight="1">
      <c r="A580" s="73"/>
      <c r="B580" s="73"/>
      <c r="C580" s="73"/>
      <c r="D580" s="73"/>
      <c r="E580" s="73"/>
      <c r="F580" s="72"/>
    </row>
    <row r="581" ht="14.25" customHeight="1">
      <c r="A581" s="73"/>
      <c r="B581" s="73"/>
      <c r="C581" s="73"/>
      <c r="D581" s="73"/>
      <c r="E581" s="73"/>
      <c r="F581" s="72"/>
    </row>
    <row r="582" ht="14.25" customHeight="1">
      <c r="A582" s="73"/>
      <c r="B582" s="73"/>
      <c r="C582" s="73"/>
      <c r="D582" s="73"/>
      <c r="E582" s="73"/>
      <c r="F582" s="72"/>
    </row>
    <row r="583" ht="14.25" customHeight="1">
      <c r="A583" s="73"/>
      <c r="B583" s="73"/>
      <c r="C583" s="73"/>
      <c r="D583" s="73"/>
      <c r="E583" s="73"/>
      <c r="F583" s="72"/>
    </row>
    <row r="584" ht="14.25" customHeight="1">
      <c r="A584" s="73"/>
      <c r="B584" s="73"/>
      <c r="C584" s="73"/>
      <c r="D584" s="73"/>
      <c r="E584" s="73"/>
      <c r="F584" s="72"/>
    </row>
    <row r="585" ht="14.25" customHeight="1">
      <c r="A585" s="73"/>
      <c r="B585" s="73"/>
      <c r="C585" s="73"/>
      <c r="D585" s="73"/>
      <c r="E585" s="73"/>
      <c r="F585" s="72"/>
    </row>
    <row r="586" ht="14.25" customHeight="1">
      <c r="A586" s="73"/>
      <c r="B586" s="73"/>
      <c r="C586" s="73"/>
      <c r="D586" s="73"/>
      <c r="E586" s="73"/>
      <c r="F586" s="72"/>
    </row>
    <row r="587" ht="14.25" customHeight="1">
      <c r="A587" s="73"/>
      <c r="B587" s="73"/>
      <c r="C587" s="73"/>
      <c r="D587" s="73"/>
      <c r="E587" s="73"/>
      <c r="F587" s="72"/>
    </row>
    <row r="588" ht="14.25" customHeight="1">
      <c r="A588" s="73"/>
      <c r="B588" s="73"/>
      <c r="C588" s="73"/>
      <c r="D588" s="73"/>
      <c r="E588" s="73"/>
      <c r="F588" s="72"/>
    </row>
    <row r="589" ht="14.25" customHeight="1">
      <c r="A589" s="73"/>
      <c r="B589" s="73"/>
      <c r="C589" s="73"/>
      <c r="D589" s="73"/>
      <c r="E589" s="73"/>
      <c r="F589" s="72"/>
    </row>
    <row r="590" ht="14.25" customHeight="1">
      <c r="A590" s="73"/>
      <c r="B590" s="73"/>
      <c r="C590" s="73"/>
      <c r="D590" s="73"/>
      <c r="E590" s="73"/>
      <c r="F590" s="72"/>
    </row>
    <row r="591" ht="14.25" customHeight="1">
      <c r="A591" s="73"/>
      <c r="B591" s="73"/>
      <c r="C591" s="73"/>
      <c r="D591" s="73"/>
      <c r="E591" s="73"/>
      <c r="F591" s="72"/>
    </row>
    <row r="592" ht="14.25" customHeight="1">
      <c r="A592" s="73"/>
      <c r="B592" s="73"/>
      <c r="C592" s="73"/>
      <c r="D592" s="73"/>
      <c r="E592" s="73"/>
      <c r="F592" s="72"/>
    </row>
    <row r="593" ht="14.25" customHeight="1">
      <c r="A593" s="73"/>
      <c r="B593" s="73"/>
      <c r="C593" s="73"/>
      <c r="D593" s="73"/>
      <c r="E593" s="73"/>
      <c r="F593" s="72"/>
    </row>
    <row r="594" ht="14.25" customHeight="1">
      <c r="A594" s="73"/>
      <c r="B594" s="73"/>
      <c r="C594" s="73"/>
      <c r="D594" s="73"/>
      <c r="E594" s="73"/>
      <c r="F594" s="72"/>
    </row>
    <row r="595" ht="14.25" customHeight="1">
      <c r="A595" s="73"/>
      <c r="B595" s="73"/>
      <c r="C595" s="73"/>
      <c r="D595" s="73"/>
      <c r="E595" s="73"/>
      <c r="F595" s="72"/>
    </row>
    <row r="596" ht="14.25" customHeight="1">
      <c r="A596" s="73"/>
      <c r="B596" s="73"/>
      <c r="C596" s="73"/>
      <c r="D596" s="73"/>
      <c r="E596" s="73"/>
      <c r="F596" s="72"/>
    </row>
    <row r="597" ht="14.25" customHeight="1">
      <c r="A597" s="73"/>
      <c r="B597" s="73"/>
      <c r="C597" s="73"/>
      <c r="D597" s="73"/>
      <c r="E597" s="73"/>
      <c r="F597" s="72"/>
    </row>
    <row r="598" ht="14.25" customHeight="1">
      <c r="A598" s="73"/>
      <c r="B598" s="73"/>
      <c r="C598" s="73"/>
      <c r="D598" s="73"/>
      <c r="E598" s="73"/>
      <c r="F598" s="72"/>
    </row>
    <row r="599" ht="14.25" customHeight="1">
      <c r="A599" s="73"/>
      <c r="B599" s="73"/>
      <c r="C599" s="73"/>
      <c r="D599" s="73"/>
      <c r="E599" s="73"/>
      <c r="F599" s="72"/>
    </row>
    <row r="600" ht="14.25" customHeight="1">
      <c r="A600" s="73"/>
      <c r="B600" s="73"/>
      <c r="C600" s="73"/>
      <c r="D600" s="73"/>
      <c r="E600" s="73"/>
      <c r="F600" s="72"/>
    </row>
    <row r="601" ht="14.25" customHeight="1">
      <c r="A601" s="73"/>
      <c r="B601" s="73"/>
      <c r="C601" s="73"/>
      <c r="D601" s="73"/>
      <c r="E601" s="73"/>
      <c r="F601" s="72"/>
    </row>
    <row r="602" ht="14.25" customHeight="1">
      <c r="A602" s="73"/>
      <c r="B602" s="73"/>
      <c r="C602" s="73"/>
      <c r="D602" s="73"/>
      <c r="E602" s="73"/>
      <c r="F602" s="72"/>
    </row>
    <row r="603" ht="14.25" customHeight="1">
      <c r="A603" s="73"/>
      <c r="B603" s="73"/>
      <c r="C603" s="73"/>
      <c r="D603" s="73"/>
      <c r="E603" s="73"/>
      <c r="F603" s="72"/>
    </row>
    <row r="604" ht="14.25" customHeight="1">
      <c r="A604" s="73"/>
      <c r="B604" s="73"/>
      <c r="C604" s="73"/>
      <c r="D604" s="73"/>
      <c r="E604" s="73"/>
      <c r="F604" s="72"/>
    </row>
    <row r="605" ht="14.25" customHeight="1">
      <c r="A605" s="73"/>
      <c r="B605" s="73"/>
      <c r="C605" s="73"/>
      <c r="D605" s="73"/>
      <c r="E605" s="73"/>
      <c r="F605" s="72"/>
    </row>
    <row r="606" ht="14.25" customHeight="1">
      <c r="A606" s="73"/>
      <c r="B606" s="73"/>
      <c r="C606" s="73"/>
      <c r="D606" s="73"/>
      <c r="E606" s="73"/>
      <c r="F606" s="72"/>
    </row>
    <row r="607" ht="14.25" customHeight="1">
      <c r="A607" s="73"/>
      <c r="B607" s="73"/>
      <c r="C607" s="73"/>
      <c r="D607" s="73"/>
      <c r="E607" s="73"/>
      <c r="F607" s="72"/>
    </row>
    <row r="608" ht="14.25" customHeight="1">
      <c r="A608" s="73"/>
      <c r="B608" s="73"/>
      <c r="C608" s="73"/>
      <c r="D608" s="73"/>
      <c r="E608" s="73"/>
      <c r="F608" s="72"/>
    </row>
    <row r="609" ht="14.25" customHeight="1">
      <c r="A609" s="73"/>
      <c r="B609" s="73"/>
      <c r="C609" s="73"/>
      <c r="D609" s="73"/>
      <c r="E609" s="73"/>
      <c r="F609" s="72"/>
    </row>
    <row r="610" ht="14.25" customHeight="1">
      <c r="A610" s="73"/>
      <c r="B610" s="73"/>
      <c r="C610" s="73"/>
      <c r="D610" s="73"/>
      <c r="E610" s="73"/>
      <c r="F610" s="72"/>
    </row>
    <row r="611" ht="14.25" customHeight="1">
      <c r="A611" s="73"/>
      <c r="B611" s="73"/>
      <c r="C611" s="73"/>
      <c r="D611" s="73"/>
      <c r="E611" s="73"/>
      <c r="F611" s="72"/>
    </row>
    <row r="612" ht="14.25" customHeight="1">
      <c r="A612" s="73"/>
      <c r="B612" s="73"/>
      <c r="C612" s="73"/>
      <c r="D612" s="73"/>
      <c r="E612" s="73"/>
      <c r="F612" s="72"/>
    </row>
    <row r="613" ht="14.25" customHeight="1">
      <c r="A613" s="73"/>
      <c r="B613" s="73"/>
      <c r="C613" s="73"/>
      <c r="D613" s="73"/>
      <c r="E613" s="73"/>
      <c r="F613" s="72"/>
    </row>
    <row r="614" ht="14.25" customHeight="1">
      <c r="A614" s="73"/>
      <c r="B614" s="73"/>
      <c r="C614" s="73"/>
      <c r="D614" s="73"/>
      <c r="E614" s="73"/>
      <c r="F614" s="72"/>
    </row>
    <row r="615" ht="14.25" customHeight="1">
      <c r="A615" s="73"/>
      <c r="B615" s="73"/>
      <c r="C615" s="73"/>
      <c r="D615" s="73"/>
      <c r="E615" s="73"/>
      <c r="F615" s="72"/>
    </row>
    <row r="616" ht="14.25" customHeight="1">
      <c r="A616" s="73"/>
      <c r="B616" s="73"/>
      <c r="C616" s="73"/>
      <c r="D616" s="73"/>
      <c r="E616" s="73"/>
      <c r="F616" s="72"/>
    </row>
    <row r="617" ht="14.25" customHeight="1">
      <c r="A617" s="73"/>
      <c r="B617" s="73"/>
      <c r="C617" s="73"/>
      <c r="D617" s="73"/>
      <c r="E617" s="73"/>
      <c r="F617" s="72"/>
    </row>
    <row r="618" ht="14.25" customHeight="1">
      <c r="A618" s="73"/>
      <c r="B618" s="73"/>
      <c r="C618" s="73"/>
      <c r="D618" s="73"/>
      <c r="E618" s="73"/>
      <c r="F618" s="72"/>
    </row>
    <row r="619" ht="14.25" customHeight="1">
      <c r="A619" s="73"/>
      <c r="B619" s="73"/>
      <c r="C619" s="73"/>
      <c r="D619" s="73"/>
      <c r="E619" s="73"/>
      <c r="F619" s="72"/>
    </row>
    <row r="620" ht="14.25" customHeight="1">
      <c r="A620" s="73"/>
      <c r="B620" s="73"/>
      <c r="C620" s="73"/>
      <c r="D620" s="73"/>
      <c r="E620" s="73"/>
      <c r="F620" s="72"/>
    </row>
    <row r="621" ht="14.25" customHeight="1">
      <c r="A621" s="73"/>
      <c r="B621" s="73"/>
      <c r="C621" s="73"/>
      <c r="D621" s="73"/>
      <c r="E621" s="73"/>
      <c r="F621" s="72"/>
    </row>
    <row r="622" ht="14.25" customHeight="1">
      <c r="A622" s="73"/>
      <c r="B622" s="73"/>
      <c r="C622" s="73"/>
      <c r="D622" s="73"/>
      <c r="E622" s="73"/>
      <c r="F622" s="72"/>
    </row>
    <row r="623" ht="14.25" customHeight="1">
      <c r="A623" s="73"/>
      <c r="B623" s="73"/>
      <c r="C623" s="73"/>
      <c r="D623" s="73"/>
      <c r="E623" s="73"/>
      <c r="F623" s="72"/>
    </row>
    <row r="624" ht="14.25" customHeight="1">
      <c r="A624" s="73"/>
      <c r="B624" s="73"/>
      <c r="C624" s="73"/>
      <c r="D624" s="73"/>
      <c r="E624" s="73"/>
      <c r="F624" s="72"/>
    </row>
    <row r="625" ht="14.25" customHeight="1">
      <c r="A625" s="73"/>
      <c r="B625" s="73"/>
      <c r="C625" s="73"/>
      <c r="D625" s="73"/>
      <c r="E625" s="73"/>
      <c r="F625" s="72"/>
    </row>
    <row r="626" ht="14.25" customHeight="1">
      <c r="A626" s="73"/>
      <c r="B626" s="73"/>
      <c r="C626" s="73"/>
      <c r="D626" s="73"/>
      <c r="E626" s="73"/>
      <c r="F626" s="72"/>
    </row>
    <row r="627" ht="14.25" customHeight="1">
      <c r="A627" s="73"/>
      <c r="B627" s="73"/>
      <c r="C627" s="73"/>
      <c r="D627" s="73"/>
      <c r="E627" s="73"/>
      <c r="F627" s="72"/>
    </row>
    <row r="628" ht="14.25" customHeight="1">
      <c r="A628" s="73"/>
      <c r="B628" s="73"/>
      <c r="C628" s="73"/>
      <c r="D628" s="73"/>
      <c r="E628" s="73"/>
      <c r="F628" s="72"/>
    </row>
    <row r="629" ht="14.25" customHeight="1">
      <c r="A629" s="73"/>
      <c r="B629" s="73"/>
      <c r="C629" s="73"/>
      <c r="D629" s="73"/>
      <c r="E629" s="73"/>
      <c r="F629" s="72"/>
    </row>
    <row r="630" ht="14.25" customHeight="1">
      <c r="A630" s="73"/>
      <c r="B630" s="73"/>
      <c r="C630" s="73"/>
      <c r="D630" s="73"/>
      <c r="E630" s="73"/>
      <c r="F630" s="72"/>
    </row>
    <row r="631" ht="14.25" customHeight="1">
      <c r="A631" s="73"/>
      <c r="B631" s="73"/>
      <c r="C631" s="73"/>
      <c r="D631" s="73"/>
      <c r="E631" s="73"/>
      <c r="F631" s="72"/>
    </row>
    <row r="632" ht="14.25" customHeight="1">
      <c r="A632" s="73"/>
      <c r="B632" s="73"/>
      <c r="C632" s="73"/>
      <c r="D632" s="73"/>
      <c r="E632" s="73"/>
      <c r="F632" s="72"/>
    </row>
    <row r="633" ht="14.25" customHeight="1">
      <c r="A633" s="73"/>
      <c r="B633" s="73"/>
      <c r="C633" s="73"/>
      <c r="D633" s="73"/>
      <c r="E633" s="73"/>
      <c r="F633" s="72"/>
    </row>
    <row r="634" ht="14.25" customHeight="1">
      <c r="A634" s="73"/>
      <c r="B634" s="73"/>
      <c r="C634" s="73"/>
      <c r="D634" s="73"/>
      <c r="E634" s="73"/>
      <c r="F634" s="72"/>
    </row>
    <row r="635" ht="14.25" customHeight="1">
      <c r="A635" s="73"/>
      <c r="B635" s="73"/>
      <c r="C635" s="73"/>
      <c r="D635" s="73"/>
      <c r="E635" s="73"/>
      <c r="F635" s="72"/>
    </row>
    <row r="636" ht="14.25" customHeight="1">
      <c r="A636" s="73"/>
      <c r="B636" s="73"/>
      <c r="C636" s="73"/>
      <c r="D636" s="73"/>
      <c r="E636" s="73"/>
      <c r="F636" s="72"/>
    </row>
    <row r="637" ht="14.25" customHeight="1">
      <c r="A637" s="73"/>
      <c r="B637" s="73"/>
      <c r="C637" s="73"/>
      <c r="D637" s="73"/>
      <c r="E637" s="73"/>
      <c r="F637" s="72"/>
    </row>
    <row r="638" ht="14.25" customHeight="1">
      <c r="A638" s="73"/>
      <c r="B638" s="73"/>
      <c r="C638" s="73"/>
      <c r="D638" s="73"/>
      <c r="E638" s="73"/>
      <c r="F638" s="72"/>
    </row>
    <row r="639" ht="14.25" customHeight="1">
      <c r="A639" s="73"/>
      <c r="B639" s="73"/>
      <c r="C639" s="73"/>
      <c r="D639" s="73"/>
      <c r="E639" s="73"/>
      <c r="F639" s="72"/>
    </row>
    <row r="640" ht="14.25" customHeight="1">
      <c r="A640" s="73"/>
      <c r="B640" s="73"/>
      <c r="C640" s="73"/>
      <c r="D640" s="73"/>
      <c r="E640" s="73"/>
      <c r="F640" s="72"/>
    </row>
    <row r="641" ht="14.25" customHeight="1">
      <c r="A641" s="73"/>
      <c r="B641" s="73"/>
      <c r="C641" s="73"/>
      <c r="D641" s="73"/>
      <c r="E641" s="73"/>
      <c r="F641" s="72"/>
    </row>
    <row r="642" ht="14.25" customHeight="1">
      <c r="A642" s="73"/>
      <c r="B642" s="73"/>
      <c r="C642" s="73"/>
      <c r="D642" s="73"/>
      <c r="E642" s="73"/>
      <c r="F642" s="72"/>
    </row>
    <row r="643" ht="14.25" customHeight="1">
      <c r="A643" s="73"/>
      <c r="B643" s="73"/>
      <c r="C643" s="73"/>
      <c r="D643" s="73"/>
      <c r="E643" s="73"/>
      <c r="F643" s="72"/>
    </row>
    <row r="644" ht="14.25" customHeight="1">
      <c r="A644" s="73"/>
      <c r="B644" s="73"/>
      <c r="C644" s="73"/>
      <c r="D644" s="73"/>
      <c r="E644" s="73"/>
      <c r="F644" s="72"/>
    </row>
    <row r="645" ht="14.25" customHeight="1">
      <c r="A645" s="73"/>
      <c r="B645" s="73"/>
      <c r="C645" s="73"/>
      <c r="D645" s="73"/>
      <c r="E645" s="73"/>
      <c r="F645" s="72"/>
    </row>
    <row r="646" ht="14.25" customHeight="1">
      <c r="A646" s="73"/>
      <c r="B646" s="73"/>
      <c r="C646" s="73"/>
      <c r="D646" s="73"/>
      <c r="E646" s="73"/>
      <c r="F646" s="72"/>
    </row>
    <row r="647" ht="14.25" customHeight="1">
      <c r="A647" s="73"/>
      <c r="B647" s="73"/>
      <c r="C647" s="73"/>
      <c r="D647" s="73"/>
      <c r="E647" s="73"/>
      <c r="F647" s="72"/>
    </row>
    <row r="648" ht="14.25" customHeight="1">
      <c r="A648" s="73"/>
      <c r="B648" s="73"/>
      <c r="C648" s="73"/>
      <c r="D648" s="73"/>
      <c r="E648" s="73"/>
      <c r="F648" s="72"/>
    </row>
    <row r="649" ht="14.25" customHeight="1">
      <c r="A649" s="73"/>
      <c r="B649" s="73"/>
      <c r="C649" s="73"/>
      <c r="D649" s="73"/>
      <c r="E649" s="73"/>
      <c r="F649" s="72"/>
    </row>
    <row r="650" ht="14.25" customHeight="1">
      <c r="A650" s="73"/>
      <c r="B650" s="73"/>
      <c r="C650" s="73"/>
      <c r="D650" s="73"/>
      <c r="E650" s="73"/>
      <c r="F650" s="72"/>
    </row>
    <row r="651" ht="14.25" customHeight="1">
      <c r="A651" s="73"/>
      <c r="B651" s="73"/>
      <c r="C651" s="73"/>
      <c r="D651" s="73"/>
      <c r="E651" s="73"/>
      <c r="F651" s="72"/>
    </row>
    <row r="652" ht="14.25" customHeight="1">
      <c r="A652" s="73"/>
      <c r="B652" s="73"/>
      <c r="C652" s="73"/>
      <c r="D652" s="73"/>
      <c r="E652" s="73"/>
      <c r="F652" s="72"/>
    </row>
    <row r="653" ht="14.25" customHeight="1">
      <c r="A653" s="73"/>
      <c r="B653" s="73"/>
      <c r="C653" s="73"/>
      <c r="D653" s="73"/>
      <c r="E653" s="73"/>
      <c r="F653" s="72"/>
    </row>
    <row r="654" ht="14.25" customHeight="1">
      <c r="A654" s="73"/>
      <c r="B654" s="73"/>
      <c r="C654" s="73"/>
      <c r="D654" s="73"/>
      <c r="E654" s="73"/>
      <c r="F654" s="72"/>
    </row>
    <row r="655" ht="14.25" customHeight="1">
      <c r="A655" s="73"/>
      <c r="B655" s="73"/>
      <c r="C655" s="73"/>
      <c r="D655" s="73"/>
      <c r="E655" s="73"/>
      <c r="F655" s="72"/>
    </row>
    <row r="656" ht="14.25" customHeight="1">
      <c r="A656" s="73"/>
      <c r="B656" s="73"/>
      <c r="C656" s="73"/>
      <c r="D656" s="73"/>
      <c r="E656" s="73"/>
      <c r="F656" s="72"/>
    </row>
    <row r="657" ht="14.25" customHeight="1">
      <c r="A657" s="73"/>
      <c r="B657" s="73"/>
      <c r="C657" s="73"/>
      <c r="D657" s="73"/>
      <c r="E657" s="73"/>
      <c r="F657" s="72"/>
    </row>
    <row r="658" ht="14.25" customHeight="1">
      <c r="A658" s="73"/>
      <c r="B658" s="73"/>
      <c r="C658" s="73"/>
      <c r="D658" s="73"/>
      <c r="E658" s="73"/>
      <c r="F658" s="72"/>
    </row>
    <row r="659" ht="14.25" customHeight="1">
      <c r="A659" s="73"/>
      <c r="B659" s="73"/>
      <c r="C659" s="73"/>
      <c r="D659" s="73"/>
      <c r="E659" s="73"/>
      <c r="F659" s="72"/>
    </row>
    <row r="660" ht="14.25" customHeight="1">
      <c r="A660" s="73"/>
      <c r="B660" s="73"/>
      <c r="C660" s="73"/>
      <c r="D660" s="73"/>
      <c r="E660" s="73"/>
      <c r="F660" s="72"/>
    </row>
    <row r="661" ht="14.25" customHeight="1">
      <c r="A661" s="73"/>
      <c r="B661" s="73"/>
      <c r="C661" s="73"/>
      <c r="D661" s="73"/>
      <c r="E661" s="73"/>
      <c r="F661" s="72"/>
    </row>
    <row r="662" ht="14.25" customHeight="1">
      <c r="A662" s="73"/>
      <c r="B662" s="73"/>
      <c r="C662" s="73"/>
      <c r="D662" s="73"/>
      <c r="E662" s="73"/>
      <c r="F662" s="72"/>
    </row>
    <row r="663" ht="14.25" customHeight="1">
      <c r="A663" s="73"/>
      <c r="B663" s="73"/>
      <c r="C663" s="73"/>
      <c r="D663" s="73"/>
      <c r="E663" s="73"/>
      <c r="F663" s="72"/>
    </row>
    <row r="664" ht="14.25" customHeight="1">
      <c r="A664" s="73"/>
      <c r="B664" s="73"/>
      <c r="C664" s="73"/>
      <c r="D664" s="73"/>
      <c r="E664" s="73"/>
      <c r="F664" s="72"/>
    </row>
    <row r="665" ht="14.25" customHeight="1">
      <c r="A665" s="73"/>
      <c r="B665" s="73"/>
      <c r="C665" s="73"/>
      <c r="D665" s="73"/>
      <c r="E665" s="73"/>
      <c r="F665" s="72"/>
    </row>
    <row r="666" ht="14.25" customHeight="1">
      <c r="A666" s="73"/>
      <c r="B666" s="73"/>
      <c r="C666" s="73"/>
      <c r="D666" s="73"/>
      <c r="E666" s="73"/>
      <c r="F666" s="72"/>
    </row>
    <row r="667" ht="14.25" customHeight="1">
      <c r="A667" s="73"/>
      <c r="B667" s="73"/>
      <c r="C667" s="73"/>
      <c r="D667" s="73"/>
      <c r="E667" s="73"/>
      <c r="F667" s="72"/>
    </row>
    <row r="668" ht="14.25" customHeight="1">
      <c r="A668" s="73"/>
      <c r="B668" s="73"/>
      <c r="C668" s="73"/>
      <c r="D668" s="73"/>
      <c r="E668" s="73"/>
      <c r="F668" s="72"/>
    </row>
    <row r="669" ht="14.25" customHeight="1">
      <c r="A669" s="73"/>
      <c r="B669" s="73"/>
      <c r="C669" s="73"/>
      <c r="D669" s="73"/>
      <c r="E669" s="73"/>
      <c r="F669" s="72"/>
    </row>
    <row r="670" ht="14.25" customHeight="1">
      <c r="A670" s="73"/>
      <c r="B670" s="73"/>
      <c r="C670" s="73"/>
      <c r="D670" s="73"/>
      <c r="E670" s="73"/>
      <c r="F670" s="72"/>
    </row>
    <row r="671" ht="14.25" customHeight="1">
      <c r="A671" s="73"/>
      <c r="B671" s="73"/>
      <c r="C671" s="73"/>
      <c r="D671" s="73"/>
      <c r="E671" s="73"/>
      <c r="F671" s="72"/>
    </row>
    <row r="672" ht="14.25" customHeight="1">
      <c r="A672" s="73"/>
      <c r="B672" s="73"/>
      <c r="C672" s="73"/>
      <c r="D672" s="73"/>
      <c r="E672" s="73"/>
      <c r="F672" s="72"/>
    </row>
    <row r="673" ht="14.25" customHeight="1">
      <c r="A673" s="73"/>
      <c r="B673" s="73"/>
      <c r="C673" s="73"/>
      <c r="D673" s="73"/>
      <c r="E673" s="73"/>
      <c r="F673" s="72"/>
    </row>
    <row r="674" ht="14.25" customHeight="1">
      <c r="A674" s="73"/>
      <c r="B674" s="73"/>
      <c r="C674" s="73"/>
      <c r="D674" s="73"/>
      <c r="E674" s="73"/>
      <c r="F674" s="72"/>
    </row>
    <row r="675" ht="14.25" customHeight="1">
      <c r="A675" s="73"/>
      <c r="B675" s="73"/>
      <c r="C675" s="73"/>
      <c r="D675" s="73"/>
      <c r="E675" s="73"/>
      <c r="F675" s="72"/>
    </row>
    <row r="676" ht="14.25" customHeight="1">
      <c r="A676" s="73"/>
      <c r="B676" s="73"/>
      <c r="C676" s="73"/>
      <c r="D676" s="73"/>
      <c r="E676" s="73"/>
      <c r="F676" s="72"/>
    </row>
    <row r="677" ht="14.25" customHeight="1">
      <c r="A677" s="73"/>
      <c r="B677" s="73"/>
      <c r="C677" s="73"/>
      <c r="D677" s="73"/>
      <c r="E677" s="73"/>
      <c r="F677" s="72"/>
    </row>
    <row r="678" ht="14.25" customHeight="1">
      <c r="A678" s="73"/>
      <c r="B678" s="73"/>
      <c r="C678" s="73"/>
      <c r="D678" s="73"/>
      <c r="E678" s="73"/>
      <c r="F678" s="72"/>
    </row>
    <row r="679" ht="14.25" customHeight="1">
      <c r="A679" s="73"/>
      <c r="B679" s="73"/>
      <c r="C679" s="73"/>
      <c r="D679" s="73"/>
      <c r="E679" s="73"/>
      <c r="F679" s="72"/>
    </row>
    <row r="680" ht="14.25" customHeight="1">
      <c r="A680" s="73"/>
      <c r="B680" s="73"/>
      <c r="C680" s="73"/>
      <c r="D680" s="73"/>
      <c r="E680" s="73"/>
      <c r="F680" s="72"/>
    </row>
    <row r="681" ht="14.25" customHeight="1">
      <c r="A681" s="73"/>
      <c r="B681" s="73"/>
      <c r="C681" s="73"/>
      <c r="D681" s="73"/>
      <c r="E681" s="73"/>
      <c r="F681" s="72"/>
    </row>
    <row r="682" ht="14.25" customHeight="1">
      <c r="A682" s="73"/>
      <c r="B682" s="73"/>
      <c r="C682" s="73"/>
      <c r="D682" s="73"/>
      <c r="E682" s="73"/>
      <c r="F682" s="72"/>
    </row>
    <row r="683" ht="14.25" customHeight="1">
      <c r="A683" s="73"/>
      <c r="B683" s="73"/>
      <c r="C683" s="73"/>
      <c r="D683" s="73"/>
      <c r="E683" s="73"/>
      <c r="F683" s="72"/>
    </row>
    <row r="684" ht="14.25" customHeight="1">
      <c r="A684" s="73"/>
      <c r="B684" s="73"/>
      <c r="C684" s="73"/>
      <c r="D684" s="73"/>
      <c r="E684" s="73"/>
      <c r="F684" s="72"/>
    </row>
    <row r="685" ht="14.25" customHeight="1">
      <c r="A685" s="73"/>
      <c r="B685" s="73"/>
      <c r="C685" s="73"/>
      <c r="D685" s="73"/>
      <c r="E685" s="73"/>
      <c r="F685" s="72"/>
    </row>
    <row r="686" ht="14.25" customHeight="1">
      <c r="A686" s="73"/>
      <c r="B686" s="73"/>
      <c r="C686" s="73"/>
      <c r="D686" s="73"/>
      <c r="E686" s="73"/>
      <c r="F686" s="72"/>
    </row>
    <row r="687" ht="14.25" customHeight="1">
      <c r="A687" s="73"/>
      <c r="B687" s="73"/>
      <c r="C687" s="73"/>
      <c r="D687" s="73"/>
      <c r="E687" s="73"/>
      <c r="F687" s="72"/>
    </row>
    <row r="688" ht="14.25" customHeight="1">
      <c r="A688" s="73"/>
      <c r="B688" s="73"/>
      <c r="C688" s="73"/>
      <c r="D688" s="73"/>
      <c r="E688" s="73"/>
      <c r="F688" s="72"/>
    </row>
    <row r="689" ht="14.25" customHeight="1">
      <c r="A689" s="73"/>
      <c r="B689" s="73"/>
      <c r="C689" s="73"/>
      <c r="D689" s="73"/>
      <c r="E689" s="73"/>
      <c r="F689" s="72"/>
    </row>
    <row r="690" ht="14.25" customHeight="1">
      <c r="A690" s="73"/>
      <c r="B690" s="73"/>
      <c r="C690" s="73"/>
      <c r="D690" s="73"/>
      <c r="E690" s="73"/>
      <c r="F690" s="72"/>
    </row>
    <row r="691" ht="14.25" customHeight="1">
      <c r="A691" s="73"/>
      <c r="B691" s="73"/>
      <c r="C691" s="73"/>
      <c r="D691" s="73"/>
      <c r="E691" s="73"/>
      <c r="F691" s="72"/>
    </row>
    <row r="692" ht="14.25" customHeight="1">
      <c r="A692" s="73"/>
      <c r="B692" s="73"/>
      <c r="C692" s="73"/>
      <c r="D692" s="73"/>
      <c r="E692" s="73"/>
      <c r="F692" s="72"/>
    </row>
    <row r="693" ht="14.25" customHeight="1">
      <c r="A693" s="73"/>
      <c r="B693" s="73"/>
      <c r="C693" s="73"/>
      <c r="D693" s="73"/>
      <c r="E693" s="73"/>
      <c r="F693" s="72"/>
    </row>
    <row r="694" ht="14.25" customHeight="1">
      <c r="A694" s="73"/>
      <c r="B694" s="73"/>
      <c r="C694" s="73"/>
      <c r="D694" s="73"/>
      <c r="E694" s="73"/>
      <c r="F694" s="72"/>
    </row>
    <row r="695" ht="14.25" customHeight="1">
      <c r="A695" s="73"/>
      <c r="B695" s="73"/>
      <c r="C695" s="73"/>
      <c r="D695" s="73"/>
      <c r="E695" s="73"/>
      <c r="F695" s="72"/>
    </row>
    <row r="696" ht="14.25" customHeight="1">
      <c r="A696" s="73"/>
      <c r="B696" s="73"/>
      <c r="C696" s="73"/>
      <c r="D696" s="73"/>
      <c r="E696" s="73"/>
      <c r="F696" s="72"/>
    </row>
    <row r="697" ht="14.25" customHeight="1">
      <c r="A697" s="73"/>
      <c r="B697" s="73"/>
      <c r="C697" s="73"/>
      <c r="D697" s="73"/>
      <c r="E697" s="73"/>
      <c r="F697" s="72"/>
    </row>
    <row r="698" ht="14.25" customHeight="1">
      <c r="A698" s="73"/>
      <c r="B698" s="73"/>
      <c r="C698" s="73"/>
      <c r="D698" s="73"/>
      <c r="E698" s="73"/>
      <c r="F698" s="72"/>
    </row>
    <row r="699" ht="14.25" customHeight="1">
      <c r="A699" s="73"/>
      <c r="B699" s="73"/>
      <c r="C699" s="73"/>
      <c r="D699" s="73"/>
      <c r="E699" s="73"/>
      <c r="F699" s="72"/>
    </row>
    <row r="700" ht="14.25" customHeight="1">
      <c r="A700" s="73"/>
      <c r="B700" s="73"/>
      <c r="C700" s="73"/>
      <c r="D700" s="73"/>
      <c r="E700" s="73"/>
      <c r="F700" s="72"/>
    </row>
    <row r="701" ht="14.25" customHeight="1">
      <c r="A701" s="73"/>
      <c r="B701" s="73"/>
      <c r="C701" s="73"/>
      <c r="D701" s="73"/>
      <c r="E701" s="73"/>
      <c r="F701" s="72"/>
    </row>
    <row r="702" ht="14.25" customHeight="1">
      <c r="A702" s="73"/>
      <c r="B702" s="73"/>
      <c r="C702" s="73"/>
      <c r="D702" s="73"/>
      <c r="E702" s="73"/>
      <c r="F702" s="72"/>
    </row>
    <row r="703" ht="14.25" customHeight="1">
      <c r="A703" s="73"/>
      <c r="B703" s="73"/>
      <c r="C703" s="73"/>
      <c r="D703" s="73"/>
      <c r="E703" s="73"/>
      <c r="F703" s="72"/>
    </row>
    <row r="704" ht="14.25" customHeight="1">
      <c r="A704" s="73"/>
      <c r="B704" s="73"/>
      <c r="C704" s="73"/>
      <c r="D704" s="73"/>
      <c r="E704" s="73"/>
      <c r="F704" s="72"/>
    </row>
    <row r="705" ht="14.25" customHeight="1">
      <c r="A705" s="73"/>
      <c r="B705" s="73"/>
      <c r="C705" s="73"/>
      <c r="D705" s="73"/>
      <c r="E705" s="73"/>
      <c r="F705" s="72"/>
    </row>
    <row r="706" ht="14.25" customHeight="1">
      <c r="A706" s="73"/>
      <c r="B706" s="73"/>
      <c r="C706" s="73"/>
      <c r="D706" s="73"/>
      <c r="E706" s="73"/>
      <c r="F706" s="72"/>
    </row>
    <row r="707" ht="14.25" customHeight="1">
      <c r="A707" s="73"/>
      <c r="B707" s="73"/>
      <c r="C707" s="73"/>
      <c r="D707" s="73"/>
      <c r="E707" s="73"/>
      <c r="F707" s="72"/>
    </row>
    <row r="708" ht="14.25" customHeight="1">
      <c r="A708" s="73"/>
      <c r="B708" s="73"/>
      <c r="C708" s="73"/>
      <c r="D708" s="73"/>
      <c r="E708" s="73"/>
      <c r="F708" s="72"/>
    </row>
    <row r="709" ht="14.25" customHeight="1">
      <c r="A709" s="73"/>
      <c r="B709" s="73"/>
      <c r="C709" s="73"/>
      <c r="D709" s="73"/>
      <c r="E709" s="73"/>
      <c r="F709" s="72"/>
    </row>
    <row r="710" ht="14.25" customHeight="1">
      <c r="A710" s="73"/>
      <c r="B710" s="73"/>
      <c r="C710" s="73"/>
      <c r="D710" s="73"/>
      <c r="E710" s="73"/>
      <c r="F710" s="72"/>
    </row>
    <row r="711" ht="14.25" customHeight="1">
      <c r="A711" s="73"/>
      <c r="B711" s="73"/>
      <c r="C711" s="73"/>
      <c r="D711" s="73"/>
      <c r="E711" s="73"/>
      <c r="F711" s="72"/>
    </row>
    <row r="712" ht="14.25" customHeight="1">
      <c r="A712" s="73"/>
      <c r="B712" s="73"/>
      <c r="C712" s="73"/>
      <c r="D712" s="73"/>
      <c r="E712" s="73"/>
      <c r="F712" s="72"/>
    </row>
    <row r="713" ht="14.25" customHeight="1">
      <c r="A713" s="73"/>
      <c r="B713" s="73"/>
      <c r="C713" s="73"/>
      <c r="D713" s="73"/>
      <c r="E713" s="73"/>
      <c r="F713" s="72"/>
    </row>
    <row r="714" ht="14.25" customHeight="1">
      <c r="A714" s="73"/>
      <c r="B714" s="73"/>
      <c r="C714" s="73"/>
      <c r="D714" s="73"/>
      <c r="E714" s="73"/>
      <c r="F714" s="72"/>
    </row>
    <row r="715" ht="14.25" customHeight="1">
      <c r="A715" s="73"/>
      <c r="B715" s="73"/>
      <c r="C715" s="73"/>
      <c r="D715" s="73"/>
      <c r="E715" s="73"/>
      <c r="F715" s="72"/>
    </row>
    <row r="716" ht="14.25" customHeight="1">
      <c r="A716" s="73"/>
      <c r="B716" s="73"/>
      <c r="C716" s="73"/>
      <c r="D716" s="73"/>
      <c r="E716" s="73"/>
      <c r="F716" s="72"/>
    </row>
    <row r="717" ht="14.25" customHeight="1">
      <c r="A717" s="73"/>
      <c r="B717" s="73"/>
      <c r="C717" s="73"/>
      <c r="D717" s="73"/>
      <c r="E717" s="73"/>
      <c r="F717" s="72"/>
    </row>
    <row r="718" ht="14.25" customHeight="1">
      <c r="A718" s="73"/>
      <c r="B718" s="73"/>
      <c r="C718" s="73"/>
      <c r="D718" s="73"/>
      <c r="E718" s="73"/>
      <c r="F718" s="72"/>
    </row>
    <row r="719" ht="14.25" customHeight="1">
      <c r="A719" s="73"/>
      <c r="B719" s="73"/>
      <c r="C719" s="73"/>
      <c r="D719" s="73"/>
      <c r="E719" s="73"/>
      <c r="F719" s="72"/>
    </row>
    <row r="720" ht="14.25" customHeight="1">
      <c r="A720" s="73"/>
      <c r="B720" s="73"/>
      <c r="C720" s="73"/>
      <c r="D720" s="73"/>
      <c r="E720" s="73"/>
      <c r="F720" s="72"/>
    </row>
    <row r="721" ht="14.25" customHeight="1">
      <c r="A721" s="73"/>
      <c r="B721" s="73"/>
      <c r="C721" s="73"/>
      <c r="D721" s="73"/>
      <c r="E721" s="73"/>
      <c r="F721" s="72"/>
    </row>
    <row r="722" ht="14.25" customHeight="1">
      <c r="A722" s="73"/>
      <c r="B722" s="73"/>
      <c r="C722" s="73"/>
      <c r="D722" s="73"/>
      <c r="E722" s="73"/>
      <c r="F722" s="72"/>
    </row>
    <row r="723" ht="14.25" customHeight="1">
      <c r="A723" s="73"/>
      <c r="B723" s="73"/>
      <c r="C723" s="73"/>
      <c r="D723" s="73"/>
      <c r="E723" s="73"/>
      <c r="F723" s="72"/>
    </row>
    <row r="724" ht="14.25" customHeight="1">
      <c r="A724" s="73"/>
      <c r="B724" s="73"/>
      <c r="C724" s="73"/>
      <c r="D724" s="73"/>
      <c r="E724" s="73"/>
      <c r="F724" s="72"/>
    </row>
    <row r="725" ht="14.25" customHeight="1">
      <c r="A725" s="73"/>
      <c r="B725" s="73"/>
      <c r="C725" s="73"/>
      <c r="D725" s="73"/>
      <c r="E725" s="73"/>
      <c r="F725" s="72"/>
    </row>
    <row r="726" ht="14.25" customHeight="1">
      <c r="A726" s="73"/>
      <c r="B726" s="73"/>
      <c r="C726" s="73"/>
      <c r="D726" s="73"/>
      <c r="E726" s="73"/>
      <c r="F726" s="72"/>
    </row>
    <row r="727" ht="14.25" customHeight="1">
      <c r="A727" s="73"/>
      <c r="B727" s="73"/>
      <c r="C727" s="73"/>
      <c r="D727" s="73"/>
      <c r="E727" s="73"/>
      <c r="F727" s="72"/>
    </row>
    <row r="728" ht="14.25" customHeight="1">
      <c r="A728" s="73"/>
      <c r="B728" s="73"/>
      <c r="C728" s="73"/>
      <c r="D728" s="73"/>
      <c r="E728" s="73"/>
      <c r="F728" s="72"/>
    </row>
    <row r="729" ht="14.25" customHeight="1">
      <c r="A729" s="73"/>
      <c r="B729" s="73"/>
      <c r="C729" s="73"/>
      <c r="D729" s="73"/>
      <c r="E729" s="73"/>
      <c r="F729" s="72"/>
    </row>
    <row r="730" ht="14.25" customHeight="1">
      <c r="A730" s="73"/>
      <c r="B730" s="73"/>
      <c r="C730" s="73"/>
      <c r="D730" s="73"/>
      <c r="E730" s="73"/>
      <c r="F730" s="72"/>
    </row>
    <row r="731" ht="14.25" customHeight="1">
      <c r="A731" s="73"/>
      <c r="B731" s="73"/>
      <c r="C731" s="73"/>
      <c r="D731" s="73"/>
      <c r="E731" s="73"/>
      <c r="F731" s="72"/>
    </row>
    <row r="732" ht="14.25" customHeight="1">
      <c r="A732" s="73"/>
      <c r="B732" s="73"/>
      <c r="C732" s="73"/>
      <c r="D732" s="73"/>
      <c r="E732" s="73"/>
      <c r="F732" s="72"/>
    </row>
    <row r="733" ht="14.25" customHeight="1">
      <c r="A733" s="73"/>
      <c r="B733" s="73"/>
      <c r="C733" s="73"/>
      <c r="D733" s="73"/>
      <c r="E733" s="73"/>
      <c r="F733" s="72"/>
    </row>
    <row r="734" ht="14.25" customHeight="1">
      <c r="A734" s="73"/>
      <c r="B734" s="73"/>
      <c r="C734" s="73"/>
      <c r="D734" s="73"/>
      <c r="E734" s="73"/>
      <c r="F734" s="72"/>
    </row>
    <row r="735" ht="14.25" customHeight="1">
      <c r="A735" s="73"/>
      <c r="B735" s="73"/>
      <c r="C735" s="73"/>
      <c r="D735" s="73"/>
      <c r="E735" s="73"/>
      <c r="F735" s="72"/>
    </row>
    <row r="736" ht="14.25" customHeight="1">
      <c r="A736" s="73"/>
      <c r="B736" s="73"/>
      <c r="C736" s="73"/>
      <c r="D736" s="73"/>
      <c r="E736" s="73"/>
      <c r="F736" s="72"/>
    </row>
    <row r="737" ht="14.25" customHeight="1">
      <c r="A737" s="73"/>
      <c r="B737" s="73"/>
      <c r="C737" s="73"/>
      <c r="D737" s="73"/>
      <c r="E737" s="73"/>
      <c r="F737" s="72"/>
    </row>
    <row r="738" ht="14.25" customHeight="1">
      <c r="A738" s="73"/>
      <c r="B738" s="73"/>
      <c r="C738" s="73"/>
      <c r="D738" s="73"/>
      <c r="E738" s="73"/>
      <c r="F738" s="72"/>
    </row>
    <row r="739" ht="14.25" customHeight="1">
      <c r="A739" s="73"/>
      <c r="B739" s="73"/>
      <c r="C739" s="73"/>
      <c r="D739" s="73"/>
      <c r="E739" s="73"/>
      <c r="F739" s="72"/>
    </row>
    <row r="740" ht="14.25" customHeight="1">
      <c r="A740" s="73"/>
      <c r="B740" s="73"/>
      <c r="C740" s="73"/>
      <c r="D740" s="73"/>
      <c r="E740" s="73"/>
      <c r="F740" s="72"/>
    </row>
    <row r="741" ht="14.25" customHeight="1">
      <c r="A741" s="73"/>
      <c r="B741" s="73"/>
      <c r="C741" s="73"/>
      <c r="D741" s="73"/>
      <c r="E741" s="73"/>
      <c r="F741" s="72"/>
    </row>
    <row r="742" ht="14.25" customHeight="1">
      <c r="A742" s="73"/>
      <c r="B742" s="73"/>
      <c r="C742" s="73"/>
      <c r="D742" s="73"/>
      <c r="E742" s="73"/>
      <c r="F742" s="72"/>
    </row>
    <row r="743" ht="14.25" customHeight="1">
      <c r="A743" s="73"/>
      <c r="B743" s="73"/>
      <c r="C743" s="73"/>
      <c r="D743" s="73"/>
      <c r="E743" s="73"/>
      <c r="F743" s="72"/>
    </row>
    <row r="744" ht="14.25" customHeight="1">
      <c r="A744" s="73"/>
      <c r="B744" s="73"/>
      <c r="C744" s="73"/>
      <c r="D744" s="73"/>
      <c r="E744" s="73"/>
      <c r="F744" s="72"/>
    </row>
    <row r="745" ht="14.25" customHeight="1">
      <c r="A745" s="73"/>
      <c r="B745" s="73"/>
      <c r="C745" s="73"/>
      <c r="D745" s="73"/>
      <c r="E745" s="73"/>
      <c r="F745" s="72"/>
    </row>
    <row r="746" ht="14.25" customHeight="1">
      <c r="A746" s="73"/>
      <c r="B746" s="73"/>
      <c r="C746" s="73"/>
      <c r="D746" s="73"/>
      <c r="E746" s="73"/>
      <c r="F746" s="72"/>
    </row>
    <row r="747" ht="14.25" customHeight="1">
      <c r="A747" s="73"/>
      <c r="B747" s="73"/>
      <c r="C747" s="73"/>
      <c r="D747" s="73"/>
      <c r="E747" s="73"/>
      <c r="F747" s="72"/>
    </row>
    <row r="748" ht="14.25" customHeight="1">
      <c r="A748" s="73"/>
      <c r="B748" s="73"/>
      <c r="C748" s="73"/>
      <c r="D748" s="73"/>
      <c r="E748" s="73"/>
      <c r="F748" s="72"/>
    </row>
    <row r="749" ht="14.25" customHeight="1">
      <c r="A749" s="73"/>
      <c r="B749" s="73"/>
      <c r="C749" s="73"/>
      <c r="D749" s="73"/>
      <c r="E749" s="73"/>
      <c r="F749" s="72"/>
    </row>
    <row r="750" ht="14.25" customHeight="1">
      <c r="A750" s="73"/>
      <c r="B750" s="73"/>
      <c r="C750" s="73"/>
      <c r="D750" s="73"/>
      <c r="E750" s="73"/>
      <c r="F750" s="72"/>
    </row>
    <row r="751" ht="14.25" customHeight="1">
      <c r="A751" s="73"/>
      <c r="B751" s="73"/>
      <c r="C751" s="73"/>
      <c r="D751" s="73"/>
      <c r="E751" s="73"/>
      <c r="F751" s="72"/>
    </row>
    <row r="752" ht="14.25" customHeight="1">
      <c r="A752" s="73"/>
      <c r="B752" s="73"/>
      <c r="C752" s="73"/>
      <c r="D752" s="73"/>
      <c r="E752" s="73"/>
      <c r="F752" s="72"/>
    </row>
    <row r="753" ht="14.25" customHeight="1">
      <c r="A753" s="73"/>
      <c r="B753" s="73"/>
      <c r="C753" s="73"/>
      <c r="D753" s="73"/>
      <c r="E753" s="73"/>
      <c r="F753" s="72"/>
    </row>
    <row r="754" ht="14.25" customHeight="1">
      <c r="A754" s="73"/>
      <c r="B754" s="73"/>
      <c r="C754" s="73"/>
      <c r="D754" s="73"/>
      <c r="E754" s="73"/>
      <c r="F754" s="72"/>
    </row>
    <row r="755" ht="14.25" customHeight="1">
      <c r="A755" s="73"/>
      <c r="B755" s="73"/>
      <c r="C755" s="73"/>
      <c r="D755" s="73"/>
      <c r="E755" s="73"/>
      <c r="F755" s="72"/>
    </row>
    <row r="756" ht="14.25" customHeight="1">
      <c r="A756" s="73"/>
      <c r="B756" s="73"/>
      <c r="C756" s="73"/>
      <c r="D756" s="73"/>
      <c r="E756" s="73"/>
      <c r="F756" s="72"/>
    </row>
    <row r="757" ht="14.25" customHeight="1">
      <c r="A757" s="73"/>
      <c r="B757" s="73"/>
      <c r="C757" s="73"/>
      <c r="D757" s="73"/>
      <c r="E757" s="73"/>
      <c r="F757" s="72"/>
    </row>
    <row r="758" ht="14.25" customHeight="1">
      <c r="A758" s="73"/>
      <c r="B758" s="73"/>
      <c r="C758" s="73"/>
      <c r="D758" s="73"/>
      <c r="E758" s="73"/>
      <c r="F758" s="72"/>
    </row>
    <row r="759" ht="14.25" customHeight="1">
      <c r="A759" s="73"/>
      <c r="B759" s="73"/>
      <c r="C759" s="73"/>
      <c r="D759" s="73"/>
      <c r="E759" s="73"/>
      <c r="F759" s="72"/>
    </row>
    <row r="760" ht="14.25" customHeight="1">
      <c r="A760" s="73"/>
      <c r="B760" s="73"/>
      <c r="C760" s="73"/>
      <c r="D760" s="73"/>
      <c r="E760" s="73"/>
      <c r="F760" s="72"/>
    </row>
    <row r="761" ht="14.25" customHeight="1">
      <c r="A761" s="73"/>
      <c r="B761" s="73"/>
      <c r="C761" s="73"/>
      <c r="D761" s="73"/>
      <c r="E761" s="73"/>
      <c r="F761" s="72"/>
    </row>
    <row r="762" ht="14.25" customHeight="1">
      <c r="A762" s="73"/>
      <c r="B762" s="73"/>
      <c r="C762" s="73"/>
      <c r="D762" s="73"/>
      <c r="E762" s="73"/>
      <c r="F762" s="72"/>
    </row>
    <row r="763" ht="14.25" customHeight="1">
      <c r="A763" s="73"/>
      <c r="B763" s="73"/>
      <c r="C763" s="73"/>
      <c r="D763" s="73"/>
      <c r="E763" s="73"/>
      <c r="F763" s="72"/>
    </row>
    <row r="764" ht="14.25" customHeight="1">
      <c r="A764" s="73"/>
      <c r="B764" s="73"/>
      <c r="C764" s="73"/>
      <c r="D764" s="73"/>
      <c r="E764" s="73"/>
      <c r="F764" s="72"/>
    </row>
    <row r="765" ht="14.25" customHeight="1">
      <c r="A765" s="73"/>
      <c r="B765" s="73"/>
      <c r="C765" s="73"/>
      <c r="D765" s="73"/>
      <c r="E765" s="73"/>
      <c r="F765" s="72"/>
    </row>
    <row r="766" ht="14.25" customHeight="1">
      <c r="A766" s="73"/>
      <c r="B766" s="73"/>
      <c r="C766" s="73"/>
      <c r="D766" s="73"/>
      <c r="E766" s="73"/>
      <c r="F766" s="72"/>
    </row>
    <row r="767" ht="14.25" customHeight="1">
      <c r="A767" s="73"/>
      <c r="B767" s="73"/>
      <c r="C767" s="73"/>
      <c r="D767" s="73"/>
      <c r="E767" s="73"/>
      <c r="F767" s="72"/>
    </row>
    <row r="768" ht="14.25" customHeight="1">
      <c r="A768" s="73"/>
      <c r="B768" s="73"/>
      <c r="C768" s="73"/>
      <c r="D768" s="73"/>
      <c r="E768" s="73"/>
      <c r="F768" s="72"/>
    </row>
    <row r="769" ht="14.25" customHeight="1">
      <c r="A769" s="73"/>
      <c r="B769" s="73"/>
      <c r="C769" s="73"/>
      <c r="D769" s="73"/>
      <c r="E769" s="73"/>
      <c r="F769" s="72"/>
    </row>
    <row r="770" ht="14.25" customHeight="1">
      <c r="A770" s="73"/>
      <c r="B770" s="73"/>
      <c r="C770" s="73"/>
      <c r="D770" s="73"/>
      <c r="E770" s="73"/>
      <c r="F770" s="72"/>
    </row>
    <row r="771" ht="14.25" customHeight="1">
      <c r="A771" s="73"/>
      <c r="B771" s="73"/>
      <c r="C771" s="73"/>
      <c r="D771" s="73"/>
      <c r="E771" s="73"/>
      <c r="F771" s="72"/>
    </row>
    <row r="772" ht="14.25" customHeight="1">
      <c r="A772" s="73"/>
      <c r="B772" s="73"/>
      <c r="C772" s="73"/>
      <c r="D772" s="73"/>
      <c r="E772" s="73"/>
      <c r="F772" s="72"/>
    </row>
    <row r="773" ht="14.25" customHeight="1">
      <c r="A773" s="73"/>
      <c r="B773" s="73"/>
      <c r="C773" s="73"/>
      <c r="D773" s="73"/>
      <c r="E773" s="73"/>
      <c r="F773" s="72"/>
    </row>
    <row r="774" ht="14.25" customHeight="1">
      <c r="A774" s="73"/>
      <c r="B774" s="73"/>
      <c r="C774" s="73"/>
      <c r="D774" s="73"/>
      <c r="E774" s="73"/>
      <c r="F774" s="72"/>
    </row>
    <row r="775" ht="14.25" customHeight="1">
      <c r="A775" s="73"/>
      <c r="B775" s="73"/>
      <c r="C775" s="73"/>
      <c r="D775" s="73"/>
      <c r="E775" s="73"/>
      <c r="F775" s="72"/>
    </row>
    <row r="776" ht="14.25" customHeight="1">
      <c r="A776" s="73"/>
      <c r="B776" s="73"/>
      <c r="C776" s="73"/>
      <c r="D776" s="73"/>
      <c r="E776" s="73"/>
      <c r="F776" s="72"/>
    </row>
    <row r="777" ht="14.25" customHeight="1">
      <c r="A777" s="73"/>
      <c r="B777" s="73"/>
      <c r="C777" s="73"/>
      <c r="D777" s="73"/>
      <c r="E777" s="73"/>
      <c r="F777" s="72"/>
    </row>
    <row r="778" ht="14.25" customHeight="1">
      <c r="A778" s="73"/>
      <c r="B778" s="73"/>
      <c r="C778" s="73"/>
      <c r="D778" s="73"/>
      <c r="E778" s="73"/>
      <c r="F778" s="72"/>
    </row>
    <row r="779" ht="14.25" customHeight="1">
      <c r="A779" s="73"/>
      <c r="B779" s="73"/>
      <c r="C779" s="73"/>
      <c r="D779" s="73"/>
      <c r="E779" s="73"/>
      <c r="F779" s="72"/>
    </row>
    <row r="780" ht="14.25" customHeight="1">
      <c r="A780" s="73"/>
      <c r="B780" s="73"/>
      <c r="C780" s="73"/>
      <c r="D780" s="73"/>
      <c r="E780" s="73"/>
      <c r="F780" s="72"/>
    </row>
    <row r="781" ht="14.25" customHeight="1">
      <c r="A781" s="73"/>
      <c r="B781" s="73"/>
      <c r="C781" s="73"/>
      <c r="D781" s="73"/>
      <c r="E781" s="73"/>
      <c r="F781" s="72"/>
    </row>
    <row r="782" ht="14.25" customHeight="1">
      <c r="A782" s="73"/>
      <c r="B782" s="73"/>
      <c r="C782" s="73"/>
      <c r="D782" s="73"/>
      <c r="E782" s="73"/>
      <c r="F782" s="72"/>
    </row>
    <row r="783" ht="14.25" customHeight="1">
      <c r="A783" s="73"/>
      <c r="B783" s="73"/>
      <c r="C783" s="73"/>
      <c r="D783" s="73"/>
      <c r="E783" s="73"/>
      <c r="F783" s="72"/>
    </row>
    <row r="784" ht="14.25" customHeight="1">
      <c r="A784" s="73"/>
      <c r="B784" s="73"/>
      <c r="C784" s="73"/>
      <c r="D784" s="73"/>
      <c r="E784" s="73"/>
      <c r="F784" s="72"/>
    </row>
    <row r="785" ht="14.25" customHeight="1">
      <c r="A785" s="73"/>
      <c r="B785" s="73"/>
      <c r="C785" s="73"/>
      <c r="D785" s="73"/>
      <c r="E785" s="73"/>
      <c r="F785" s="72"/>
    </row>
    <row r="786" ht="14.25" customHeight="1">
      <c r="A786" s="73"/>
      <c r="B786" s="73"/>
      <c r="C786" s="73"/>
      <c r="D786" s="73"/>
      <c r="E786" s="73"/>
      <c r="F786" s="72"/>
    </row>
    <row r="787" ht="14.25" customHeight="1">
      <c r="A787" s="73"/>
      <c r="B787" s="73"/>
      <c r="C787" s="73"/>
      <c r="D787" s="73"/>
      <c r="E787" s="73"/>
      <c r="F787" s="72"/>
    </row>
    <row r="788" ht="14.25" customHeight="1">
      <c r="A788" s="73"/>
      <c r="B788" s="73"/>
      <c r="C788" s="73"/>
      <c r="D788" s="73"/>
      <c r="E788" s="73"/>
      <c r="F788" s="72"/>
    </row>
    <row r="789" ht="14.25" customHeight="1">
      <c r="A789" s="73"/>
      <c r="B789" s="73"/>
      <c r="C789" s="73"/>
      <c r="D789" s="73"/>
      <c r="E789" s="73"/>
      <c r="F789" s="72"/>
    </row>
    <row r="790" ht="14.25" customHeight="1">
      <c r="A790" s="73"/>
      <c r="B790" s="73"/>
      <c r="C790" s="73"/>
      <c r="D790" s="73"/>
      <c r="E790" s="73"/>
      <c r="F790" s="72"/>
    </row>
    <row r="791" ht="14.25" customHeight="1">
      <c r="A791" s="73"/>
      <c r="B791" s="73"/>
      <c r="C791" s="73"/>
      <c r="D791" s="73"/>
      <c r="E791" s="73"/>
      <c r="F791" s="72"/>
    </row>
    <row r="792" ht="14.25" customHeight="1">
      <c r="A792" s="73"/>
      <c r="B792" s="73"/>
      <c r="C792" s="73"/>
      <c r="D792" s="73"/>
      <c r="E792" s="73"/>
      <c r="F792" s="72"/>
    </row>
    <row r="793" ht="14.25" customHeight="1">
      <c r="A793" s="73"/>
      <c r="B793" s="73"/>
      <c r="C793" s="73"/>
      <c r="D793" s="73"/>
      <c r="E793" s="73"/>
      <c r="F793" s="72"/>
    </row>
    <row r="794" ht="14.25" customHeight="1">
      <c r="A794" s="73"/>
      <c r="B794" s="73"/>
      <c r="C794" s="73"/>
      <c r="D794" s="73"/>
      <c r="E794" s="73"/>
      <c r="F794" s="72"/>
    </row>
    <row r="795" ht="14.25" customHeight="1">
      <c r="A795" s="73"/>
      <c r="B795" s="73"/>
      <c r="C795" s="73"/>
      <c r="D795" s="73"/>
      <c r="E795" s="73"/>
      <c r="F795" s="72"/>
    </row>
    <row r="796" ht="14.25" customHeight="1">
      <c r="A796" s="73"/>
      <c r="B796" s="73"/>
      <c r="C796" s="73"/>
      <c r="D796" s="73"/>
      <c r="E796" s="73"/>
      <c r="F796" s="72"/>
    </row>
    <row r="797" ht="14.25" customHeight="1">
      <c r="A797" s="73"/>
      <c r="B797" s="73"/>
      <c r="C797" s="73"/>
      <c r="D797" s="73"/>
      <c r="E797" s="73"/>
      <c r="F797" s="72"/>
    </row>
    <row r="798" ht="14.25" customHeight="1">
      <c r="A798" s="73"/>
      <c r="B798" s="73"/>
      <c r="C798" s="73"/>
      <c r="D798" s="73"/>
      <c r="E798" s="73"/>
      <c r="F798" s="72"/>
    </row>
    <row r="799" ht="14.25" customHeight="1">
      <c r="A799" s="73"/>
      <c r="B799" s="73"/>
      <c r="C799" s="73"/>
      <c r="D799" s="73"/>
      <c r="E799" s="73"/>
      <c r="F799" s="72"/>
    </row>
    <row r="800" ht="14.25" customHeight="1">
      <c r="A800" s="73"/>
      <c r="B800" s="73"/>
      <c r="C800" s="73"/>
      <c r="D800" s="73"/>
      <c r="E800" s="73"/>
      <c r="F800" s="72"/>
    </row>
    <row r="801" ht="14.25" customHeight="1">
      <c r="A801" s="73"/>
      <c r="B801" s="73"/>
      <c r="C801" s="73"/>
      <c r="D801" s="73"/>
      <c r="E801" s="73"/>
      <c r="F801" s="72"/>
    </row>
    <row r="802" ht="14.25" customHeight="1">
      <c r="A802" s="73"/>
      <c r="B802" s="73"/>
      <c r="C802" s="73"/>
      <c r="D802" s="73"/>
      <c r="E802" s="73"/>
      <c r="F802" s="72"/>
    </row>
    <row r="803" ht="14.25" customHeight="1">
      <c r="A803" s="73"/>
      <c r="B803" s="73"/>
      <c r="C803" s="73"/>
      <c r="D803" s="73"/>
      <c r="E803" s="73"/>
      <c r="F803" s="72"/>
    </row>
    <row r="804" ht="14.25" customHeight="1">
      <c r="A804" s="73"/>
      <c r="B804" s="73"/>
      <c r="C804" s="73"/>
      <c r="D804" s="73"/>
      <c r="E804" s="73"/>
      <c r="F804" s="72"/>
    </row>
    <row r="805" ht="14.25" customHeight="1">
      <c r="A805" s="73"/>
      <c r="B805" s="73"/>
      <c r="C805" s="73"/>
      <c r="D805" s="73"/>
      <c r="E805" s="73"/>
      <c r="F805" s="72"/>
    </row>
    <row r="806" ht="14.25" customHeight="1">
      <c r="A806" s="73"/>
      <c r="B806" s="73"/>
      <c r="C806" s="73"/>
      <c r="D806" s="73"/>
      <c r="E806" s="73"/>
      <c r="F806" s="72"/>
    </row>
    <row r="807" ht="14.25" customHeight="1">
      <c r="A807" s="73"/>
      <c r="B807" s="73"/>
      <c r="C807" s="73"/>
      <c r="D807" s="73"/>
      <c r="E807" s="73"/>
      <c r="F807" s="72"/>
    </row>
    <row r="808" ht="14.25" customHeight="1">
      <c r="A808" s="73"/>
      <c r="B808" s="73"/>
      <c r="C808" s="73"/>
      <c r="D808" s="73"/>
      <c r="E808" s="73"/>
      <c r="F808" s="72"/>
    </row>
    <row r="809" ht="14.25" customHeight="1">
      <c r="A809" s="73"/>
      <c r="B809" s="73"/>
      <c r="C809" s="73"/>
      <c r="D809" s="73"/>
      <c r="E809" s="73"/>
      <c r="F809" s="72"/>
    </row>
    <row r="810" ht="14.25" customHeight="1">
      <c r="A810" s="73"/>
      <c r="B810" s="73"/>
      <c r="C810" s="73"/>
      <c r="D810" s="73"/>
      <c r="E810" s="73"/>
      <c r="F810" s="72"/>
    </row>
    <row r="811" ht="14.25" customHeight="1">
      <c r="A811" s="73"/>
      <c r="B811" s="73"/>
      <c r="C811" s="73"/>
      <c r="D811" s="73"/>
      <c r="E811" s="73"/>
      <c r="F811" s="72"/>
    </row>
    <row r="812" ht="14.25" customHeight="1">
      <c r="A812" s="73"/>
      <c r="B812" s="73"/>
      <c r="C812" s="73"/>
      <c r="D812" s="73"/>
      <c r="E812" s="73"/>
      <c r="F812" s="72"/>
    </row>
    <row r="813" ht="14.25" customHeight="1">
      <c r="A813" s="73"/>
      <c r="B813" s="73"/>
      <c r="C813" s="73"/>
      <c r="D813" s="73"/>
      <c r="E813" s="73"/>
      <c r="F813" s="72"/>
    </row>
    <row r="814" ht="14.25" customHeight="1">
      <c r="A814" s="73"/>
      <c r="B814" s="73"/>
      <c r="C814" s="73"/>
      <c r="D814" s="73"/>
      <c r="E814" s="73"/>
      <c r="F814" s="72"/>
    </row>
    <row r="815" ht="14.25" customHeight="1">
      <c r="A815" s="73"/>
      <c r="B815" s="73"/>
      <c r="C815" s="73"/>
      <c r="D815" s="73"/>
      <c r="E815" s="73"/>
      <c r="F815" s="72"/>
    </row>
    <row r="816" ht="14.25" customHeight="1">
      <c r="A816" s="73"/>
      <c r="B816" s="73"/>
      <c r="C816" s="73"/>
      <c r="D816" s="73"/>
      <c r="E816" s="73"/>
      <c r="F816" s="72"/>
    </row>
    <row r="817" ht="14.25" customHeight="1">
      <c r="A817" s="73"/>
      <c r="B817" s="73"/>
      <c r="C817" s="73"/>
      <c r="D817" s="73"/>
      <c r="E817" s="73"/>
      <c r="F817" s="72"/>
    </row>
    <row r="818" ht="14.25" customHeight="1">
      <c r="A818" s="73"/>
      <c r="B818" s="73"/>
      <c r="C818" s="73"/>
      <c r="D818" s="73"/>
      <c r="E818" s="73"/>
      <c r="F818" s="72"/>
    </row>
    <row r="819" ht="14.25" customHeight="1">
      <c r="A819" s="73"/>
      <c r="B819" s="73"/>
      <c r="C819" s="73"/>
      <c r="D819" s="73"/>
      <c r="E819" s="73"/>
      <c r="F819" s="72"/>
    </row>
    <row r="820" ht="14.25" customHeight="1">
      <c r="A820" s="73"/>
      <c r="B820" s="73"/>
      <c r="C820" s="73"/>
      <c r="D820" s="73"/>
      <c r="E820" s="73"/>
      <c r="F820" s="72"/>
    </row>
    <row r="821" ht="14.25" customHeight="1">
      <c r="A821" s="73"/>
      <c r="B821" s="73"/>
      <c r="C821" s="73"/>
      <c r="D821" s="73"/>
      <c r="E821" s="73"/>
      <c r="F821" s="72"/>
    </row>
    <row r="822" ht="14.25" customHeight="1">
      <c r="A822" s="73"/>
      <c r="B822" s="73"/>
      <c r="C822" s="73"/>
      <c r="D822" s="73"/>
      <c r="E822" s="73"/>
      <c r="F822" s="72"/>
    </row>
    <row r="823" ht="14.25" customHeight="1">
      <c r="A823" s="73"/>
      <c r="B823" s="73"/>
      <c r="C823" s="73"/>
      <c r="D823" s="73"/>
      <c r="E823" s="73"/>
      <c r="F823" s="72"/>
    </row>
    <row r="824" ht="14.25" customHeight="1">
      <c r="A824" s="73"/>
      <c r="B824" s="73"/>
      <c r="C824" s="73"/>
      <c r="D824" s="73"/>
      <c r="E824" s="73"/>
      <c r="F824" s="72"/>
    </row>
    <row r="825" ht="14.25" customHeight="1">
      <c r="A825" s="73"/>
      <c r="B825" s="73"/>
      <c r="C825" s="73"/>
      <c r="D825" s="73"/>
      <c r="E825" s="73"/>
      <c r="F825" s="72"/>
    </row>
    <row r="826" ht="14.25" customHeight="1">
      <c r="A826" s="73"/>
      <c r="B826" s="73"/>
      <c r="C826" s="73"/>
      <c r="D826" s="73"/>
      <c r="E826" s="73"/>
      <c r="F826" s="72"/>
    </row>
    <row r="827" ht="14.25" customHeight="1">
      <c r="A827" s="73"/>
      <c r="B827" s="73"/>
      <c r="C827" s="73"/>
      <c r="D827" s="73"/>
      <c r="E827" s="73"/>
      <c r="F827" s="72"/>
    </row>
    <row r="828" ht="14.25" customHeight="1">
      <c r="A828" s="73"/>
      <c r="B828" s="73"/>
      <c r="C828" s="73"/>
      <c r="D828" s="73"/>
      <c r="E828" s="73"/>
      <c r="F828" s="72"/>
    </row>
    <row r="829" ht="14.25" customHeight="1">
      <c r="A829" s="73"/>
      <c r="B829" s="73"/>
      <c r="C829" s="73"/>
      <c r="D829" s="73"/>
      <c r="E829" s="73"/>
      <c r="F829" s="72"/>
    </row>
    <row r="830" ht="14.25" customHeight="1">
      <c r="A830" s="73"/>
      <c r="B830" s="73"/>
      <c r="C830" s="73"/>
      <c r="D830" s="73"/>
      <c r="E830" s="73"/>
      <c r="F830" s="72"/>
    </row>
    <row r="831" ht="14.25" customHeight="1">
      <c r="A831" s="73"/>
      <c r="B831" s="73"/>
      <c r="C831" s="73"/>
      <c r="D831" s="73"/>
      <c r="E831" s="73"/>
      <c r="F831" s="72"/>
    </row>
    <row r="832" ht="14.25" customHeight="1">
      <c r="A832" s="73"/>
      <c r="B832" s="73"/>
      <c r="C832" s="73"/>
      <c r="D832" s="73"/>
      <c r="E832" s="73"/>
      <c r="F832" s="72"/>
    </row>
    <row r="833" ht="14.25" customHeight="1">
      <c r="A833" s="73"/>
      <c r="B833" s="73"/>
      <c r="C833" s="73"/>
      <c r="D833" s="73"/>
      <c r="E833" s="73"/>
      <c r="F833" s="72"/>
    </row>
    <row r="834" ht="14.25" customHeight="1">
      <c r="A834" s="73"/>
      <c r="B834" s="73"/>
      <c r="C834" s="73"/>
      <c r="D834" s="73"/>
      <c r="E834" s="73"/>
      <c r="F834" s="72"/>
    </row>
    <row r="835" ht="14.25" customHeight="1">
      <c r="A835" s="73"/>
      <c r="B835" s="73"/>
      <c r="C835" s="73"/>
      <c r="D835" s="73"/>
      <c r="E835" s="73"/>
      <c r="F835" s="72"/>
    </row>
    <row r="836" ht="14.25" customHeight="1">
      <c r="A836" s="73"/>
      <c r="B836" s="73"/>
      <c r="C836" s="73"/>
      <c r="D836" s="73"/>
      <c r="E836" s="73"/>
      <c r="F836" s="72"/>
    </row>
    <row r="837" ht="14.25" customHeight="1">
      <c r="A837" s="73"/>
      <c r="B837" s="73"/>
      <c r="C837" s="73"/>
      <c r="D837" s="73"/>
      <c r="E837" s="73"/>
      <c r="F837" s="72"/>
    </row>
    <row r="838" ht="14.25" customHeight="1">
      <c r="A838" s="73"/>
      <c r="B838" s="73"/>
      <c r="C838" s="73"/>
      <c r="D838" s="73"/>
      <c r="E838" s="73"/>
      <c r="F838" s="72"/>
    </row>
    <row r="839" ht="14.25" customHeight="1">
      <c r="A839" s="73"/>
      <c r="B839" s="73"/>
      <c r="C839" s="73"/>
      <c r="D839" s="73"/>
      <c r="E839" s="73"/>
      <c r="F839" s="72"/>
    </row>
    <row r="840" ht="14.25" customHeight="1">
      <c r="A840" s="73"/>
      <c r="B840" s="73"/>
      <c r="C840" s="73"/>
      <c r="D840" s="73"/>
      <c r="E840" s="73"/>
      <c r="F840" s="72"/>
    </row>
    <row r="841" ht="14.25" customHeight="1">
      <c r="A841" s="73"/>
      <c r="B841" s="73"/>
      <c r="C841" s="73"/>
      <c r="D841" s="73"/>
      <c r="E841" s="73"/>
      <c r="F841" s="72"/>
    </row>
    <row r="842" ht="14.25" customHeight="1">
      <c r="A842" s="73"/>
      <c r="B842" s="73"/>
      <c r="C842" s="73"/>
      <c r="D842" s="73"/>
      <c r="E842" s="73"/>
      <c r="F842" s="72"/>
    </row>
    <row r="843" ht="14.25" customHeight="1">
      <c r="A843" s="73"/>
      <c r="B843" s="73"/>
      <c r="C843" s="73"/>
      <c r="D843" s="73"/>
      <c r="E843" s="73"/>
      <c r="F843" s="72"/>
    </row>
    <row r="844" ht="14.25" customHeight="1">
      <c r="A844" s="73"/>
      <c r="B844" s="73"/>
      <c r="C844" s="73"/>
      <c r="D844" s="73"/>
      <c r="E844" s="73"/>
      <c r="F844" s="72"/>
    </row>
    <row r="845" ht="14.25" customHeight="1">
      <c r="A845" s="73"/>
      <c r="B845" s="73"/>
      <c r="C845" s="73"/>
      <c r="D845" s="73"/>
      <c r="E845" s="73"/>
      <c r="F845" s="72"/>
    </row>
    <row r="846" ht="14.25" customHeight="1">
      <c r="A846" s="73"/>
      <c r="B846" s="73"/>
      <c r="C846" s="73"/>
      <c r="D846" s="73"/>
      <c r="E846" s="73"/>
      <c r="F846" s="72"/>
    </row>
    <row r="847" ht="14.25" customHeight="1">
      <c r="A847" s="73"/>
      <c r="B847" s="73"/>
      <c r="C847" s="73"/>
      <c r="D847" s="73"/>
      <c r="E847" s="73"/>
      <c r="F847" s="72"/>
    </row>
    <row r="848" ht="14.25" customHeight="1">
      <c r="A848" s="73"/>
      <c r="B848" s="73"/>
      <c r="C848" s="73"/>
      <c r="D848" s="73"/>
      <c r="E848" s="73"/>
      <c r="F848" s="72"/>
    </row>
    <row r="849" ht="14.25" customHeight="1">
      <c r="A849" s="73"/>
      <c r="B849" s="73"/>
      <c r="C849" s="73"/>
      <c r="D849" s="73"/>
      <c r="E849" s="73"/>
      <c r="F849" s="72"/>
    </row>
    <row r="850" ht="14.25" customHeight="1">
      <c r="A850" s="73"/>
      <c r="B850" s="73"/>
      <c r="C850" s="73"/>
      <c r="D850" s="73"/>
      <c r="E850" s="73"/>
      <c r="F850" s="72"/>
    </row>
    <row r="851" ht="14.25" customHeight="1">
      <c r="A851" s="73"/>
      <c r="B851" s="73"/>
      <c r="C851" s="73"/>
      <c r="D851" s="73"/>
      <c r="E851" s="73"/>
      <c r="F851" s="72"/>
    </row>
    <row r="852" ht="14.25" customHeight="1">
      <c r="A852" s="73"/>
      <c r="B852" s="73"/>
      <c r="C852" s="73"/>
      <c r="D852" s="73"/>
      <c r="E852" s="73"/>
      <c r="F852" s="72"/>
    </row>
    <row r="853" ht="14.25" customHeight="1">
      <c r="A853" s="73"/>
      <c r="B853" s="73"/>
      <c r="C853" s="73"/>
      <c r="D853" s="73"/>
      <c r="E853" s="73"/>
      <c r="F853" s="72"/>
    </row>
    <row r="854" ht="14.25" customHeight="1">
      <c r="A854" s="73"/>
      <c r="B854" s="73"/>
      <c r="C854" s="73"/>
      <c r="D854" s="73"/>
      <c r="E854" s="73"/>
      <c r="F854" s="72"/>
    </row>
    <row r="855" ht="14.25" customHeight="1">
      <c r="A855" s="73"/>
      <c r="B855" s="73"/>
      <c r="C855" s="73"/>
      <c r="D855" s="73"/>
      <c r="E855" s="73"/>
      <c r="F855" s="72"/>
    </row>
    <row r="856" ht="14.25" customHeight="1">
      <c r="A856" s="73"/>
      <c r="B856" s="73"/>
      <c r="C856" s="73"/>
      <c r="D856" s="73"/>
      <c r="E856" s="73"/>
      <c r="F856" s="72"/>
    </row>
    <row r="857" ht="14.25" customHeight="1">
      <c r="A857" s="73"/>
      <c r="B857" s="73"/>
      <c r="C857" s="73"/>
      <c r="D857" s="73"/>
      <c r="E857" s="73"/>
      <c r="F857" s="72"/>
    </row>
    <row r="858" ht="14.25" customHeight="1">
      <c r="A858" s="73"/>
      <c r="B858" s="73"/>
      <c r="C858" s="73"/>
      <c r="D858" s="73"/>
      <c r="E858" s="73"/>
      <c r="F858" s="72"/>
    </row>
    <row r="859" ht="14.25" customHeight="1">
      <c r="A859" s="73"/>
      <c r="B859" s="73"/>
      <c r="C859" s="73"/>
      <c r="D859" s="73"/>
      <c r="E859" s="73"/>
      <c r="F859" s="72"/>
    </row>
    <row r="860" ht="14.25" customHeight="1">
      <c r="A860" s="73"/>
      <c r="B860" s="73"/>
      <c r="C860" s="73"/>
      <c r="D860" s="73"/>
      <c r="E860" s="73"/>
      <c r="F860" s="72"/>
    </row>
    <row r="861" ht="14.25" customHeight="1">
      <c r="A861" s="73"/>
      <c r="B861" s="73"/>
      <c r="C861" s="73"/>
      <c r="D861" s="73"/>
      <c r="E861" s="73"/>
      <c r="F861" s="72"/>
    </row>
    <row r="862" ht="14.25" customHeight="1">
      <c r="A862" s="73"/>
      <c r="B862" s="73"/>
      <c r="C862" s="73"/>
      <c r="D862" s="73"/>
      <c r="E862" s="73"/>
      <c r="F862" s="72"/>
    </row>
    <row r="863" ht="14.25" customHeight="1">
      <c r="A863" s="73"/>
      <c r="B863" s="73"/>
      <c r="C863" s="73"/>
      <c r="D863" s="73"/>
      <c r="E863" s="73"/>
      <c r="F863" s="72"/>
    </row>
    <row r="864" ht="14.25" customHeight="1">
      <c r="A864" s="73"/>
      <c r="B864" s="73"/>
      <c r="C864" s="73"/>
      <c r="D864" s="73"/>
      <c r="E864" s="73"/>
      <c r="F864" s="72"/>
    </row>
    <row r="865" ht="14.25" customHeight="1">
      <c r="A865" s="73"/>
      <c r="B865" s="73"/>
      <c r="C865" s="73"/>
      <c r="D865" s="73"/>
      <c r="E865" s="73"/>
      <c r="F865" s="72"/>
    </row>
    <row r="866" ht="14.25" customHeight="1">
      <c r="A866" s="73"/>
      <c r="B866" s="73"/>
      <c r="C866" s="73"/>
      <c r="D866" s="73"/>
      <c r="E866" s="73"/>
      <c r="F866" s="72"/>
    </row>
    <row r="867" ht="14.25" customHeight="1">
      <c r="A867" s="73"/>
      <c r="B867" s="73"/>
      <c r="C867" s="73"/>
      <c r="D867" s="73"/>
      <c r="E867" s="73"/>
      <c r="F867" s="72"/>
    </row>
    <row r="868" ht="14.25" customHeight="1">
      <c r="A868" s="73"/>
      <c r="B868" s="73"/>
      <c r="C868" s="73"/>
      <c r="D868" s="73"/>
      <c r="E868" s="73"/>
      <c r="F868" s="72"/>
    </row>
    <row r="869" ht="14.25" customHeight="1">
      <c r="A869" s="73"/>
      <c r="B869" s="73"/>
      <c r="C869" s="73"/>
      <c r="D869" s="73"/>
      <c r="E869" s="73"/>
      <c r="F869" s="72"/>
    </row>
    <row r="870" ht="14.25" customHeight="1">
      <c r="A870" s="73"/>
      <c r="B870" s="73"/>
      <c r="C870" s="73"/>
      <c r="D870" s="73"/>
      <c r="E870" s="73"/>
      <c r="F870" s="72"/>
    </row>
    <row r="871" ht="14.25" customHeight="1">
      <c r="A871" s="73"/>
      <c r="B871" s="73"/>
      <c r="C871" s="73"/>
      <c r="D871" s="73"/>
      <c r="E871" s="73"/>
      <c r="F871" s="72"/>
    </row>
    <row r="872" ht="14.25" customHeight="1">
      <c r="A872" s="73"/>
      <c r="B872" s="73"/>
      <c r="C872" s="73"/>
      <c r="D872" s="73"/>
      <c r="E872" s="73"/>
      <c r="F872" s="72"/>
    </row>
    <row r="873" ht="14.25" customHeight="1">
      <c r="A873" s="73"/>
      <c r="B873" s="73"/>
      <c r="C873" s="73"/>
      <c r="D873" s="73"/>
      <c r="E873" s="73"/>
      <c r="F873" s="72"/>
    </row>
    <row r="874" ht="14.25" customHeight="1">
      <c r="A874" s="73"/>
      <c r="B874" s="73"/>
      <c r="C874" s="73"/>
      <c r="D874" s="73"/>
      <c r="E874" s="73"/>
      <c r="F874" s="72"/>
    </row>
    <row r="875" ht="14.25" customHeight="1">
      <c r="A875" s="73"/>
      <c r="B875" s="73"/>
      <c r="C875" s="73"/>
      <c r="D875" s="73"/>
      <c r="E875" s="73"/>
      <c r="F875" s="72"/>
    </row>
    <row r="876" ht="14.25" customHeight="1">
      <c r="A876" s="73"/>
      <c r="B876" s="73"/>
      <c r="C876" s="73"/>
      <c r="D876" s="73"/>
      <c r="E876" s="73"/>
      <c r="F876" s="72"/>
    </row>
    <row r="877" ht="14.25" customHeight="1">
      <c r="A877" s="73"/>
      <c r="B877" s="73"/>
      <c r="C877" s="73"/>
      <c r="D877" s="73"/>
      <c r="E877" s="73"/>
      <c r="F877" s="72"/>
    </row>
    <row r="878" ht="14.25" customHeight="1">
      <c r="A878" s="73"/>
      <c r="B878" s="73"/>
      <c r="C878" s="73"/>
      <c r="D878" s="73"/>
      <c r="E878" s="73"/>
      <c r="F878" s="72"/>
    </row>
    <row r="879" ht="14.25" customHeight="1">
      <c r="A879" s="73"/>
      <c r="B879" s="73"/>
      <c r="C879" s="73"/>
      <c r="D879" s="73"/>
      <c r="E879" s="73"/>
      <c r="F879" s="72"/>
    </row>
    <row r="880" ht="14.25" customHeight="1">
      <c r="A880" s="73"/>
      <c r="B880" s="73"/>
      <c r="C880" s="73"/>
      <c r="D880" s="73"/>
      <c r="E880" s="73"/>
      <c r="F880" s="72"/>
    </row>
    <row r="881" ht="14.25" customHeight="1">
      <c r="A881" s="73"/>
      <c r="B881" s="73"/>
      <c r="C881" s="73"/>
      <c r="D881" s="73"/>
      <c r="E881" s="73"/>
      <c r="F881" s="72"/>
    </row>
    <row r="882" ht="14.25" customHeight="1">
      <c r="A882" s="73"/>
      <c r="B882" s="73"/>
      <c r="C882" s="73"/>
      <c r="D882" s="73"/>
      <c r="E882" s="73"/>
      <c r="F882" s="72"/>
    </row>
    <row r="883" ht="14.25" customHeight="1">
      <c r="A883" s="73"/>
      <c r="B883" s="73"/>
      <c r="C883" s="73"/>
      <c r="D883" s="73"/>
      <c r="E883" s="73"/>
      <c r="F883" s="72"/>
    </row>
    <row r="884" ht="14.25" customHeight="1">
      <c r="A884" s="73"/>
      <c r="B884" s="73"/>
      <c r="C884" s="73"/>
      <c r="D884" s="73"/>
      <c r="E884" s="73"/>
      <c r="F884" s="72"/>
    </row>
    <row r="885" ht="14.25" customHeight="1">
      <c r="A885" s="73"/>
      <c r="B885" s="73"/>
      <c r="C885" s="73"/>
      <c r="D885" s="73"/>
      <c r="E885" s="73"/>
      <c r="F885" s="72"/>
    </row>
    <row r="886" ht="14.25" customHeight="1">
      <c r="A886" s="73"/>
      <c r="B886" s="73"/>
      <c r="C886" s="73"/>
      <c r="D886" s="73"/>
      <c r="E886" s="73"/>
      <c r="F886" s="72"/>
    </row>
    <row r="887" ht="14.25" customHeight="1">
      <c r="A887" s="73"/>
      <c r="B887" s="73"/>
      <c r="C887" s="73"/>
      <c r="D887" s="73"/>
      <c r="E887" s="73"/>
      <c r="F887" s="72"/>
    </row>
    <row r="888" ht="14.25" customHeight="1">
      <c r="A888" s="73"/>
      <c r="B888" s="73"/>
      <c r="C888" s="73"/>
      <c r="D888" s="73"/>
      <c r="E888" s="73"/>
      <c r="F888" s="72"/>
    </row>
    <row r="889" ht="14.25" customHeight="1">
      <c r="A889" s="73"/>
      <c r="B889" s="73"/>
      <c r="C889" s="73"/>
      <c r="D889" s="73"/>
      <c r="E889" s="73"/>
      <c r="F889" s="72"/>
    </row>
    <row r="890" ht="14.25" customHeight="1">
      <c r="A890" s="73"/>
      <c r="B890" s="73"/>
      <c r="C890" s="73"/>
      <c r="D890" s="73"/>
      <c r="E890" s="73"/>
      <c r="F890" s="72"/>
    </row>
    <row r="891" ht="14.25" customHeight="1">
      <c r="A891" s="73"/>
      <c r="B891" s="73"/>
      <c r="C891" s="73"/>
      <c r="D891" s="73"/>
      <c r="E891" s="73"/>
      <c r="F891" s="72"/>
    </row>
    <row r="892" ht="14.25" customHeight="1">
      <c r="A892" s="73"/>
      <c r="B892" s="73"/>
      <c r="C892" s="73"/>
      <c r="D892" s="73"/>
      <c r="E892" s="73"/>
      <c r="F892" s="72"/>
    </row>
    <row r="893" ht="14.25" customHeight="1">
      <c r="A893" s="73"/>
      <c r="B893" s="73"/>
      <c r="C893" s="73"/>
      <c r="D893" s="73"/>
      <c r="E893" s="73"/>
      <c r="F893" s="72"/>
    </row>
    <row r="894" ht="14.25" customHeight="1">
      <c r="A894" s="73"/>
      <c r="B894" s="73"/>
      <c r="C894" s="73"/>
      <c r="D894" s="73"/>
      <c r="E894" s="73"/>
      <c r="F894" s="72"/>
    </row>
    <row r="895" ht="14.25" customHeight="1">
      <c r="A895" s="73"/>
      <c r="B895" s="73"/>
      <c r="C895" s="73"/>
      <c r="D895" s="73"/>
      <c r="E895" s="73"/>
      <c r="F895" s="72"/>
    </row>
    <row r="896" ht="14.25" customHeight="1">
      <c r="A896" s="73"/>
      <c r="B896" s="73"/>
      <c r="C896" s="73"/>
      <c r="D896" s="73"/>
      <c r="E896" s="73"/>
      <c r="F896" s="72"/>
    </row>
    <row r="897" ht="14.25" customHeight="1">
      <c r="A897" s="73"/>
      <c r="B897" s="73"/>
      <c r="C897" s="73"/>
      <c r="D897" s="73"/>
      <c r="E897" s="73"/>
      <c r="F897" s="72"/>
    </row>
    <row r="898" ht="14.25" customHeight="1">
      <c r="A898" s="73"/>
      <c r="B898" s="73"/>
      <c r="C898" s="73"/>
      <c r="D898" s="73"/>
      <c r="E898" s="73"/>
      <c r="F898" s="72"/>
    </row>
    <row r="899" ht="14.25" customHeight="1">
      <c r="A899" s="73"/>
      <c r="B899" s="73"/>
      <c r="C899" s="73"/>
      <c r="D899" s="73"/>
      <c r="E899" s="73"/>
      <c r="F899" s="72"/>
    </row>
    <row r="900" ht="14.25" customHeight="1">
      <c r="A900" s="73"/>
      <c r="B900" s="73"/>
      <c r="C900" s="73"/>
      <c r="D900" s="73"/>
      <c r="E900" s="73"/>
      <c r="F900" s="72"/>
    </row>
    <row r="901" ht="14.25" customHeight="1">
      <c r="A901" s="73"/>
      <c r="B901" s="73"/>
      <c r="C901" s="73"/>
      <c r="D901" s="73"/>
      <c r="E901" s="73"/>
      <c r="F901" s="72"/>
    </row>
    <row r="902" ht="14.25" customHeight="1">
      <c r="A902" s="73"/>
      <c r="B902" s="73"/>
      <c r="C902" s="73"/>
      <c r="D902" s="73"/>
      <c r="E902" s="73"/>
      <c r="F902" s="72"/>
    </row>
    <row r="903" ht="14.25" customHeight="1">
      <c r="A903" s="73"/>
      <c r="B903" s="73"/>
      <c r="C903" s="73"/>
      <c r="D903" s="73"/>
      <c r="E903" s="73"/>
      <c r="F903" s="72"/>
    </row>
    <row r="904" ht="14.25" customHeight="1">
      <c r="A904" s="73"/>
      <c r="B904" s="73"/>
      <c r="C904" s="73"/>
      <c r="D904" s="73"/>
      <c r="E904" s="73"/>
      <c r="F904" s="72"/>
    </row>
    <row r="905" ht="14.25" customHeight="1">
      <c r="A905" s="73"/>
      <c r="B905" s="73"/>
      <c r="C905" s="73"/>
      <c r="D905" s="73"/>
      <c r="E905" s="73"/>
      <c r="F905" s="72"/>
    </row>
    <row r="906" ht="14.25" customHeight="1">
      <c r="A906" s="73"/>
      <c r="B906" s="73"/>
      <c r="C906" s="73"/>
      <c r="D906" s="73"/>
      <c r="E906" s="73"/>
      <c r="F906" s="72"/>
    </row>
    <row r="907" ht="14.25" customHeight="1">
      <c r="A907" s="73"/>
      <c r="B907" s="73"/>
      <c r="C907" s="73"/>
      <c r="D907" s="73"/>
      <c r="E907" s="73"/>
      <c r="F907" s="72"/>
    </row>
    <row r="908" ht="14.25" customHeight="1">
      <c r="A908" s="73"/>
      <c r="B908" s="73"/>
      <c r="C908" s="73"/>
      <c r="D908" s="73"/>
      <c r="E908" s="73"/>
      <c r="F908" s="72"/>
    </row>
    <row r="909" ht="14.25" customHeight="1">
      <c r="A909" s="73"/>
      <c r="B909" s="73"/>
      <c r="C909" s="73"/>
      <c r="D909" s="73"/>
      <c r="E909" s="73"/>
      <c r="F909" s="72"/>
    </row>
    <row r="910" ht="14.25" customHeight="1">
      <c r="A910" s="73"/>
      <c r="B910" s="73"/>
      <c r="C910" s="73"/>
      <c r="D910" s="73"/>
      <c r="E910" s="73"/>
      <c r="F910" s="72"/>
    </row>
    <row r="911" ht="14.25" customHeight="1">
      <c r="A911" s="73"/>
      <c r="B911" s="73"/>
      <c r="C911" s="73"/>
      <c r="D911" s="73"/>
      <c r="E911" s="73"/>
      <c r="F911" s="72"/>
    </row>
    <row r="912" ht="14.25" customHeight="1">
      <c r="A912" s="73"/>
      <c r="B912" s="73"/>
      <c r="C912" s="73"/>
      <c r="D912" s="73"/>
      <c r="E912" s="73"/>
      <c r="F912" s="72"/>
    </row>
    <row r="913" ht="14.25" customHeight="1">
      <c r="A913" s="73"/>
      <c r="B913" s="73"/>
      <c r="C913" s="73"/>
      <c r="D913" s="73"/>
      <c r="E913" s="73"/>
      <c r="F913" s="72"/>
    </row>
    <row r="914" ht="14.25" customHeight="1">
      <c r="A914" s="73"/>
      <c r="B914" s="73"/>
      <c r="C914" s="73"/>
      <c r="D914" s="73"/>
      <c r="E914" s="73"/>
      <c r="F914" s="72"/>
    </row>
    <row r="915" ht="14.25" customHeight="1">
      <c r="A915" s="73"/>
      <c r="B915" s="73"/>
      <c r="C915" s="73"/>
      <c r="D915" s="73"/>
      <c r="E915" s="73"/>
      <c r="F915" s="72"/>
    </row>
    <row r="916" ht="14.25" customHeight="1">
      <c r="A916" s="73"/>
      <c r="B916" s="73"/>
      <c r="C916" s="73"/>
      <c r="D916" s="73"/>
      <c r="E916" s="73"/>
      <c r="F916" s="72"/>
    </row>
    <row r="917" ht="14.25" customHeight="1">
      <c r="A917" s="73"/>
      <c r="B917" s="73"/>
      <c r="C917" s="73"/>
      <c r="D917" s="73"/>
      <c r="E917" s="73"/>
      <c r="F917" s="72"/>
    </row>
    <row r="918" ht="14.25" customHeight="1">
      <c r="A918" s="73"/>
      <c r="B918" s="73"/>
      <c r="C918" s="73"/>
      <c r="D918" s="73"/>
      <c r="E918" s="73"/>
      <c r="F918" s="72"/>
    </row>
    <row r="919" ht="14.25" customHeight="1">
      <c r="A919" s="73"/>
      <c r="B919" s="73"/>
      <c r="C919" s="73"/>
      <c r="D919" s="73"/>
      <c r="E919" s="73"/>
      <c r="F919" s="72"/>
    </row>
    <row r="920" ht="14.25" customHeight="1">
      <c r="A920" s="73"/>
      <c r="B920" s="73"/>
      <c r="C920" s="73"/>
      <c r="D920" s="73"/>
      <c r="E920" s="73"/>
      <c r="F920" s="72"/>
    </row>
    <row r="921" ht="14.25" customHeight="1">
      <c r="A921" s="73"/>
      <c r="B921" s="73"/>
      <c r="C921" s="73"/>
      <c r="D921" s="73"/>
      <c r="E921" s="73"/>
      <c r="F921" s="72"/>
    </row>
    <row r="922" ht="14.25" customHeight="1">
      <c r="A922" s="73"/>
      <c r="B922" s="73"/>
      <c r="C922" s="73"/>
      <c r="D922" s="73"/>
      <c r="E922" s="73"/>
      <c r="F922" s="72"/>
    </row>
    <row r="923" ht="14.25" customHeight="1">
      <c r="A923" s="73"/>
      <c r="B923" s="73"/>
      <c r="C923" s="73"/>
      <c r="D923" s="73"/>
      <c r="E923" s="73"/>
      <c r="F923" s="72"/>
    </row>
    <row r="924" ht="14.25" customHeight="1">
      <c r="A924" s="73"/>
      <c r="B924" s="73"/>
      <c r="C924" s="73"/>
      <c r="D924" s="73"/>
      <c r="E924" s="73"/>
      <c r="F924" s="72"/>
    </row>
    <row r="925" ht="14.25" customHeight="1">
      <c r="A925" s="73"/>
      <c r="B925" s="73"/>
      <c r="C925" s="73"/>
      <c r="D925" s="73"/>
      <c r="E925" s="73"/>
      <c r="F925" s="72"/>
    </row>
    <row r="926" ht="14.25" customHeight="1">
      <c r="A926" s="73"/>
      <c r="B926" s="73"/>
      <c r="C926" s="73"/>
      <c r="D926" s="73"/>
      <c r="E926" s="73"/>
      <c r="F926" s="72"/>
    </row>
    <row r="927" ht="14.25" customHeight="1">
      <c r="A927" s="73"/>
      <c r="B927" s="73"/>
      <c r="C927" s="73"/>
      <c r="D927" s="73"/>
      <c r="E927" s="73"/>
      <c r="F927" s="72"/>
    </row>
    <row r="928" ht="14.25" customHeight="1">
      <c r="A928" s="73"/>
      <c r="B928" s="73"/>
      <c r="C928" s="73"/>
      <c r="D928" s="73"/>
      <c r="E928" s="73"/>
      <c r="F928" s="72"/>
    </row>
    <row r="929" ht="14.25" customHeight="1">
      <c r="A929" s="73"/>
      <c r="B929" s="73"/>
      <c r="C929" s="73"/>
      <c r="D929" s="73"/>
      <c r="E929" s="73"/>
      <c r="F929" s="72"/>
    </row>
    <row r="930" ht="14.25" customHeight="1">
      <c r="A930" s="73"/>
      <c r="B930" s="73"/>
      <c r="C930" s="73"/>
      <c r="D930" s="73"/>
      <c r="E930" s="73"/>
      <c r="F930" s="72"/>
    </row>
    <row r="931" ht="14.25" customHeight="1">
      <c r="A931" s="73"/>
      <c r="B931" s="73"/>
      <c r="C931" s="73"/>
      <c r="D931" s="73"/>
      <c r="E931" s="73"/>
      <c r="F931" s="72"/>
    </row>
    <row r="932" ht="14.25" customHeight="1">
      <c r="A932" s="73"/>
      <c r="B932" s="73"/>
      <c r="C932" s="73"/>
      <c r="D932" s="73"/>
      <c r="E932" s="73"/>
      <c r="F932" s="72"/>
    </row>
    <row r="933" ht="14.25" customHeight="1">
      <c r="A933" s="73"/>
      <c r="B933" s="73"/>
      <c r="C933" s="73"/>
      <c r="D933" s="73"/>
      <c r="E933" s="73"/>
      <c r="F933" s="72"/>
    </row>
    <row r="934" ht="14.25" customHeight="1">
      <c r="A934" s="73"/>
      <c r="B934" s="73"/>
      <c r="C934" s="73"/>
      <c r="D934" s="73"/>
      <c r="E934" s="73"/>
      <c r="F934" s="72"/>
    </row>
    <row r="935" ht="14.25" customHeight="1">
      <c r="A935" s="73"/>
      <c r="B935" s="73"/>
      <c r="C935" s="73"/>
      <c r="D935" s="73"/>
      <c r="E935" s="73"/>
      <c r="F935" s="72"/>
    </row>
    <row r="936" ht="14.25" customHeight="1">
      <c r="A936" s="73"/>
      <c r="B936" s="73"/>
      <c r="C936" s="73"/>
      <c r="D936" s="73"/>
      <c r="E936" s="73"/>
      <c r="F936" s="72"/>
    </row>
    <row r="937" ht="14.25" customHeight="1">
      <c r="A937" s="73"/>
      <c r="B937" s="73"/>
      <c r="C937" s="73"/>
      <c r="D937" s="73"/>
      <c r="E937" s="73"/>
      <c r="F937" s="72"/>
    </row>
    <row r="938" ht="14.25" customHeight="1">
      <c r="A938" s="73"/>
      <c r="B938" s="73"/>
      <c r="C938" s="73"/>
      <c r="D938" s="73"/>
      <c r="E938" s="73"/>
      <c r="F938" s="72"/>
    </row>
    <row r="939" ht="14.25" customHeight="1">
      <c r="A939" s="73"/>
      <c r="B939" s="73"/>
      <c r="C939" s="73"/>
      <c r="D939" s="73"/>
      <c r="E939" s="73"/>
      <c r="F939" s="72"/>
    </row>
    <row r="940" ht="14.25" customHeight="1">
      <c r="A940" s="73"/>
      <c r="B940" s="73"/>
      <c r="C940" s="73"/>
      <c r="D940" s="73"/>
      <c r="E940" s="73"/>
      <c r="F940" s="72"/>
    </row>
    <row r="941" ht="14.25" customHeight="1">
      <c r="A941" s="73"/>
      <c r="B941" s="73"/>
      <c r="C941" s="73"/>
      <c r="D941" s="73"/>
      <c r="E941" s="73"/>
      <c r="F941" s="72"/>
    </row>
    <row r="942" ht="14.25" customHeight="1">
      <c r="A942" s="73"/>
      <c r="B942" s="73"/>
      <c r="C942" s="73"/>
      <c r="D942" s="73"/>
      <c r="E942" s="73"/>
      <c r="F942" s="72"/>
    </row>
    <row r="943" ht="14.25" customHeight="1">
      <c r="A943" s="73"/>
      <c r="B943" s="73"/>
      <c r="C943" s="73"/>
      <c r="D943" s="73"/>
      <c r="E943" s="73"/>
      <c r="F943" s="72"/>
    </row>
    <row r="944" ht="14.25" customHeight="1">
      <c r="A944" s="73"/>
      <c r="B944" s="73"/>
      <c r="C944" s="73"/>
      <c r="D944" s="73"/>
      <c r="E944" s="73"/>
      <c r="F944" s="72"/>
    </row>
    <row r="945" ht="14.25" customHeight="1">
      <c r="A945" s="73"/>
      <c r="B945" s="73"/>
      <c r="C945" s="73"/>
      <c r="D945" s="73"/>
      <c r="E945" s="73"/>
      <c r="F945" s="72"/>
    </row>
    <row r="946" ht="14.25" customHeight="1">
      <c r="A946" s="73"/>
      <c r="B946" s="73"/>
      <c r="C946" s="73"/>
      <c r="D946" s="73"/>
      <c r="E946" s="73"/>
      <c r="F946" s="72"/>
    </row>
    <row r="947" ht="14.25" customHeight="1">
      <c r="A947" s="73"/>
      <c r="B947" s="73"/>
      <c r="C947" s="73"/>
      <c r="D947" s="73"/>
      <c r="E947" s="73"/>
      <c r="F947" s="72"/>
    </row>
    <row r="948" ht="14.25" customHeight="1">
      <c r="A948" s="73"/>
      <c r="B948" s="73"/>
      <c r="C948" s="73"/>
      <c r="D948" s="73"/>
      <c r="E948" s="73"/>
      <c r="F948" s="72"/>
    </row>
    <row r="949" ht="14.25" customHeight="1">
      <c r="A949" s="73"/>
      <c r="B949" s="73"/>
      <c r="C949" s="73"/>
      <c r="D949" s="73"/>
      <c r="E949" s="73"/>
      <c r="F949" s="72"/>
    </row>
    <row r="950" ht="14.25" customHeight="1">
      <c r="A950" s="73"/>
      <c r="B950" s="73"/>
      <c r="C950" s="73"/>
      <c r="D950" s="73"/>
      <c r="E950" s="73"/>
      <c r="F950" s="72"/>
    </row>
    <row r="951" ht="14.25" customHeight="1">
      <c r="A951" s="73"/>
      <c r="B951" s="73"/>
      <c r="C951" s="73"/>
      <c r="D951" s="73"/>
      <c r="E951" s="73"/>
      <c r="F951" s="72"/>
    </row>
    <row r="952" ht="14.25" customHeight="1">
      <c r="A952" s="73"/>
      <c r="B952" s="73"/>
      <c r="C952" s="73"/>
      <c r="D952" s="73"/>
      <c r="E952" s="73"/>
      <c r="F952" s="72"/>
    </row>
    <row r="953" ht="14.25" customHeight="1">
      <c r="A953" s="73"/>
      <c r="B953" s="73"/>
      <c r="C953" s="73"/>
      <c r="D953" s="73"/>
      <c r="E953" s="73"/>
      <c r="F953" s="72"/>
    </row>
    <row r="954" ht="14.25" customHeight="1">
      <c r="A954" s="73"/>
      <c r="B954" s="73"/>
      <c r="C954" s="73"/>
      <c r="D954" s="73"/>
      <c r="E954" s="73"/>
      <c r="F954" s="72"/>
    </row>
    <row r="955" ht="14.25" customHeight="1">
      <c r="A955" s="73"/>
      <c r="B955" s="73"/>
      <c r="C955" s="73"/>
      <c r="D955" s="73"/>
      <c r="E955" s="73"/>
      <c r="F955" s="72"/>
    </row>
    <row r="956" ht="14.25" customHeight="1">
      <c r="A956" s="73"/>
      <c r="B956" s="73"/>
      <c r="C956" s="73"/>
      <c r="D956" s="73"/>
      <c r="E956" s="73"/>
      <c r="F956" s="72"/>
    </row>
    <row r="957" ht="14.25" customHeight="1">
      <c r="A957" s="73"/>
      <c r="B957" s="73"/>
      <c r="C957" s="73"/>
      <c r="D957" s="73"/>
      <c r="E957" s="73"/>
      <c r="F957" s="72"/>
    </row>
    <row r="958" ht="14.25" customHeight="1">
      <c r="A958" s="73"/>
      <c r="B958" s="73"/>
      <c r="C958" s="73"/>
      <c r="D958" s="73"/>
      <c r="E958" s="73"/>
      <c r="F958" s="72"/>
    </row>
    <row r="959" ht="14.25" customHeight="1">
      <c r="A959" s="73"/>
      <c r="B959" s="73"/>
      <c r="C959" s="73"/>
      <c r="D959" s="73"/>
      <c r="E959" s="73"/>
      <c r="F959" s="72"/>
    </row>
    <row r="960" ht="14.25" customHeight="1">
      <c r="A960" s="73"/>
      <c r="B960" s="73"/>
      <c r="C960" s="73"/>
      <c r="D960" s="73"/>
      <c r="E960" s="73"/>
      <c r="F960" s="72"/>
    </row>
    <row r="961" ht="14.25" customHeight="1">
      <c r="A961" s="73"/>
      <c r="B961" s="73"/>
      <c r="C961" s="73"/>
      <c r="D961" s="73"/>
      <c r="E961" s="73"/>
      <c r="F961" s="72"/>
    </row>
    <row r="962" ht="14.25" customHeight="1">
      <c r="A962" s="73"/>
      <c r="B962" s="73"/>
      <c r="C962" s="73"/>
      <c r="D962" s="73"/>
      <c r="E962" s="73"/>
      <c r="F962" s="72"/>
    </row>
    <row r="963" ht="14.25" customHeight="1">
      <c r="A963" s="73"/>
      <c r="B963" s="73"/>
      <c r="C963" s="73"/>
      <c r="D963" s="73"/>
      <c r="E963" s="73"/>
      <c r="F963" s="72"/>
    </row>
    <row r="964" ht="14.25" customHeight="1">
      <c r="A964" s="73"/>
      <c r="B964" s="73"/>
      <c r="C964" s="73"/>
      <c r="D964" s="73"/>
      <c r="E964" s="73"/>
      <c r="F964" s="72"/>
    </row>
    <row r="965" ht="14.25" customHeight="1">
      <c r="A965" s="73"/>
      <c r="B965" s="73"/>
      <c r="C965" s="73"/>
      <c r="D965" s="73"/>
      <c r="E965" s="73"/>
      <c r="F965" s="72"/>
    </row>
    <row r="966" ht="14.25" customHeight="1">
      <c r="A966" s="73"/>
      <c r="B966" s="73"/>
      <c r="C966" s="73"/>
      <c r="D966" s="73"/>
      <c r="E966" s="73"/>
      <c r="F966" s="72"/>
    </row>
    <row r="967" ht="14.25" customHeight="1">
      <c r="A967" s="73"/>
      <c r="B967" s="73"/>
      <c r="C967" s="73"/>
      <c r="D967" s="73"/>
      <c r="E967" s="73"/>
      <c r="F967" s="72"/>
    </row>
    <row r="968" ht="14.25" customHeight="1">
      <c r="A968" s="73"/>
      <c r="B968" s="73"/>
      <c r="C968" s="73"/>
      <c r="D968" s="73"/>
      <c r="E968" s="73"/>
      <c r="F968" s="72"/>
    </row>
    <row r="969" ht="14.25" customHeight="1">
      <c r="A969" s="73"/>
      <c r="B969" s="73"/>
      <c r="C969" s="73"/>
      <c r="D969" s="73"/>
      <c r="E969" s="73"/>
      <c r="F969" s="72"/>
    </row>
    <row r="970" ht="14.25" customHeight="1">
      <c r="A970" s="73"/>
      <c r="B970" s="73"/>
      <c r="C970" s="73"/>
      <c r="D970" s="73"/>
      <c r="E970" s="73"/>
      <c r="F970" s="72"/>
    </row>
    <row r="971" ht="14.25" customHeight="1">
      <c r="A971" s="73"/>
      <c r="B971" s="73"/>
      <c r="C971" s="73"/>
      <c r="D971" s="73"/>
      <c r="E971" s="73"/>
      <c r="F971" s="72"/>
    </row>
    <row r="972" ht="14.25" customHeight="1">
      <c r="A972" s="73"/>
      <c r="B972" s="73"/>
      <c r="C972" s="73"/>
      <c r="D972" s="73"/>
      <c r="E972" s="73"/>
      <c r="F972" s="72"/>
    </row>
    <row r="973" ht="14.25" customHeight="1">
      <c r="A973" s="73"/>
      <c r="B973" s="73"/>
      <c r="C973" s="73"/>
      <c r="D973" s="73"/>
      <c r="E973" s="73"/>
      <c r="F973" s="72"/>
    </row>
    <row r="974" ht="14.25" customHeight="1">
      <c r="A974" s="73"/>
      <c r="B974" s="73"/>
      <c r="C974" s="73"/>
      <c r="D974" s="73"/>
      <c r="E974" s="73"/>
      <c r="F974" s="72"/>
    </row>
    <row r="975" ht="14.25" customHeight="1">
      <c r="A975" s="73"/>
      <c r="B975" s="73"/>
      <c r="C975" s="73"/>
      <c r="D975" s="73"/>
      <c r="E975" s="73"/>
      <c r="F975" s="72"/>
    </row>
    <row r="976" ht="14.25" customHeight="1">
      <c r="A976" s="73"/>
      <c r="B976" s="73"/>
      <c r="C976" s="73"/>
      <c r="D976" s="73"/>
      <c r="E976" s="73"/>
      <c r="F976" s="72"/>
    </row>
    <row r="977" ht="14.25" customHeight="1">
      <c r="A977" s="73"/>
      <c r="B977" s="73"/>
      <c r="C977" s="73"/>
      <c r="D977" s="73"/>
      <c r="E977" s="73"/>
      <c r="F977" s="72"/>
    </row>
    <row r="978" ht="14.25" customHeight="1">
      <c r="A978" s="73"/>
      <c r="B978" s="73"/>
      <c r="C978" s="73"/>
      <c r="D978" s="73"/>
      <c r="E978" s="73"/>
      <c r="F978" s="72"/>
    </row>
    <row r="979" ht="14.25" customHeight="1">
      <c r="A979" s="73"/>
      <c r="B979" s="73"/>
      <c r="C979" s="73"/>
      <c r="D979" s="73"/>
      <c r="E979" s="73"/>
      <c r="F979" s="72"/>
    </row>
    <row r="980" ht="14.25" customHeight="1">
      <c r="A980" s="73"/>
      <c r="B980" s="73"/>
      <c r="C980" s="73"/>
      <c r="D980" s="73"/>
      <c r="E980" s="73"/>
      <c r="F980" s="72"/>
    </row>
    <row r="981" ht="14.25" customHeight="1">
      <c r="A981" s="73"/>
      <c r="B981" s="73"/>
      <c r="C981" s="73"/>
      <c r="D981" s="73"/>
      <c r="E981" s="73"/>
      <c r="F981" s="72"/>
    </row>
    <row r="982" ht="14.25" customHeight="1">
      <c r="A982" s="73"/>
      <c r="B982" s="73"/>
      <c r="C982" s="73"/>
      <c r="D982" s="73"/>
      <c r="E982" s="73"/>
      <c r="F982" s="72"/>
    </row>
    <row r="983" ht="14.25" customHeight="1">
      <c r="A983" s="73"/>
      <c r="B983" s="73"/>
      <c r="C983" s="73"/>
      <c r="D983" s="73"/>
      <c r="E983" s="73"/>
      <c r="F983" s="72"/>
    </row>
    <row r="984" ht="14.25" customHeight="1">
      <c r="A984" s="73"/>
      <c r="B984" s="73"/>
      <c r="C984" s="73"/>
      <c r="D984" s="73"/>
      <c r="E984" s="73"/>
      <c r="F984" s="72"/>
    </row>
    <row r="985" ht="14.25" customHeight="1">
      <c r="A985" s="73"/>
      <c r="B985" s="73"/>
      <c r="C985" s="73"/>
      <c r="D985" s="73"/>
      <c r="E985" s="73"/>
      <c r="F985" s="72"/>
    </row>
    <row r="986" ht="14.25" customHeight="1">
      <c r="A986" s="73"/>
      <c r="B986" s="73"/>
      <c r="C986" s="73"/>
      <c r="D986" s="73"/>
      <c r="E986" s="73"/>
      <c r="F986" s="72"/>
    </row>
    <row r="987" ht="14.25" customHeight="1">
      <c r="A987" s="73"/>
      <c r="B987" s="73"/>
      <c r="C987" s="73"/>
      <c r="D987" s="73"/>
      <c r="E987" s="73"/>
      <c r="F987" s="72"/>
    </row>
    <row r="988" ht="14.25" customHeight="1">
      <c r="A988" s="73"/>
      <c r="B988" s="73"/>
      <c r="C988" s="73"/>
      <c r="D988" s="73"/>
      <c r="E988" s="73"/>
      <c r="F988" s="72"/>
    </row>
    <row r="989" ht="14.25" customHeight="1">
      <c r="A989" s="73"/>
      <c r="B989" s="73"/>
      <c r="C989" s="73"/>
      <c r="D989" s="73"/>
      <c r="E989" s="73"/>
      <c r="F989" s="72"/>
    </row>
    <row r="990" ht="14.25" customHeight="1">
      <c r="A990" s="73"/>
      <c r="B990" s="73"/>
      <c r="C990" s="73"/>
      <c r="D990" s="73"/>
      <c r="E990" s="73"/>
      <c r="F990" s="72"/>
    </row>
    <row r="991" ht="14.25" customHeight="1">
      <c r="A991" s="73"/>
      <c r="B991" s="73"/>
      <c r="C991" s="73"/>
      <c r="D991" s="73"/>
      <c r="E991" s="73"/>
      <c r="F991" s="72"/>
    </row>
    <row r="992" ht="14.25" customHeight="1">
      <c r="A992" s="73"/>
      <c r="B992" s="73"/>
      <c r="C992" s="73"/>
      <c r="D992" s="73"/>
      <c r="E992" s="73"/>
      <c r="F992" s="72"/>
    </row>
    <row r="993" ht="14.25" customHeight="1">
      <c r="A993" s="73"/>
      <c r="B993" s="73"/>
      <c r="C993" s="73"/>
      <c r="D993" s="73"/>
      <c r="E993" s="73"/>
      <c r="F993" s="72"/>
    </row>
    <row r="994" ht="14.25" customHeight="1">
      <c r="A994" s="73"/>
      <c r="B994" s="73"/>
      <c r="C994" s="73"/>
      <c r="D994" s="73"/>
      <c r="E994" s="73"/>
      <c r="F994" s="72"/>
    </row>
    <row r="995" ht="14.25" customHeight="1">
      <c r="A995" s="73"/>
      <c r="B995" s="73"/>
      <c r="C995" s="73"/>
      <c r="D995" s="73"/>
      <c r="E995" s="73"/>
      <c r="F995" s="72"/>
    </row>
    <row r="996" ht="14.25" customHeight="1">
      <c r="A996" s="73"/>
      <c r="B996" s="73"/>
      <c r="C996" s="73"/>
      <c r="D996" s="73"/>
      <c r="E996" s="73"/>
      <c r="F996" s="72"/>
    </row>
    <row r="997" ht="14.25" customHeight="1">
      <c r="A997" s="73"/>
      <c r="B997" s="73"/>
      <c r="C997" s="73"/>
      <c r="D997" s="73"/>
      <c r="E997" s="73"/>
      <c r="F997" s="72"/>
    </row>
    <row r="998" ht="14.25" customHeight="1">
      <c r="A998" s="73"/>
      <c r="B998" s="73"/>
      <c r="C998" s="73"/>
      <c r="D998" s="73"/>
      <c r="E998" s="73"/>
      <c r="F998" s="72"/>
    </row>
    <row r="999" ht="14.25" customHeight="1">
      <c r="A999" s="73"/>
      <c r="B999" s="73"/>
      <c r="C999" s="73"/>
      <c r="D999" s="73"/>
      <c r="E999" s="73"/>
      <c r="F999" s="72"/>
    </row>
    <row r="1000" ht="14.25" customHeight="1">
      <c r="A1000" s="73"/>
      <c r="B1000" s="73"/>
      <c r="C1000" s="73"/>
      <c r="D1000" s="73"/>
      <c r="E1000" s="73"/>
      <c r="F1000" s="72"/>
    </row>
  </sheetData>
  <mergeCells count="147">
    <mergeCell ref="P2:R2"/>
    <mergeCell ref="S2:U2"/>
    <mergeCell ref="V2:X2"/>
    <mergeCell ref="Y2:AA2"/>
    <mergeCell ref="AB2:AB3"/>
    <mergeCell ref="AC2:AC3"/>
    <mergeCell ref="AF6:AI6"/>
    <mergeCell ref="AG13:AH13"/>
    <mergeCell ref="AG14:AH14"/>
    <mergeCell ref="A1:AC1"/>
    <mergeCell ref="A2:B3"/>
    <mergeCell ref="C2:C3"/>
    <mergeCell ref="D2:D3"/>
    <mergeCell ref="E2:E3"/>
    <mergeCell ref="F2:F3"/>
    <mergeCell ref="G2:I2"/>
    <mergeCell ref="J2:L2"/>
    <mergeCell ref="M2:O2"/>
    <mergeCell ref="B4:B5"/>
    <mergeCell ref="C4:C5"/>
    <mergeCell ref="B6:B7"/>
    <mergeCell ref="C6:C7"/>
    <mergeCell ref="B13:B14"/>
    <mergeCell ref="A42:E42"/>
    <mergeCell ref="A45:AC45"/>
    <mergeCell ref="B16:B17"/>
    <mergeCell ref="B20:B23"/>
    <mergeCell ref="C20:C23"/>
    <mergeCell ref="C27:C28"/>
    <mergeCell ref="B30:B32"/>
    <mergeCell ref="C30:C32"/>
    <mergeCell ref="B33:B34"/>
    <mergeCell ref="M46:O46"/>
    <mergeCell ref="P46:R46"/>
    <mergeCell ref="S46:U46"/>
    <mergeCell ref="V46:X46"/>
    <mergeCell ref="Y46:AA46"/>
    <mergeCell ref="AB46:AB47"/>
    <mergeCell ref="AC46:AC47"/>
    <mergeCell ref="AF49:AI49"/>
    <mergeCell ref="A46:B47"/>
    <mergeCell ref="C46:C47"/>
    <mergeCell ref="D46:D47"/>
    <mergeCell ref="E46:E47"/>
    <mergeCell ref="F46:F47"/>
    <mergeCell ref="G46:I46"/>
    <mergeCell ref="J46:L46"/>
    <mergeCell ref="F60:F61"/>
    <mergeCell ref="N60:N61"/>
    <mergeCell ref="V62:AB62"/>
    <mergeCell ref="A50:A51"/>
    <mergeCell ref="B50:B51"/>
    <mergeCell ref="C50:C51"/>
    <mergeCell ref="A55:E55"/>
    <mergeCell ref="A59:O59"/>
    <mergeCell ref="A60:B61"/>
    <mergeCell ref="C60:C61"/>
    <mergeCell ref="O60:O61"/>
    <mergeCell ref="I73:J73"/>
    <mergeCell ref="K73:L73"/>
    <mergeCell ref="D60:D61"/>
    <mergeCell ref="E60:E61"/>
    <mergeCell ref="C62:C68"/>
    <mergeCell ref="A69:E69"/>
    <mergeCell ref="A72:R72"/>
    <mergeCell ref="A73:B74"/>
    <mergeCell ref="C73:D73"/>
    <mergeCell ref="H92:I93"/>
    <mergeCell ref="J92:K93"/>
    <mergeCell ref="E151:E152"/>
    <mergeCell ref="G151:G152"/>
    <mergeCell ref="G153:G155"/>
    <mergeCell ref="H153:H155"/>
    <mergeCell ref="D117:E117"/>
    <mergeCell ref="D119:E119"/>
    <mergeCell ref="B142:G142"/>
    <mergeCell ref="B146:H146"/>
    <mergeCell ref="B148:B150"/>
    <mergeCell ref="E148:E150"/>
    <mergeCell ref="H151:H152"/>
    <mergeCell ref="B151:B152"/>
    <mergeCell ref="B153:B155"/>
    <mergeCell ref="D153:D155"/>
    <mergeCell ref="E153:E155"/>
    <mergeCell ref="B162:C162"/>
    <mergeCell ref="B186:G187"/>
    <mergeCell ref="B188:G188"/>
    <mergeCell ref="B189:C190"/>
    <mergeCell ref="D189:D190"/>
    <mergeCell ref="E189:E190"/>
    <mergeCell ref="F189:F190"/>
    <mergeCell ref="G189:G190"/>
    <mergeCell ref="C191:C192"/>
    <mergeCell ref="D191:D192"/>
    <mergeCell ref="C193:C194"/>
    <mergeCell ref="D193:D194"/>
    <mergeCell ref="C200:C201"/>
    <mergeCell ref="C203:C204"/>
    <mergeCell ref="C207:C210"/>
    <mergeCell ref="D207:D210"/>
    <mergeCell ref="D214:D215"/>
    <mergeCell ref="E229:E230"/>
    <mergeCell ref="F229:F230"/>
    <mergeCell ref="B229:C230"/>
    <mergeCell ref="B233:B234"/>
    <mergeCell ref="C233:C234"/>
    <mergeCell ref="D233:D234"/>
    <mergeCell ref="B238:F238"/>
    <mergeCell ref="C217:C219"/>
    <mergeCell ref="D217:D219"/>
    <mergeCell ref="C220:C221"/>
    <mergeCell ref="B227:F227"/>
    <mergeCell ref="B228:G228"/>
    <mergeCell ref="D229:D230"/>
    <mergeCell ref="G229:G230"/>
    <mergeCell ref="M73:N73"/>
    <mergeCell ref="O73:P73"/>
    <mergeCell ref="R75:R84"/>
    <mergeCell ref="L92:M93"/>
    <mergeCell ref="N92:O93"/>
    <mergeCell ref="P92:P98"/>
    <mergeCell ref="E73:F73"/>
    <mergeCell ref="G73:H73"/>
    <mergeCell ref="A85:B86"/>
    <mergeCell ref="B91:P91"/>
    <mergeCell ref="B92:C93"/>
    <mergeCell ref="D92:E93"/>
    <mergeCell ref="F92:G93"/>
    <mergeCell ref="C95:C96"/>
    <mergeCell ref="E95:E97"/>
    <mergeCell ref="B104:F104"/>
    <mergeCell ref="C105:F105"/>
    <mergeCell ref="B106:B107"/>
    <mergeCell ref="H107:I107"/>
    <mergeCell ref="K107:M107"/>
    <mergeCell ref="C106:C107"/>
    <mergeCell ref="B110:E111"/>
    <mergeCell ref="F110:F111"/>
    <mergeCell ref="H110:H111"/>
    <mergeCell ref="I110:I111"/>
    <mergeCell ref="B113:F113"/>
    <mergeCell ref="K117:K119"/>
    <mergeCell ref="B123:H123"/>
    <mergeCell ref="G148:G150"/>
    <mergeCell ref="H148:H150"/>
    <mergeCell ref="D148:D150"/>
    <mergeCell ref="D151:D152"/>
  </mergeCells>
  <conditionalFormatting sqref="AB4:AB18 AB20:AB41">
    <cfRule type="cellIs" dxfId="0" priority="1" operator="lessThan">
      <formula>-1</formula>
    </cfRule>
  </conditionalFormatting>
  <conditionalFormatting sqref="AB42">
    <cfRule type="cellIs" dxfId="1" priority="2" operator="greaterThan">
      <formula>0</formula>
    </cfRule>
  </conditionalFormatting>
  <conditionalFormatting sqref="AB48:AB54">
    <cfRule type="cellIs" dxfId="0" priority="3" operator="lessThan">
      <formula>0</formula>
    </cfRule>
  </conditionalFormatting>
  <conditionalFormatting sqref="AC4">
    <cfRule type="cellIs" dxfId="0" priority="4" operator="greaterThan">
      <formula>$F$4</formula>
    </cfRule>
  </conditionalFormatting>
  <conditionalFormatting sqref="AC5">
    <cfRule type="cellIs" dxfId="0" priority="5" operator="greaterThan">
      <formula>$F$5</formula>
    </cfRule>
  </conditionalFormatting>
  <conditionalFormatting sqref="AC6">
    <cfRule type="cellIs" dxfId="0" priority="6" operator="greaterThan">
      <formula>$F$6</formula>
    </cfRule>
  </conditionalFormatting>
  <conditionalFormatting sqref="AC7">
    <cfRule type="cellIs" dxfId="0" priority="7" operator="greaterThan">
      <formula>$F$7</formula>
    </cfRule>
  </conditionalFormatting>
  <conditionalFormatting sqref="AC8">
    <cfRule type="cellIs" dxfId="0" priority="8" operator="greaterThan">
      <formula>$F$8</formula>
    </cfRule>
  </conditionalFormatting>
  <conditionalFormatting sqref="AC9">
    <cfRule type="cellIs" dxfId="0" priority="9" operator="greaterThan">
      <formula>$F$9</formula>
    </cfRule>
  </conditionalFormatting>
  <conditionalFormatting sqref="AC10">
    <cfRule type="cellIs" dxfId="0" priority="10" operator="greaterThan">
      <formula>$F$10</formula>
    </cfRule>
  </conditionalFormatting>
  <conditionalFormatting sqref="AC11">
    <cfRule type="cellIs" dxfId="0" priority="11" operator="greaterThan">
      <formula>$F$11</formula>
    </cfRule>
  </conditionalFormatting>
  <conditionalFormatting sqref="AC12">
    <cfRule type="cellIs" dxfId="0" priority="12" operator="greaterThan">
      <formula>$F$12</formula>
    </cfRule>
  </conditionalFormatting>
  <conditionalFormatting sqref="AC13">
    <cfRule type="cellIs" dxfId="0" priority="13" operator="greaterThan">
      <formula>$F$13</formula>
    </cfRule>
  </conditionalFormatting>
  <conditionalFormatting sqref="AC14">
    <cfRule type="cellIs" dxfId="0" priority="14" operator="greaterThan">
      <formula>$F$14</formula>
    </cfRule>
  </conditionalFormatting>
  <conditionalFormatting sqref="AC15">
    <cfRule type="cellIs" dxfId="0" priority="15" operator="greaterThan">
      <formula>$F$15</formula>
    </cfRule>
  </conditionalFormatting>
  <conditionalFormatting sqref="AC16:AC17">
    <cfRule type="cellIs" dxfId="0" priority="16" operator="greaterThan">
      <formula>$F$16</formula>
    </cfRule>
  </conditionalFormatting>
  <conditionalFormatting sqref="AC18">
    <cfRule type="cellIs" dxfId="0" priority="17" operator="greaterThan">
      <formula>$F$18</formula>
    </cfRule>
  </conditionalFormatting>
  <conditionalFormatting sqref="AC19">
    <cfRule type="cellIs" dxfId="0" priority="18" operator="greaterThan">
      <formula>$F$19</formula>
    </cfRule>
  </conditionalFormatting>
  <conditionalFormatting sqref="AC20">
    <cfRule type="cellIs" dxfId="0" priority="19" operator="greaterThan">
      <formula>$F$20</formula>
    </cfRule>
  </conditionalFormatting>
  <conditionalFormatting sqref="AC21">
    <cfRule type="cellIs" dxfId="0" priority="20" operator="greaterThan">
      <formula>$F$21</formula>
    </cfRule>
  </conditionalFormatting>
  <conditionalFormatting sqref="AC24">
    <cfRule type="cellIs" dxfId="0" priority="21" operator="greaterThan">
      <formula>$F$24</formula>
    </cfRule>
  </conditionalFormatting>
  <conditionalFormatting sqref="AC25">
    <cfRule type="cellIs" dxfId="0" priority="22" operator="greaterThan">
      <formula>$F$25</formula>
    </cfRule>
  </conditionalFormatting>
  <conditionalFormatting sqref="AC26">
    <cfRule type="cellIs" dxfId="0" priority="23" operator="greaterThan">
      <formula>$F$26</formula>
    </cfRule>
  </conditionalFormatting>
  <conditionalFormatting sqref="AC27">
    <cfRule type="cellIs" dxfId="0" priority="24" operator="greaterThan">
      <formula>$F$27</formula>
    </cfRule>
  </conditionalFormatting>
  <conditionalFormatting sqref="AC28">
    <cfRule type="cellIs" dxfId="0" priority="25" operator="greaterThan">
      <formula>$F$28</formula>
    </cfRule>
  </conditionalFormatting>
  <conditionalFormatting sqref="AC29">
    <cfRule type="cellIs" dxfId="0" priority="26" operator="greaterThan">
      <formula>$F$29</formula>
    </cfRule>
  </conditionalFormatting>
  <conditionalFormatting sqref="AC30">
    <cfRule type="cellIs" dxfId="0" priority="27" operator="greaterThan">
      <formula>$F$30</formula>
    </cfRule>
  </conditionalFormatting>
  <conditionalFormatting sqref="AC31 AC35 AC39">
    <cfRule type="cellIs" dxfId="0" priority="28" operator="greaterThan">
      <formula>$F$31</formula>
    </cfRule>
  </conditionalFormatting>
  <conditionalFormatting sqref="AC32 AC36 AC40">
    <cfRule type="cellIs" dxfId="0" priority="29" operator="greaterThan">
      <formula>$F$32</formula>
    </cfRule>
  </conditionalFormatting>
  <conditionalFormatting sqref="AC33 AC37 AC41">
    <cfRule type="cellIs" dxfId="0" priority="30" operator="greaterThan">
      <formula>$F$33</formula>
    </cfRule>
  </conditionalFormatting>
  <conditionalFormatting sqref="AC34 AC38">
    <cfRule type="cellIs" dxfId="0" priority="31" operator="greaterThan">
      <formula>$F$34</formula>
    </cfRule>
  </conditionalFormatting>
  <conditionalFormatting sqref="AC42">
    <cfRule type="cellIs" dxfId="1" priority="32" operator="lessThan">
      <formula>46700</formula>
    </cfRule>
  </conditionalFormatting>
  <printOptions/>
  <pageMargins bottom="0.75" footer="0.0" header="0.0" left="0.25" right="0.25" top="0.75"/>
  <pageSetup fitToHeight="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9" max="9" width="17.38"/>
    <col customWidth="1" min="14" max="14" width="20.38"/>
    <col customWidth="1" min="16" max="16" width="66.13"/>
  </cols>
  <sheetData>
    <row r="2">
      <c r="B2" s="424" t="s">
        <v>696</v>
      </c>
      <c r="C2" s="2"/>
      <c r="D2" s="2"/>
      <c r="E2" s="2"/>
      <c r="F2" s="2"/>
      <c r="G2" s="2"/>
      <c r="H2" s="2"/>
      <c r="I2" s="3"/>
      <c r="K2" s="425" t="s">
        <v>697</v>
      </c>
      <c r="L2" s="2"/>
      <c r="M2" s="3"/>
    </row>
    <row r="3">
      <c r="B3" s="426" t="s">
        <v>698</v>
      </c>
      <c r="C3" s="2"/>
      <c r="D3" s="2"/>
      <c r="E3" s="2"/>
      <c r="F3" s="2"/>
      <c r="G3" s="2"/>
      <c r="H3" s="2"/>
      <c r="I3" s="3"/>
      <c r="K3" s="427" t="s">
        <v>699</v>
      </c>
      <c r="L3" s="427" t="s">
        <v>700</v>
      </c>
      <c r="M3" s="427" t="s">
        <v>701</v>
      </c>
    </row>
    <row r="4">
      <c r="B4" s="428" t="s">
        <v>702</v>
      </c>
      <c r="C4" s="3"/>
      <c r="D4" s="429" t="s">
        <v>703</v>
      </c>
      <c r="E4" s="2"/>
      <c r="F4" s="2"/>
      <c r="G4" s="3"/>
      <c r="H4" s="428" t="s">
        <v>701</v>
      </c>
      <c r="I4" s="3"/>
      <c r="K4" s="430">
        <v>46210.0</v>
      </c>
      <c r="L4" s="431" t="s">
        <v>704</v>
      </c>
      <c r="M4" s="391">
        <v>16426.79</v>
      </c>
    </row>
    <row r="5">
      <c r="B5" s="428" t="s">
        <v>705</v>
      </c>
      <c r="C5" s="3"/>
      <c r="D5" s="429" t="s">
        <v>706</v>
      </c>
      <c r="E5" s="2"/>
      <c r="F5" s="2"/>
      <c r="G5" s="3"/>
      <c r="H5" s="432">
        <v>15793.259999999998</v>
      </c>
      <c r="I5" s="3"/>
      <c r="K5" s="430">
        <v>46212.0</v>
      </c>
      <c r="L5" s="431" t="s">
        <v>707</v>
      </c>
      <c r="M5" s="391">
        <v>2413.53</v>
      </c>
    </row>
    <row r="6">
      <c r="B6" s="426" t="s">
        <v>708</v>
      </c>
      <c r="C6" s="2"/>
      <c r="D6" s="2"/>
      <c r="E6" s="2"/>
      <c r="F6" s="2"/>
      <c r="G6" s="2"/>
      <c r="H6" s="2"/>
      <c r="I6" s="3"/>
      <c r="K6" s="430">
        <v>46223.0</v>
      </c>
      <c r="L6" s="431" t="s">
        <v>709</v>
      </c>
      <c r="M6" s="391">
        <v>37121.44</v>
      </c>
    </row>
    <row r="7">
      <c r="B7" s="428" t="s">
        <v>702</v>
      </c>
      <c r="C7" s="3"/>
      <c r="D7" s="429" t="s">
        <v>703</v>
      </c>
      <c r="E7" s="2"/>
      <c r="F7" s="2"/>
      <c r="G7" s="3"/>
      <c r="H7" s="428" t="s">
        <v>701</v>
      </c>
      <c r="I7" s="3"/>
      <c r="K7" s="430">
        <v>46234.0</v>
      </c>
      <c r="L7" s="431" t="s">
        <v>710</v>
      </c>
      <c r="M7" s="391">
        <v>130469.5</v>
      </c>
    </row>
    <row r="8">
      <c r="B8" s="428" t="s">
        <v>705</v>
      </c>
      <c r="C8" s="3"/>
      <c r="D8" s="429" t="s">
        <v>706</v>
      </c>
      <c r="E8" s="2"/>
      <c r="F8" s="2"/>
      <c r="G8" s="3"/>
      <c r="H8" s="433">
        <v>44460.5</v>
      </c>
      <c r="I8" s="3"/>
      <c r="K8" s="434" t="s">
        <v>210</v>
      </c>
      <c r="L8" s="3"/>
      <c r="M8" s="435">
        <f>SUM(M4:M7)</f>
        <v>186431.26</v>
      </c>
    </row>
    <row r="9">
      <c r="B9" s="426" t="s">
        <v>711</v>
      </c>
      <c r="C9" s="2"/>
      <c r="D9" s="2"/>
      <c r="E9" s="2"/>
      <c r="F9" s="2"/>
      <c r="G9" s="2"/>
      <c r="H9" s="2"/>
      <c r="I9" s="3"/>
    </row>
    <row r="10">
      <c r="B10" s="428" t="s">
        <v>702</v>
      </c>
      <c r="C10" s="3"/>
      <c r="D10" s="429" t="s">
        <v>703</v>
      </c>
      <c r="E10" s="2"/>
      <c r="F10" s="2"/>
      <c r="G10" s="3"/>
      <c r="H10" s="428" t="s">
        <v>701</v>
      </c>
      <c r="I10" s="3"/>
    </row>
    <row r="11">
      <c r="B11" s="428" t="s">
        <v>705</v>
      </c>
      <c r="C11" s="3"/>
      <c r="D11" s="429" t="s">
        <v>706</v>
      </c>
      <c r="E11" s="2"/>
      <c r="F11" s="2"/>
      <c r="G11" s="3"/>
      <c r="H11" s="432">
        <v>40718.64</v>
      </c>
      <c r="I11" s="3"/>
    </row>
    <row r="12">
      <c r="B12" s="426" t="s">
        <v>712</v>
      </c>
      <c r="C12" s="2"/>
      <c r="D12" s="2"/>
      <c r="E12" s="2"/>
      <c r="F12" s="2"/>
      <c r="G12" s="2"/>
      <c r="H12" s="2"/>
      <c r="I12" s="3"/>
    </row>
    <row r="13">
      <c r="B13" s="428" t="s">
        <v>702</v>
      </c>
      <c r="C13" s="3"/>
      <c r="D13" s="429" t="s">
        <v>703</v>
      </c>
      <c r="E13" s="2"/>
      <c r="F13" s="2"/>
      <c r="G13" s="3"/>
      <c r="H13" s="428" t="s">
        <v>701</v>
      </c>
      <c r="I13" s="3"/>
    </row>
    <row r="14">
      <c r="B14" s="428" t="s">
        <v>705</v>
      </c>
      <c r="C14" s="3"/>
      <c r="D14" s="429" t="s">
        <v>706</v>
      </c>
      <c r="E14" s="2"/>
      <c r="F14" s="2"/>
      <c r="G14" s="3"/>
      <c r="H14" s="433">
        <v>43989.56</v>
      </c>
      <c r="I14" s="3"/>
    </row>
    <row r="15">
      <c r="B15" s="426" t="s">
        <v>713</v>
      </c>
      <c r="C15" s="2"/>
      <c r="D15" s="2"/>
      <c r="E15" s="2"/>
      <c r="F15" s="2"/>
      <c r="G15" s="2"/>
      <c r="H15" s="2"/>
      <c r="I15" s="3"/>
    </row>
    <row r="16">
      <c r="B16" s="428" t="s">
        <v>702</v>
      </c>
      <c r="C16" s="3"/>
      <c r="D16" s="429" t="s">
        <v>703</v>
      </c>
      <c r="E16" s="2"/>
      <c r="F16" s="2"/>
      <c r="G16" s="3"/>
      <c r="H16" s="428" t="s">
        <v>701</v>
      </c>
      <c r="I16" s="3"/>
    </row>
    <row r="17">
      <c r="B17" s="428" t="s">
        <v>705</v>
      </c>
      <c r="C17" s="3"/>
      <c r="D17" s="429" t="s">
        <v>706</v>
      </c>
      <c r="E17" s="2"/>
      <c r="F17" s="2"/>
      <c r="G17" s="3"/>
      <c r="H17" s="433">
        <v>41469.3</v>
      </c>
      <c r="I17" s="3"/>
      <c r="J17" s="159"/>
    </row>
    <row r="18">
      <c r="B18" s="426" t="s">
        <v>714</v>
      </c>
      <c r="C18" s="2"/>
      <c r="D18" s="2"/>
      <c r="E18" s="2"/>
      <c r="F18" s="2"/>
      <c r="G18" s="2"/>
      <c r="H18" s="2"/>
      <c r="I18" s="3"/>
      <c r="J18" s="159"/>
    </row>
    <row r="19">
      <c r="B19" s="428" t="s">
        <v>702</v>
      </c>
      <c r="C19" s="3"/>
      <c r="D19" s="429" t="s">
        <v>703</v>
      </c>
      <c r="E19" s="2"/>
      <c r="F19" s="2"/>
      <c r="G19" s="3"/>
      <c r="H19" s="428" t="s">
        <v>701</v>
      </c>
      <c r="I19" s="3"/>
      <c r="J19" s="159"/>
    </row>
    <row r="20">
      <c r="B20" s="428" t="s">
        <v>705</v>
      </c>
      <c r="C20" s="3"/>
      <c r="D20" s="429" t="s">
        <v>706</v>
      </c>
      <c r="E20" s="2"/>
      <c r="F20" s="2"/>
      <c r="G20" s="3"/>
      <c r="H20" s="433">
        <v>48055.79</v>
      </c>
      <c r="I20" s="3"/>
      <c r="J20" s="159"/>
    </row>
    <row r="21">
      <c r="B21" s="426" t="s">
        <v>715</v>
      </c>
      <c r="C21" s="2"/>
      <c r="D21" s="2"/>
      <c r="E21" s="2"/>
      <c r="F21" s="2"/>
      <c r="G21" s="2"/>
      <c r="H21" s="2"/>
      <c r="I21" s="3"/>
      <c r="J21" s="159"/>
    </row>
    <row r="22">
      <c r="B22" s="428" t="s">
        <v>702</v>
      </c>
      <c r="C22" s="3"/>
      <c r="D22" s="429" t="s">
        <v>703</v>
      </c>
      <c r="E22" s="2"/>
      <c r="F22" s="2"/>
      <c r="G22" s="3"/>
      <c r="H22" s="428" t="s">
        <v>701</v>
      </c>
      <c r="I22" s="3"/>
      <c r="J22" s="159"/>
    </row>
    <row r="23">
      <c r="B23" s="428" t="s">
        <v>705</v>
      </c>
      <c r="C23" s="3"/>
      <c r="D23" s="429" t="s">
        <v>706</v>
      </c>
      <c r="E23" s="2"/>
      <c r="F23" s="2"/>
      <c r="G23" s="3"/>
      <c r="H23" s="432">
        <f>H17+H14+H11+H8+H5+H20</f>
        <v>234487.05</v>
      </c>
      <c r="I23" s="3"/>
      <c r="J23" s="159"/>
    </row>
    <row r="25">
      <c r="B25" s="424" t="s">
        <v>716</v>
      </c>
      <c r="C25" s="2"/>
      <c r="D25" s="2"/>
      <c r="E25" s="2"/>
      <c r="F25" s="2"/>
      <c r="G25" s="2"/>
      <c r="H25" s="2"/>
      <c r="I25" s="3"/>
      <c r="K25" s="425" t="s">
        <v>717</v>
      </c>
      <c r="L25" s="2"/>
      <c r="M25" s="2"/>
      <c r="N25" s="3"/>
    </row>
    <row r="26">
      <c r="B26" s="426" t="s">
        <v>718</v>
      </c>
      <c r="C26" s="2"/>
      <c r="D26" s="2"/>
      <c r="E26" s="2"/>
      <c r="F26" s="2"/>
      <c r="G26" s="2"/>
      <c r="H26" s="2"/>
      <c r="I26" s="3"/>
      <c r="K26" s="427" t="s">
        <v>699</v>
      </c>
      <c r="L26" s="427" t="s">
        <v>700</v>
      </c>
      <c r="M26" s="427" t="s">
        <v>701</v>
      </c>
      <c r="N26" s="427" t="s">
        <v>719</v>
      </c>
    </row>
    <row r="27">
      <c r="B27" s="428" t="s">
        <v>702</v>
      </c>
      <c r="C27" s="3"/>
      <c r="D27" s="429" t="s">
        <v>703</v>
      </c>
      <c r="E27" s="2"/>
      <c r="F27" s="2"/>
      <c r="G27" s="3"/>
      <c r="H27" s="428" t="s">
        <v>701</v>
      </c>
      <c r="I27" s="3"/>
      <c r="K27" s="430">
        <v>46234.0</v>
      </c>
      <c r="L27" s="391" t="s">
        <v>720</v>
      </c>
      <c r="M27" s="391">
        <v>461.03</v>
      </c>
      <c r="N27" s="431" t="s">
        <v>721</v>
      </c>
    </row>
    <row r="28">
      <c r="B28" s="428" t="s">
        <v>722</v>
      </c>
      <c r="C28" s="3"/>
      <c r="D28" s="429" t="s">
        <v>706</v>
      </c>
      <c r="E28" s="2"/>
      <c r="F28" s="2"/>
      <c r="G28" s="3"/>
      <c r="H28" s="433">
        <v>461.03</v>
      </c>
      <c r="I28" s="3"/>
    </row>
    <row r="31">
      <c r="B31" s="424" t="s">
        <v>723</v>
      </c>
      <c r="C31" s="2"/>
      <c r="D31" s="2"/>
      <c r="E31" s="2"/>
      <c r="F31" s="2"/>
      <c r="G31" s="2"/>
      <c r="H31" s="2"/>
      <c r="I31" s="3"/>
    </row>
    <row r="32">
      <c r="B32" s="426" t="s">
        <v>708</v>
      </c>
      <c r="C32" s="2"/>
      <c r="D32" s="2"/>
      <c r="E32" s="2"/>
      <c r="F32" s="2"/>
      <c r="G32" s="2"/>
      <c r="H32" s="2"/>
      <c r="I32" s="3"/>
    </row>
    <row r="33">
      <c r="B33" s="428" t="s">
        <v>702</v>
      </c>
      <c r="C33" s="3"/>
      <c r="D33" s="428" t="s">
        <v>703</v>
      </c>
      <c r="E33" s="3"/>
      <c r="F33" s="428" t="s">
        <v>724</v>
      </c>
      <c r="G33" s="3"/>
      <c r="H33" s="428" t="s">
        <v>701</v>
      </c>
      <c r="I33" s="3"/>
    </row>
    <row r="34" ht="70.5" customHeight="1">
      <c r="B34" s="436" t="s">
        <v>725</v>
      </c>
      <c r="C34" s="3"/>
      <c r="D34" s="436" t="s">
        <v>706</v>
      </c>
      <c r="E34" s="3"/>
      <c r="F34" s="437" t="s">
        <v>365</v>
      </c>
      <c r="G34" s="3"/>
      <c r="H34" s="438">
        <v>16800.11</v>
      </c>
      <c r="I34" s="3"/>
    </row>
    <row r="35">
      <c r="B35" s="436" t="s">
        <v>725</v>
      </c>
      <c r="C35" s="3"/>
      <c r="D35" s="436" t="s">
        <v>726</v>
      </c>
      <c r="E35" s="3"/>
      <c r="F35" s="439" t="s">
        <v>377</v>
      </c>
      <c r="G35" s="3"/>
      <c r="H35" s="438">
        <v>11496.36</v>
      </c>
      <c r="I35" s="3"/>
    </row>
    <row r="36">
      <c r="B36" s="436" t="s">
        <v>725</v>
      </c>
      <c r="C36" s="3"/>
      <c r="D36" s="440" t="s">
        <v>727</v>
      </c>
      <c r="E36" s="3"/>
      <c r="F36" s="230" t="s">
        <v>385</v>
      </c>
      <c r="G36" s="3"/>
      <c r="H36" s="441">
        <f>303.75+3000+1000+1000</f>
        <v>5303.75</v>
      </c>
      <c r="I36" s="3"/>
    </row>
    <row r="37">
      <c r="B37" s="436" t="s">
        <v>725</v>
      </c>
      <c r="C37" s="3"/>
      <c r="D37" s="436" t="s">
        <v>728</v>
      </c>
      <c r="E37" s="3"/>
      <c r="F37" s="204" t="s">
        <v>370</v>
      </c>
      <c r="G37" s="3"/>
      <c r="H37" s="442">
        <v>331448.94999999995</v>
      </c>
      <c r="I37" s="3"/>
    </row>
    <row r="38">
      <c r="B38" s="436" t="s">
        <v>725</v>
      </c>
      <c r="C38" s="3"/>
      <c r="D38" s="436" t="s">
        <v>729</v>
      </c>
      <c r="E38" s="3"/>
      <c r="F38" s="443" t="s">
        <v>232</v>
      </c>
      <c r="G38" s="3"/>
      <c r="H38" s="444">
        <v>2700.08</v>
      </c>
      <c r="I38" s="3"/>
    </row>
    <row r="39">
      <c r="B39" s="436" t="s">
        <v>725</v>
      </c>
      <c r="C39" s="3"/>
      <c r="D39" s="440" t="s">
        <v>730</v>
      </c>
      <c r="E39" s="3"/>
      <c r="F39" s="233" t="s">
        <v>388</v>
      </c>
      <c r="G39" s="3"/>
      <c r="H39" s="441">
        <v>328748.86999999994</v>
      </c>
      <c r="I39" s="3"/>
    </row>
    <row r="40">
      <c r="B40" s="440" t="s">
        <v>725</v>
      </c>
      <c r="C40" s="3"/>
      <c r="D40" s="440" t="s">
        <v>731</v>
      </c>
      <c r="E40" s="3"/>
      <c r="F40" s="233" t="s">
        <v>732</v>
      </c>
      <c r="G40" s="3"/>
      <c r="H40" s="441">
        <f>H36+H39</f>
        <v>334052.62</v>
      </c>
      <c r="I40" s="3"/>
    </row>
    <row r="41">
      <c r="B41" s="440" t="s">
        <v>733</v>
      </c>
      <c r="C41" s="2"/>
      <c r="D41" s="2"/>
      <c r="E41" s="2"/>
      <c r="F41" s="2"/>
      <c r="G41" s="2"/>
      <c r="H41" s="2"/>
      <c r="I41" s="3"/>
    </row>
    <row r="42">
      <c r="B42" s="426" t="s">
        <v>711</v>
      </c>
      <c r="C42" s="2"/>
      <c r="D42" s="2"/>
      <c r="E42" s="2"/>
      <c r="F42" s="2"/>
      <c r="G42" s="2"/>
      <c r="H42" s="2"/>
      <c r="I42" s="3"/>
    </row>
    <row r="43">
      <c r="B43" s="428" t="s">
        <v>702</v>
      </c>
      <c r="C43" s="3"/>
      <c r="D43" s="428" t="s">
        <v>703</v>
      </c>
      <c r="E43" s="3"/>
      <c r="F43" s="428" t="s">
        <v>724</v>
      </c>
      <c r="G43" s="3"/>
      <c r="H43" s="428" t="s">
        <v>701</v>
      </c>
      <c r="I43" s="3"/>
    </row>
    <row r="44">
      <c r="B44" s="436" t="s">
        <v>725</v>
      </c>
      <c r="C44" s="3"/>
      <c r="D44" s="436" t="s">
        <v>706</v>
      </c>
      <c r="E44" s="3"/>
      <c r="F44" s="230" t="s">
        <v>390</v>
      </c>
      <c r="G44" s="3"/>
      <c r="H44" s="438">
        <v>15100.02</v>
      </c>
      <c r="I44" s="3"/>
    </row>
    <row r="45">
      <c r="B45" s="436" t="s">
        <v>725</v>
      </c>
      <c r="C45" s="3"/>
      <c r="D45" s="436" t="s">
        <v>728</v>
      </c>
      <c r="E45" s="3"/>
      <c r="F45" s="204" t="s">
        <v>392</v>
      </c>
      <c r="G45" s="3"/>
      <c r="H45" s="445">
        <v>376603.34</v>
      </c>
      <c r="I45" s="3"/>
    </row>
    <row r="46">
      <c r="B46" s="440" t="s">
        <v>725</v>
      </c>
      <c r="C46" s="3"/>
      <c r="D46" s="440" t="s">
        <v>715</v>
      </c>
      <c r="E46" s="3"/>
      <c r="F46" s="233" t="s">
        <v>734</v>
      </c>
      <c r="G46" s="3"/>
      <c r="H46" s="446">
        <f>H44+H45</f>
        <v>391703.36</v>
      </c>
      <c r="I46" s="3"/>
    </row>
    <row r="47">
      <c r="B47" s="426" t="s">
        <v>712</v>
      </c>
      <c r="C47" s="2"/>
      <c r="D47" s="2"/>
      <c r="E47" s="2"/>
      <c r="F47" s="2"/>
      <c r="G47" s="2"/>
      <c r="H47" s="2"/>
      <c r="I47" s="3"/>
    </row>
    <row r="48">
      <c r="B48" s="428" t="s">
        <v>702</v>
      </c>
      <c r="C48" s="3"/>
      <c r="D48" s="428" t="s">
        <v>703</v>
      </c>
      <c r="E48" s="3"/>
      <c r="F48" s="428" t="s">
        <v>724</v>
      </c>
      <c r="G48" s="3"/>
      <c r="H48" s="428" t="s">
        <v>701</v>
      </c>
      <c r="I48" s="3"/>
    </row>
    <row r="49">
      <c r="B49" s="436" t="s">
        <v>725</v>
      </c>
      <c r="C49" s="3"/>
      <c r="D49" s="436" t="s">
        <v>706</v>
      </c>
      <c r="E49" s="3"/>
      <c r="F49" s="233" t="s">
        <v>537</v>
      </c>
      <c r="G49" s="3"/>
      <c r="H49" s="438">
        <v>12000.0</v>
      </c>
      <c r="I49" s="3"/>
    </row>
    <row r="50">
      <c r="B50" s="436" t="s">
        <v>725</v>
      </c>
      <c r="C50" s="3"/>
      <c r="D50" s="436" t="s">
        <v>728</v>
      </c>
      <c r="E50" s="3"/>
      <c r="F50" s="233" t="s">
        <v>539</v>
      </c>
      <c r="G50" s="3"/>
      <c r="H50" s="445">
        <v>398312.1</v>
      </c>
      <c r="I50" s="3"/>
    </row>
    <row r="51">
      <c r="B51" s="440" t="s">
        <v>725</v>
      </c>
      <c r="C51" s="3"/>
      <c r="D51" s="440" t="s">
        <v>715</v>
      </c>
      <c r="E51" s="3"/>
      <c r="F51" s="233" t="s">
        <v>735</v>
      </c>
      <c r="G51" s="3"/>
      <c r="H51" s="446">
        <f>H49+H50</f>
        <v>410312.1</v>
      </c>
      <c r="I51" s="3"/>
    </row>
    <row r="52">
      <c r="B52" s="426" t="s">
        <v>713</v>
      </c>
      <c r="C52" s="2"/>
      <c r="D52" s="2"/>
      <c r="E52" s="2"/>
      <c r="F52" s="2"/>
      <c r="G52" s="2"/>
      <c r="H52" s="2"/>
      <c r="I52" s="3"/>
    </row>
    <row r="53">
      <c r="B53" s="428" t="s">
        <v>702</v>
      </c>
      <c r="C53" s="3"/>
      <c r="D53" s="428" t="s">
        <v>703</v>
      </c>
      <c r="E53" s="3"/>
      <c r="F53" s="428" t="s">
        <v>724</v>
      </c>
      <c r="G53" s="3"/>
      <c r="H53" s="428" t="s">
        <v>701</v>
      </c>
      <c r="I53" s="3"/>
    </row>
    <row r="54">
      <c r="B54" s="436" t="s">
        <v>725</v>
      </c>
      <c r="C54" s="3"/>
      <c r="D54" s="436" t="s">
        <v>706</v>
      </c>
      <c r="E54" s="3"/>
      <c r="F54" s="233" t="s">
        <v>638</v>
      </c>
      <c r="G54" s="3"/>
      <c r="H54" s="438">
        <v>10818.99</v>
      </c>
      <c r="I54" s="3"/>
    </row>
    <row r="55">
      <c r="B55" s="436" t="s">
        <v>725</v>
      </c>
      <c r="C55" s="3"/>
      <c r="D55" s="436" t="s">
        <v>728</v>
      </c>
      <c r="E55" s="3"/>
      <c r="F55" s="447" t="s">
        <v>736</v>
      </c>
      <c r="G55" s="3"/>
      <c r="H55" s="445">
        <v>373926.73</v>
      </c>
      <c r="I55" s="3"/>
    </row>
    <row r="56">
      <c r="B56" s="440" t="s">
        <v>725</v>
      </c>
      <c r="C56" s="3"/>
      <c r="D56" s="440" t="s">
        <v>715</v>
      </c>
      <c r="E56" s="3"/>
      <c r="F56" s="233" t="s">
        <v>737</v>
      </c>
      <c r="G56" s="3"/>
      <c r="H56" s="446">
        <f>SUM(H54:H55)</f>
        <v>384745.72</v>
      </c>
      <c r="I56" s="3"/>
    </row>
    <row r="57">
      <c r="B57" s="426" t="s">
        <v>714</v>
      </c>
      <c r="C57" s="2"/>
      <c r="D57" s="2"/>
      <c r="E57" s="2"/>
      <c r="F57" s="2"/>
      <c r="G57" s="2"/>
      <c r="H57" s="2"/>
      <c r="I57" s="3"/>
    </row>
    <row r="58">
      <c r="B58" s="428" t="s">
        <v>702</v>
      </c>
      <c r="C58" s="3"/>
      <c r="D58" s="428" t="s">
        <v>703</v>
      </c>
      <c r="E58" s="3"/>
      <c r="F58" s="428" t="s">
        <v>724</v>
      </c>
      <c r="G58" s="3"/>
      <c r="H58" s="428" t="s">
        <v>701</v>
      </c>
      <c r="I58" s="3"/>
    </row>
    <row r="59">
      <c r="B59" s="436" t="s">
        <v>725</v>
      </c>
      <c r="C59" s="3"/>
      <c r="D59" s="436" t="s">
        <v>706</v>
      </c>
      <c r="E59" s="3"/>
      <c r="F59" s="233" t="s">
        <v>738</v>
      </c>
      <c r="G59" s="3"/>
      <c r="H59" s="448">
        <v>11578.04</v>
      </c>
      <c r="I59" s="3"/>
    </row>
    <row r="60">
      <c r="B60" s="436" t="s">
        <v>725</v>
      </c>
      <c r="C60" s="3"/>
      <c r="D60" s="436" t="s">
        <v>728</v>
      </c>
      <c r="E60" s="3"/>
      <c r="F60" s="447" t="s">
        <v>739</v>
      </c>
      <c r="G60" s="3"/>
      <c r="H60" s="442">
        <v>329536.23</v>
      </c>
      <c r="I60" s="3"/>
    </row>
    <row r="61">
      <c r="B61" s="440" t="s">
        <v>725</v>
      </c>
      <c r="C61" s="3"/>
      <c r="D61" s="440" t="s">
        <v>715</v>
      </c>
      <c r="E61" s="3"/>
      <c r="F61" s="233" t="s">
        <v>740</v>
      </c>
      <c r="G61" s="3"/>
      <c r="H61" s="446">
        <f>SUM(H59:H60)</f>
        <v>341114.27</v>
      </c>
      <c r="I61" s="3"/>
    </row>
    <row r="62">
      <c r="B62" s="426" t="s">
        <v>715</v>
      </c>
      <c r="C62" s="2"/>
      <c r="D62" s="2"/>
      <c r="E62" s="2"/>
      <c r="F62" s="2"/>
      <c r="G62" s="2"/>
      <c r="H62" s="2"/>
      <c r="I62" s="3"/>
    </row>
    <row r="63">
      <c r="B63" s="428" t="s">
        <v>702</v>
      </c>
      <c r="C63" s="3"/>
      <c r="D63" s="428" t="s">
        <v>703</v>
      </c>
      <c r="E63" s="3"/>
      <c r="F63" s="428" t="s">
        <v>741</v>
      </c>
      <c r="G63" s="3"/>
      <c r="H63" s="428" t="s">
        <v>701</v>
      </c>
      <c r="I63" s="3"/>
    </row>
    <row r="64">
      <c r="B64" s="428" t="s">
        <v>725</v>
      </c>
      <c r="C64" s="3"/>
      <c r="D64" s="428"/>
      <c r="E64" s="3"/>
      <c r="F64" s="432">
        <f>H56+H51+H46+H61</f>
        <v>1527875.45</v>
      </c>
      <c r="G64" s="3"/>
      <c r="H64" s="449">
        <f>H56+H51+H46+H40+H61</f>
        <v>1861928.07</v>
      </c>
      <c r="I64" s="3"/>
    </row>
  </sheetData>
  <mergeCells count="173">
    <mergeCell ref="B44:C44"/>
    <mergeCell ref="D44:E44"/>
    <mergeCell ref="F44:G44"/>
    <mergeCell ref="H44:I44"/>
    <mergeCell ref="D45:E45"/>
    <mergeCell ref="F45:G45"/>
    <mergeCell ref="H45:I45"/>
    <mergeCell ref="B45:C45"/>
    <mergeCell ref="B46:C46"/>
    <mergeCell ref="D46:E46"/>
    <mergeCell ref="F46:G46"/>
    <mergeCell ref="H46:I46"/>
    <mergeCell ref="B47:I47"/>
    <mergeCell ref="B48:C48"/>
    <mergeCell ref="H48:I48"/>
    <mergeCell ref="B59:C59"/>
    <mergeCell ref="D59:E59"/>
    <mergeCell ref="F59:G59"/>
    <mergeCell ref="H59:I59"/>
    <mergeCell ref="D60:E60"/>
    <mergeCell ref="F60:G60"/>
    <mergeCell ref="H60:I60"/>
    <mergeCell ref="B60:C60"/>
    <mergeCell ref="B61:C61"/>
    <mergeCell ref="D61:E61"/>
    <mergeCell ref="F61:G61"/>
    <mergeCell ref="H61:I61"/>
    <mergeCell ref="B62:I62"/>
    <mergeCell ref="B63:C63"/>
    <mergeCell ref="H63:I63"/>
    <mergeCell ref="B27:C27"/>
    <mergeCell ref="D27:G27"/>
    <mergeCell ref="H27:I27"/>
    <mergeCell ref="B28:C28"/>
    <mergeCell ref="D28:G28"/>
    <mergeCell ref="H28:I28"/>
    <mergeCell ref="B31:I31"/>
    <mergeCell ref="F34:G34"/>
    <mergeCell ref="H34:I34"/>
    <mergeCell ref="B32:I32"/>
    <mergeCell ref="B33:C33"/>
    <mergeCell ref="D33:E33"/>
    <mergeCell ref="F33:G33"/>
    <mergeCell ref="H33:I33"/>
    <mergeCell ref="B34:C34"/>
    <mergeCell ref="D34:E34"/>
    <mergeCell ref="B35:C35"/>
    <mergeCell ref="D35:E35"/>
    <mergeCell ref="F35:G35"/>
    <mergeCell ref="H35:I35"/>
    <mergeCell ref="D36:E36"/>
    <mergeCell ref="F36:G36"/>
    <mergeCell ref="H36:I36"/>
    <mergeCell ref="F38:G38"/>
    <mergeCell ref="H38:I38"/>
    <mergeCell ref="B36:C36"/>
    <mergeCell ref="B37:C37"/>
    <mergeCell ref="D37:E37"/>
    <mergeCell ref="F37:G37"/>
    <mergeCell ref="H37:I37"/>
    <mergeCell ref="B38:C38"/>
    <mergeCell ref="D38:E38"/>
    <mergeCell ref="D63:E63"/>
    <mergeCell ref="F63:G63"/>
    <mergeCell ref="B64:C64"/>
    <mergeCell ref="D64:E64"/>
    <mergeCell ref="F64:G64"/>
    <mergeCell ref="H64:I64"/>
    <mergeCell ref="B18:I18"/>
    <mergeCell ref="D19:G19"/>
    <mergeCell ref="H19:I19"/>
    <mergeCell ref="B19:C19"/>
    <mergeCell ref="B20:C20"/>
    <mergeCell ref="D20:G20"/>
    <mergeCell ref="H20:I20"/>
    <mergeCell ref="B21:I21"/>
    <mergeCell ref="D22:G22"/>
    <mergeCell ref="H22:I22"/>
    <mergeCell ref="B2:I2"/>
    <mergeCell ref="K2:M2"/>
    <mergeCell ref="B3:I3"/>
    <mergeCell ref="B4:C4"/>
    <mergeCell ref="D4:G4"/>
    <mergeCell ref="H4:I4"/>
    <mergeCell ref="B5:C5"/>
    <mergeCell ref="D8:G8"/>
    <mergeCell ref="H8:I8"/>
    <mergeCell ref="K8:L8"/>
    <mergeCell ref="D5:G5"/>
    <mergeCell ref="H5:I5"/>
    <mergeCell ref="B6:I6"/>
    <mergeCell ref="B7:C7"/>
    <mergeCell ref="D7:G7"/>
    <mergeCell ref="H7:I7"/>
    <mergeCell ref="B9:I9"/>
    <mergeCell ref="D10:G10"/>
    <mergeCell ref="H10:I10"/>
    <mergeCell ref="D11:G11"/>
    <mergeCell ref="H11:I11"/>
    <mergeCell ref="B12:I12"/>
    <mergeCell ref="D13:G13"/>
    <mergeCell ref="H13:I13"/>
    <mergeCell ref="D14:G14"/>
    <mergeCell ref="H14:I14"/>
    <mergeCell ref="B15:I15"/>
    <mergeCell ref="D16:G16"/>
    <mergeCell ref="H16:I16"/>
    <mergeCell ref="D17:G17"/>
    <mergeCell ref="H17:I17"/>
    <mergeCell ref="B8:C8"/>
    <mergeCell ref="B10:C10"/>
    <mergeCell ref="B11:C11"/>
    <mergeCell ref="B13:C13"/>
    <mergeCell ref="B14:C14"/>
    <mergeCell ref="B16:C16"/>
    <mergeCell ref="B17:C17"/>
    <mergeCell ref="B22:C22"/>
    <mergeCell ref="B23:C23"/>
    <mergeCell ref="D23:G23"/>
    <mergeCell ref="H23:I23"/>
    <mergeCell ref="B25:I25"/>
    <mergeCell ref="K25:N25"/>
    <mergeCell ref="B26:I26"/>
    <mergeCell ref="B39:C39"/>
    <mergeCell ref="D39:E39"/>
    <mergeCell ref="F39:G39"/>
    <mergeCell ref="H39:I39"/>
    <mergeCell ref="B40:C40"/>
    <mergeCell ref="D40:E40"/>
    <mergeCell ref="F40:G40"/>
    <mergeCell ref="H40:I40"/>
    <mergeCell ref="B41:I41"/>
    <mergeCell ref="B42:I42"/>
    <mergeCell ref="B43:C43"/>
    <mergeCell ref="D43:E43"/>
    <mergeCell ref="F43:G43"/>
    <mergeCell ref="H43:I43"/>
    <mergeCell ref="D50:E50"/>
    <mergeCell ref="F50:G50"/>
    <mergeCell ref="D48:E48"/>
    <mergeCell ref="F48:G48"/>
    <mergeCell ref="B49:C49"/>
    <mergeCell ref="D49:E49"/>
    <mergeCell ref="F49:G49"/>
    <mergeCell ref="H49:I49"/>
    <mergeCell ref="H50:I50"/>
    <mergeCell ref="D53:E53"/>
    <mergeCell ref="F53:G53"/>
    <mergeCell ref="B50:C50"/>
    <mergeCell ref="B51:C51"/>
    <mergeCell ref="D51:E51"/>
    <mergeCell ref="F51:G51"/>
    <mergeCell ref="H51:I51"/>
    <mergeCell ref="B52:I52"/>
    <mergeCell ref="H53:I53"/>
    <mergeCell ref="F55:G55"/>
    <mergeCell ref="H55:I55"/>
    <mergeCell ref="B53:C53"/>
    <mergeCell ref="B54:C54"/>
    <mergeCell ref="D54:E54"/>
    <mergeCell ref="F54:G54"/>
    <mergeCell ref="H54:I54"/>
    <mergeCell ref="B55:C55"/>
    <mergeCell ref="D55:E55"/>
    <mergeCell ref="F58:G58"/>
    <mergeCell ref="H58:I58"/>
    <mergeCell ref="B56:C56"/>
    <mergeCell ref="D56:E56"/>
    <mergeCell ref="F56:G56"/>
    <mergeCell ref="H56:I56"/>
    <mergeCell ref="B57:I57"/>
    <mergeCell ref="B58:C58"/>
    <mergeCell ref="D58:E58"/>
  </mergeCell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2026-06-24T17:50:36Z</dcterms:created>
  <dc:creator>Luisa Paola Kassandri Jaramillo Rangel y Saldaña</dc:creator>
</cp:coreProperties>
</file>