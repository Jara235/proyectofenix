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esktop\Proyecto fenix\gasolina\conciliacion levet\"/>
    </mc:Choice>
  </mc:AlternateContent>
  <xr:revisionPtr revIDLastSave="0" documentId="13_ncr:1_{BFC9515E-457E-497B-AF44-1990D32D97C7}" xr6:coauthVersionLast="47" xr6:coauthVersionMax="47" xr10:uidLastSave="{00000000-0000-0000-0000-000000000000}"/>
  <bookViews>
    <workbookView xWindow="-108" yWindow="-108" windowWidth="23256" windowHeight="12456" xr2:uid="{5017DAA2-5112-49EA-8100-C6A6DB084E8B}"/>
  </bookViews>
  <sheets>
    <sheet name="AGOSTO 2026" sheetId="1" r:id="rId1"/>
  </sheets>
  <definedNames>
    <definedName name="_xlnm._FilterDatabase" localSheetId="0" hidden="1">'AGOSTO 2026'!$A$4:$I$80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8" i="1" l="1"/>
  <c r="I71" i="1"/>
  <c r="I74" i="1" s="1"/>
  <c r="J67" i="1"/>
  <c r="J66" i="1"/>
  <c r="J58" i="1"/>
  <c r="J52" i="1"/>
  <c r="J43" i="1"/>
  <c r="J29" i="1"/>
  <c r="J23" i="1"/>
  <c r="J12" i="1"/>
  <c r="J7" i="1"/>
</calcChain>
</file>

<file path=xl/sharedStrings.xml><?xml version="1.0" encoding="utf-8"?>
<sst xmlns="http://schemas.openxmlformats.org/spreadsheetml/2006/main" count="204" uniqueCount="113">
  <si>
    <t>JDJ</t>
  </si>
  <si>
    <t>REPORTE  DE COMBUSTIBLE</t>
  </si>
  <si>
    <t>CONTROL 2026</t>
  </si>
  <si>
    <t>TICKET</t>
  </si>
  <si>
    <t>FECHA</t>
  </si>
  <si>
    <t>UNID.</t>
  </si>
  <si>
    <t>KILOMETRAJE</t>
  </si>
  <si>
    <t>CONDUCTOR</t>
  </si>
  <si>
    <t>OBRA</t>
  </si>
  <si>
    <t>LTS. DE COMBUST.</t>
  </si>
  <si>
    <t>PRECIO</t>
  </si>
  <si>
    <t>IMPORTE DE CARGA</t>
  </si>
  <si>
    <t>NYZ828C</t>
  </si>
  <si>
    <t>ABNER OSORNIO</t>
  </si>
  <si>
    <t>MINA ZUMPAHUACAN</t>
  </si>
  <si>
    <t>CRISTOBAL SILVA</t>
  </si>
  <si>
    <t>AUT JARAMILLO</t>
  </si>
  <si>
    <t>NYZ839C</t>
  </si>
  <si>
    <t>ISAAC GONZALEZ</t>
  </si>
  <si>
    <t>PCU8771</t>
  </si>
  <si>
    <t>JESUS MARIN</t>
  </si>
  <si>
    <t>MINA CUAJOMAC</t>
  </si>
  <si>
    <t>DIEGO FERNANDEZ</t>
  </si>
  <si>
    <t>LERMA-TENANGO</t>
  </si>
  <si>
    <t>EQ.MENORES</t>
  </si>
  <si>
    <t>PCW9238</t>
  </si>
  <si>
    <t>CARLOS NOE</t>
  </si>
  <si>
    <t xml:space="preserve">MAQUINARIA </t>
  </si>
  <si>
    <t>LH49746</t>
  </si>
  <si>
    <t>CARMELO ALVZ</t>
  </si>
  <si>
    <t>CORPORATIVO</t>
  </si>
  <si>
    <t>NXP4918</t>
  </si>
  <si>
    <t>HENRY PINEDA</t>
  </si>
  <si>
    <t>CARLOS TRUJANO</t>
  </si>
  <si>
    <t>MINA TABERNILLAS</t>
  </si>
  <si>
    <t>MHL755A</t>
  </si>
  <si>
    <t>MEXICO TOLUCA</t>
  </si>
  <si>
    <t>LHB176D</t>
  </si>
  <si>
    <t>JUAN WILLIAMS</t>
  </si>
  <si>
    <t>PLANTA PEGASSO</t>
  </si>
  <si>
    <t>LF05470</t>
  </si>
  <si>
    <t>TOMAS ARANDA</t>
  </si>
  <si>
    <t>NYZ971C</t>
  </si>
  <si>
    <t>APOLINAR REYES</t>
  </si>
  <si>
    <t>NYZ790C</t>
  </si>
  <si>
    <t>LEONICIO</t>
  </si>
  <si>
    <t>NYZ829C</t>
  </si>
  <si>
    <t>DIEGO CARREOLA</t>
  </si>
  <si>
    <t>BACHEO TOLUCA CALLE VICENTE LOMBARDO</t>
  </si>
  <si>
    <t>MNX601B</t>
  </si>
  <si>
    <t>BRYAN CHAVEZ</t>
  </si>
  <si>
    <t>PCW9391</t>
  </si>
  <si>
    <t>MAQUINARIA</t>
  </si>
  <si>
    <t>MHL757A</t>
  </si>
  <si>
    <t>LAZARO PINAL</t>
  </si>
  <si>
    <t>NUZ948C</t>
  </si>
  <si>
    <t>TRANSPORTES FLOTILLA</t>
  </si>
  <si>
    <t>LOWBOYS</t>
  </si>
  <si>
    <t>LHB188D</t>
  </si>
  <si>
    <t>ALFREDO DEL MAZO</t>
  </si>
  <si>
    <t>PAT8298</t>
  </si>
  <si>
    <t>CARLOS</t>
  </si>
  <si>
    <t>33K849</t>
  </si>
  <si>
    <t>LHB180D</t>
  </si>
  <si>
    <t>ARMANDO LANDIN</t>
  </si>
  <si>
    <t>LKC794D</t>
  </si>
  <si>
    <t>ALBERTO HDZ</t>
  </si>
  <si>
    <t>MEF289D</t>
  </si>
  <si>
    <t>EQUIPO Y CONSTRUCCIONES</t>
  </si>
  <si>
    <t>JACK WILLIAMS</t>
  </si>
  <si>
    <t>JOSE CABELLO</t>
  </si>
  <si>
    <t xml:space="preserve">CARLOS </t>
  </si>
  <si>
    <t>JOSE ANTONIO IBAÑEZ</t>
  </si>
  <si>
    <t xml:space="preserve">MINAS TABERNILLAS </t>
  </si>
  <si>
    <t xml:space="preserve">LOWBOYS </t>
  </si>
  <si>
    <t xml:space="preserve">JAVIER PEREZ </t>
  </si>
  <si>
    <t xml:space="preserve">EDGAR </t>
  </si>
  <si>
    <t xml:space="preserve">TRITURADORA ROCA </t>
  </si>
  <si>
    <t xml:space="preserve">TOMAS </t>
  </si>
  <si>
    <t>TOMAS</t>
  </si>
  <si>
    <t>ROBERTO ORTEAGA</t>
  </si>
  <si>
    <t>CALLE AGUSTIN SAN JUAN</t>
  </si>
  <si>
    <t>3K849</t>
  </si>
  <si>
    <t>BACHEO ZUMPAHUACAN</t>
  </si>
  <si>
    <t>SAN JUAN TILAPA</t>
  </si>
  <si>
    <t>PETROLIZADORA</t>
  </si>
  <si>
    <t>DUEGO FERNANDEZ</t>
  </si>
  <si>
    <t>NY2971C</t>
  </si>
  <si>
    <t>RANCHO ZUPOMHUACAN</t>
  </si>
  <si>
    <t>DCW9391</t>
  </si>
  <si>
    <t>ABNER OSORIO</t>
  </si>
  <si>
    <t>ROBERTO ORTEGA</t>
  </si>
  <si>
    <t>CAMINO A SAN JUAN TILAPA</t>
  </si>
  <si>
    <t>LHB10D</t>
  </si>
  <si>
    <t>ARMANDO TANDIN</t>
  </si>
  <si>
    <t>NY7906</t>
  </si>
  <si>
    <t>BRAYAN CHAVEZ ALVAREZ</t>
  </si>
  <si>
    <t>EQUIPOS MENORES</t>
  </si>
  <si>
    <t>LH8184D</t>
  </si>
  <si>
    <t xml:space="preserve">GERARDO </t>
  </si>
  <si>
    <t>DIEGO CORNELA MONROY</t>
  </si>
  <si>
    <t xml:space="preserve">HENRY PINEDA VALLE </t>
  </si>
  <si>
    <t xml:space="preserve">TACOMA </t>
  </si>
  <si>
    <t>2L4085</t>
  </si>
  <si>
    <t xml:space="preserve">PAOLA JARAMILLO </t>
  </si>
  <si>
    <t>BACHEO EN ZUPOMHUACAN</t>
  </si>
  <si>
    <t xml:space="preserve">ROBERTO </t>
  </si>
  <si>
    <t>MHL55A</t>
  </si>
  <si>
    <t>PET8298</t>
  </si>
  <si>
    <t xml:space="preserve">ALBERTO HERNANDEZ </t>
  </si>
  <si>
    <t>TOTAL</t>
  </si>
  <si>
    <t>SALDO X PAGAR</t>
  </si>
  <si>
    <t>DIEGO CARROELA MONROY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</si>
</sst>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/>
    <xf numFmtId="43" fontId="0" fillId="0" borderId="0" xfId="0" applyNumberFormat="1"/>
    <xf numFmtId="0" fontId="3" fillId="0" borderId="9" xfId="0" applyFont="1" applyBorder="1" applyAlignment="1">
      <alignment horizontal="justify" vertical="center" wrapText="1"/>
    </xf>
    <xf numFmtId="14" fontId="3" fillId="0" borderId="10" xfId="0" applyNumberFormat="1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left" vertical="center"/>
    </xf>
    <xf numFmtId="43" fontId="3" fillId="0" borderId="11" xfId="0" applyNumberFormat="1" applyFont="1" applyBorder="1" applyAlignment="1">
      <alignment horizontal="justify" vertical="center" wrapText="1"/>
    </xf>
    <xf numFmtId="0" fontId="2" fillId="0" borderId="4" xfId="0" applyFont="1" applyBorder="1"/>
    <xf numFmtId="0" fontId="3" fillId="0" borderId="5" xfId="0" applyFont="1" applyBorder="1"/>
    <xf numFmtId="44" fontId="2" fillId="0" borderId="12" xfId="1" applyFont="1" applyBorder="1"/>
    <xf numFmtId="44" fontId="3" fillId="0" borderId="0" xfId="1" applyFont="1"/>
    <xf numFmtId="0" fontId="4" fillId="0" borderId="0" xfId="0" applyFont="1"/>
    <xf numFmtId="44" fontId="3" fillId="0" borderId="15" xfId="1" applyFont="1" applyBorder="1"/>
    <xf numFmtId="44" fontId="3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52662-EFA8-4F10-A9BF-F6EB11E3A585}">
  <sheetPr>
    <pageSetUpPr fitToPage="1"/>
  </sheetPr>
  <dimension ref="A1:L264"/>
  <sheetViews>
    <sheetView tabSelected="1" zoomScale="85" zoomScaleNormal="85" workbookViewId="0">
      <selection sqref="A1:J68"/>
    </sheetView>
  </sheetViews>
  <sheetFormatPr baseColWidth="10" defaultRowHeight="14.4" x14ac:dyDescent="0.3"/>
  <cols>
    <col min="1" max="1" width="15" style="15" customWidth="1"/>
    <col min="2" max="2" width="18.5546875" style="15" customWidth="1"/>
    <col min="3" max="3" width="9.88671875" style="15" customWidth="1"/>
    <col min="4" max="4" width="11.44140625" style="15" hidden="1" customWidth="1"/>
    <col min="5" max="6" width="36.88671875" style="15" customWidth="1"/>
    <col min="7" max="7" width="9.6640625" style="15" customWidth="1"/>
    <col min="8" max="8" width="6.5546875" style="15" bestFit="1" customWidth="1"/>
    <col min="9" max="9" width="22.44140625" style="15" customWidth="1"/>
    <col min="12" max="12" width="13.33203125" customWidth="1"/>
  </cols>
  <sheetData>
    <row r="1" spans="1:1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</row>
    <row r="2" spans="1:11" x14ac:dyDescent="0.3">
      <c r="A2" s="20" t="s">
        <v>1</v>
      </c>
      <c r="B2" s="21"/>
      <c r="C2" s="21"/>
      <c r="D2" s="21"/>
      <c r="E2" s="21"/>
      <c r="F2" s="21"/>
      <c r="G2" s="21"/>
      <c r="H2" s="21"/>
      <c r="I2" s="21"/>
    </row>
    <row r="3" spans="1:11" ht="15" thickBot="1" x14ac:dyDescent="0.35">
      <c r="A3" s="22" t="s">
        <v>2</v>
      </c>
      <c r="B3" s="23"/>
      <c r="C3" s="23"/>
      <c r="D3" s="23"/>
      <c r="E3" s="23"/>
      <c r="F3" s="23"/>
      <c r="G3" s="23"/>
      <c r="H3" s="23"/>
      <c r="I3" s="23"/>
    </row>
    <row r="4" spans="1:11" s="4" customFormat="1" ht="36.75" customHeigh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3" t="s">
        <v>11</v>
      </c>
    </row>
    <row r="5" spans="1:11" ht="30" hidden="1" customHeight="1" thickBot="1" x14ac:dyDescent="0.35">
      <c r="A5" s="6">
        <v>426538</v>
      </c>
      <c r="B5" s="7">
        <v>46266</v>
      </c>
      <c r="C5" s="8" t="s">
        <v>40</v>
      </c>
      <c r="D5" s="8"/>
      <c r="E5" s="8" t="s">
        <v>79</v>
      </c>
      <c r="F5" s="8" t="s">
        <v>48</v>
      </c>
      <c r="G5" s="8">
        <v>21.844000000000001</v>
      </c>
      <c r="H5" s="9">
        <v>22.89</v>
      </c>
      <c r="I5" s="10">
        <v>500</v>
      </c>
      <c r="J5" s="5"/>
    </row>
    <row r="6" spans="1:11" ht="30" hidden="1" customHeight="1" thickBot="1" x14ac:dyDescent="0.35">
      <c r="A6" s="6">
        <v>426804</v>
      </c>
      <c r="B6" s="7">
        <v>46266</v>
      </c>
      <c r="C6" s="8" t="s">
        <v>63</v>
      </c>
      <c r="D6" s="8"/>
      <c r="E6" s="8" t="s">
        <v>64</v>
      </c>
      <c r="F6" s="8" t="s">
        <v>34</v>
      </c>
      <c r="G6" s="8">
        <v>48.804000000000002</v>
      </c>
      <c r="H6" s="9">
        <v>22.89</v>
      </c>
      <c r="I6" s="10">
        <v>1117.1199999999999</v>
      </c>
      <c r="J6" s="5"/>
    </row>
    <row r="7" spans="1:11" ht="30" hidden="1" customHeight="1" thickBot="1" x14ac:dyDescent="0.35">
      <c r="A7" s="6">
        <v>426779</v>
      </c>
      <c r="B7" s="7">
        <v>46266</v>
      </c>
      <c r="C7" s="8" t="s">
        <v>63</v>
      </c>
      <c r="D7" s="8"/>
      <c r="E7" s="8" t="s">
        <v>72</v>
      </c>
      <c r="F7" s="8" t="s">
        <v>52</v>
      </c>
      <c r="G7" s="8">
        <v>74.275999999999996</v>
      </c>
      <c r="H7" s="9">
        <v>22.89</v>
      </c>
      <c r="I7" s="10">
        <v>1700.18</v>
      </c>
      <c r="J7" s="5">
        <f>SUM(I5:I7)</f>
        <v>3317.3</v>
      </c>
    </row>
    <row r="8" spans="1:11" ht="30" hidden="1" customHeight="1" thickBot="1" x14ac:dyDescent="0.35">
      <c r="A8" s="6">
        <v>427026</v>
      </c>
      <c r="B8" s="7">
        <v>46267</v>
      </c>
      <c r="C8" s="8" t="s">
        <v>40</v>
      </c>
      <c r="D8" s="8"/>
      <c r="E8" s="8" t="s">
        <v>79</v>
      </c>
      <c r="F8" s="8" t="s">
        <v>59</v>
      </c>
      <c r="G8" s="8">
        <v>65.531000000000006</v>
      </c>
      <c r="H8" s="9">
        <v>22.89</v>
      </c>
      <c r="I8" s="10">
        <v>1500</v>
      </c>
      <c r="J8" s="5"/>
    </row>
    <row r="9" spans="1:11" ht="30" hidden="1" customHeight="1" thickBot="1" x14ac:dyDescent="0.35">
      <c r="A9" s="6">
        <v>427386</v>
      </c>
      <c r="B9" s="7">
        <v>46267</v>
      </c>
      <c r="C9" s="8" t="s">
        <v>49</v>
      </c>
      <c r="D9" s="8"/>
      <c r="E9" s="8" t="s">
        <v>80</v>
      </c>
      <c r="F9" s="8" t="s">
        <v>81</v>
      </c>
      <c r="G9" s="8">
        <v>34.950000000000003</v>
      </c>
      <c r="H9" s="9">
        <v>22.89</v>
      </c>
      <c r="I9" s="10">
        <v>800</v>
      </c>
      <c r="J9" s="5"/>
    </row>
    <row r="10" spans="1:11" ht="30" hidden="1" customHeight="1" thickBot="1" x14ac:dyDescent="0.35">
      <c r="A10" s="6">
        <v>427389</v>
      </c>
      <c r="B10" s="7">
        <v>46267</v>
      </c>
      <c r="C10" s="8" t="s">
        <v>67</v>
      </c>
      <c r="D10" s="8"/>
      <c r="E10" s="8" t="s">
        <v>22</v>
      </c>
      <c r="F10" s="8" t="s">
        <v>59</v>
      </c>
      <c r="G10" s="8">
        <v>50.988999999999997</v>
      </c>
      <c r="H10" s="9">
        <v>22.89</v>
      </c>
      <c r="I10" s="10">
        <v>1167.1400000000001</v>
      </c>
      <c r="J10" s="5"/>
    </row>
    <row r="11" spans="1:11" ht="30" hidden="1" customHeight="1" thickBot="1" x14ac:dyDescent="0.35">
      <c r="A11" s="6">
        <v>427388</v>
      </c>
      <c r="B11" s="7">
        <v>46267</v>
      </c>
      <c r="C11" s="8" t="s">
        <v>24</v>
      </c>
      <c r="D11" s="8"/>
      <c r="E11" s="8" t="s">
        <v>22</v>
      </c>
      <c r="F11" s="8" t="s">
        <v>59</v>
      </c>
      <c r="G11" s="8">
        <v>43.686999999999998</v>
      </c>
      <c r="H11" s="9">
        <v>22.89</v>
      </c>
      <c r="I11" s="10">
        <v>1000</v>
      </c>
      <c r="J11" s="5"/>
      <c r="K11" s="5"/>
    </row>
    <row r="12" spans="1:11" ht="30" hidden="1" customHeight="1" thickBot="1" x14ac:dyDescent="0.35">
      <c r="A12" s="6">
        <v>427383</v>
      </c>
      <c r="B12" s="7">
        <v>46267</v>
      </c>
      <c r="C12" s="8" t="s">
        <v>53</v>
      </c>
      <c r="D12" s="8"/>
      <c r="E12" s="8" t="s">
        <v>54</v>
      </c>
      <c r="F12" s="8" t="s">
        <v>34</v>
      </c>
      <c r="G12" s="8">
        <v>65.531000000000006</v>
      </c>
      <c r="H12" s="9">
        <v>22.89</v>
      </c>
      <c r="I12" s="10">
        <v>1500</v>
      </c>
      <c r="J12" s="5">
        <f>SUM(I8:I12)</f>
        <v>5967.14</v>
      </c>
    </row>
    <row r="13" spans="1:11" ht="30" hidden="1" customHeight="1" thickBot="1" x14ac:dyDescent="0.35">
      <c r="A13" s="6">
        <v>427660</v>
      </c>
      <c r="B13" s="7">
        <v>46268</v>
      </c>
      <c r="C13" s="8" t="s">
        <v>31</v>
      </c>
      <c r="D13" s="8"/>
      <c r="E13" s="8" t="s">
        <v>32</v>
      </c>
      <c r="F13" s="8" t="s">
        <v>68</v>
      </c>
      <c r="G13" s="8">
        <v>34.950000000000003</v>
      </c>
      <c r="H13" s="9">
        <v>22.89</v>
      </c>
      <c r="I13" s="10">
        <v>800</v>
      </c>
    </row>
    <row r="14" spans="1:11" ht="30" hidden="1" customHeight="1" thickBot="1" x14ac:dyDescent="0.35">
      <c r="A14" s="6">
        <v>427675</v>
      </c>
      <c r="B14" s="7">
        <v>46268</v>
      </c>
      <c r="C14" s="8" t="s">
        <v>12</v>
      </c>
      <c r="D14" s="8"/>
      <c r="E14" s="8" t="s">
        <v>13</v>
      </c>
      <c r="F14" s="8" t="s">
        <v>14</v>
      </c>
      <c r="G14" s="8">
        <v>21.844000000000001</v>
      </c>
      <c r="H14" s="9">
        <v>22.89</v>
      </c>
      <c r="I14" s="10">
        <v>500</v>
      </c>
    </row>
    <row r="15" spans="1:11" ht="30" hidden="1" customHeight="1" thickBot="1" x14ac:dyDescent="0.35">
      <c r="A15" s="6">
        <v>427649</v>
      </c>
      <c r="B15" s="7">
        <v>46268</v>
      </c>
      <c r="C15" s="8" t="s">
        <v>82</v>
      </c>
      <c r="D15" s="8"/>
      <c r="E15" s="8" t="s">
        <v>33</v>
      </c>
      <c r="F15" s="8" t="s">
        <v>34</v>
      </c>
      <c r="G15" s="8">
        <v>35.854999999999997</v>
      </c>
      <c r="H15" s="9">
        <v>27.89</v>
      </c>
      <c r="I15" s="10">
        <v>1000</v>
      </c>
    </row>
    <row r="16" spans="1:11" ht="30" hidden="1" customHeight="1" thickBot="1" x14ac:dyDescent="0.35">
      <c r="A16" s="6">
        <v>427585</v>
      </c>
      <c r="B16" s="7">
        <v>46237</v>
      </c>
      <c r="C16" s="8" t="s">
        <v>40</v>
      </c>
      <c r="D16" s="8"/>
      <c r="E16" s="8" t="s">
        <v>41</v>
      </c>
      <c r="F16" s="8" t="s">
        <v>83</v>
      </c>
      <c r="G16" s="8">
        <v>65.531000000000006</v>
      </c>
      <c r="H16" s="9">
        <v>22.89</v>
      </c>
      <c r="I16" s="10">
        <v>1500</v>
      </c>
    </row>
    <row r="17" spans="1:10" ht="30" hidden="1" customHeight="1" thickBot="1" x14ac:dyDescent="0.35">
      <c r="A17" s="6">
        <v>428122</v>
      </c>
      <c r="B17" s="7">
        <v>46268</v>
      </c>
      <c r="C17" s="8" t="s">
        <v>63</v>
      </c>
      <c r="D17" s="8"/>
      <c r="E17" s="8" t="s">
        <v>72</v>
      </c>
      <c r="F17" s="8" t="s">
        <v>52</v>
      </c>
      <c r="G17" s="8">
        <v>34.905999999999999</v>
      </c>
      <c r="H17" s="9">
        <v>22.89</v>
      </c>
      <c r="I17" s="10">
        <v>799</v>
      </c>
    </row>
    <row r="18" spans="1:10" ht="30" hidden="1" customHeight="1" thickBot="1" x14ac:dyDescent="0.35">
      <c r="A18" s="6">
        <v>428119</v>
      </c>
      <c r="B18" s="7">
        <v>46268</v>
      </c>
      <c r="C18" s="8" t="s">
        <v>46</v>
      </c>
      <c r="D18" s="8"/>
      <c r="E18" s="8" t="s">
        <v>47</v>
      </c>
      <c r="F18" s="8" t="s">
        <v>48</v>
      </c>
      <c r="G18" s="8">
        <v>34.950000000000003</v>
      </c>
      <c r="H18" s="9">
        <v>22.89</v>
      </c>
      <c r="I18" s="10">
        <v>800</v>
      </c>
    </row>
    <row r="19" spans="1:10" ht="30" hidden="1" customHeight="1" thickBot="1" x14ac:dyDescent="0.35">
      <c r="A19" s="6">
        <v>428115</v>
      </c>
      <c r="B19" s="7">
        <v>46268</v>
      </c>
      <c r="C19" s="8" t="s">
        <v>28</v>
      </c>
      <c r="D19" s="8"/>
      <c r="E19" s="8" t="s">
        <v>29</v>
      </c>
      <c r="F19" s="8" t="s">
        <v>84</v>
      </c>
      <c r="G19" s="8">
        <v>124.523</v>
      </c>
      <c r="H19" s="9">
        <v>22.89</v>
      </c>
      <c r="I19" s="10">
        <v>2850.33</v>
      </c>
    </row>
    <row r="20" spans="1:10" ht="30" hidden="1" customHeight="1" thickBot="1" x14ac:dyDescent="0.35">
      <c r="A20" s="6">
        <v>427843</v>
      </c>
      <c r="B20" s="7">
        <v>46268</v>
      </c>
      <c r="C20" s="8" t="s">
        <v>60</v>
      </c>
      <c r="D20" s="8"/>
      <c r="E20" s="8" t="s">
        <v>69</v>
      </c>
      <c r="F20" s="8" t="s">
        <v>39</v>
      </c>
      <c r="G20" s="8">
        <v>13.106</v>
      </c>
      <c r="H20" s="9">
        <v>22.89</v>
      </c>
      <c r="I20" s="10">
        <v>300</v>
      </c>
    </row>
    <row r="21" spans="1:10" ht="30" hidden="1" customHeight="1" thickBot="1" x14ac:dyDescent="0.35">
      <c r="A21" s="6">
        <v>428112</v>
      </c>
      <c r="B21" s="7">
        <v>46268</v>
      </c>
      <c r="C21" s="8" t="s">
        <v>51</v>
      </c>
      <c r="D21" s="8"/>
      <c r="E21" s="8" t="s">
        <v>76</v>
      </c>
      <c r="F21" s="8" t="s">
        <v>52</v>
      </c>
      <c r="G21" s="8">
        <v>5.0679999999999996</v>
      </c>
      <c r="H21" s="9">
        <v>22.89</v>
      </c>
      <c r="I21" s="10">
        <v>116</v>
      </c>
    </row>
    <row r="22" spans="1:10" ht="30" hidden="1" customHeight="1" thickBot="1" x14ac:dyDescent="0.35">
      <c r="A22" s="6">
        <v>428111</v>
      </c>
      <c r="B22" s="7">
        <v>46268</v>
      </c>
      <c r="C22" s="8" t="s">
        <v>51</v>
      </c>
      <c r="D22" s="8"/>
      <c r="E22" s="8" t="s">
        <v>76</v>
      </c>
      <c r="F22" s="8" t="s">
        <v>52</v>
      </c>
      <c r="G22" s="8">
        <v>20</v>
      </c>
      <c r="H22" s="9">
        <v>22.89</v>
      </c>
      <c r="I22" s="10">
        <v>457.8</v>
      </c>
    </row>
    <row r="23" spans="1:10" ht="30" hidden="1" customHeight="1" thickBot="1" x14ac:dyDescent="0.35">
      <c r="A23" s="6">
        <v>428121</v>
      </c>
      <c r="B23" s="7">
        <v>46268</v>
      </c>
      <c r="C23" s="8" t="s">
        <v>44</v>
      </c>
      <c r="D23" s="8"/>
      <c r="E23" s="8" t="s">
        <v>45</v>
      </c>
      <c r="F23" s="8" t="s">
        <v>84</v>
      </c>
      <c r="G23" s="8">
        <v>13.019</v>
      </c>
      <c r="H23" s="9">
        <v>22.89</v>
      </c>
      <c r="I23" s="10">
        <v>298</v>
      </c>
      <c r="J23" s="5">
        <f>SUM(I13:I23)</f>
        <v>9421.1299999999992</v>
      </c>
    </row>
    <row r="24" spans="1:10" ht="30" hidden="1" customHeight="1" thickBot="1" x14ac:dyDescent="0.35">
      <c r="A24" s="6">
        <v>428421</v>
      </c>
      <c r="B24" s="7">
        <v>46269</v>
      </c>
      <c r="C24" s="8" t="s">
        <v>57</v>
      </c>
      <c r="D24" s="8"/>
      <c r="E24" s="8" t="s">
        <v>50</v>
      </c>
      <c r="F24" s="8" t="s">
        <v>56</v>
      </c>
      <c r="G24" s="8">
        <v>13.106</v>
      </c>
      <c r="H24" s="9">
        <v>22.89</v>
      </c>
      <c r="I24" s="10">
        <v>300</v>
      </c>
    </row>
    <row r="25" spans="1:10" ht="30" hidden="1" customHeight="1" thickBot="1" x14ac:dyDescent="0.35">
      <c r="A25" s="6">
        <v>428388</v>
      </c>
      <c r="B25" s="7">
        <v>46269</v>
      </c>
      <c r="C25" s="8" t="s">
        <v>25</v>
      </c>
      <c r="D25" s="8"/>
      <c r="E25" s="8" t="s">
        <v>26</v>
      </c>
      <c r="F25" s="8" t="s">
        <v>52</v>
      </c>
      <c r="G25" s="8">
        <v>49.984000000000002</v>
      </c>
      <c r="H25" s="9">
        <v>22.89</v>
      </c>
      <c r="I25" s="10">
        <v>1144.1300000000001</v>
      </c>
    </row>
    <row r="26" spans="1:10" ht="30" hidden="1" customHeight="1" thickBot="1" x14ac:dyDescent="0.35">
      <c r="A26" s="6">
        <v>428439</v>
      </c>
      <c r="B26" s="7">
        <v>46269</v>
      </c>
      <c r="C26" s="8" t="s">
        <v>65</v>
      </c>
      <c r="D26" s="8"/>
      <c r="E26" s="8" t="s">
        <v>15</v>
      </c>
      <c r="F26" s="8" t="s">
        <v>16</v>
      </c>
      <c r="G26" s="8">
        <v>71.709999999999994</v>
      </c>
      <c r="H26" s="9">
        <v>27.89</v>
      </c>
      <c r="I26" s="10">
        <v>2000</v>
      </c>
    </row>
    <row r="27" spans="1:10" ht="30" hidden="1" customHeight="1" thickBot="1" x14ac:dyDescent="0.35">
      <c r="A27" s="6">
        <v>428362</v>
      </c>
      <c r="B27" s="7">
        <v>46269</v>
      </c>
      <c r="C27" s="8" t="s">
        <v>35</v>
      </c>
      <c r="D27" s="8"/>
      <c r="E27" s="8" t="s">
        <v>85</v>
      </c>
      <c r="F27" s="8" t="s">
        <v>36</v>
      </c>
      <c r="G27" s="8">
        <v>10</v>
      </c>
      <c r="H27" s="9">
        <v>22.89</v>
      </c>
      <c r="I27" s="10">
        <v>228.9</v>
      </c>
    </row>
    <row r="28" spans="1:10" ht="30" hidden="1" customHeight="1" thickBot="1" x14ac:dyDescent="0.35">
      <c r="A28" s="6">
        <v>428363</v>
      </c>
      <c r="B28" s="7">
        <v>46269</v>
      </c>
      <c r="C28" s="8" t="s">
        <v>35</v>
      </c>
      <c r="D28" s="8"/>
      <c r="E28" s="8"/>
      <c r="F28" s="8" t="s">
        <v>36</v>
      </c>
      <c r="G28" s="8">
        <v>43.686999999999998</v>
      </c>
      <c r="H28" s="9">
        <v>22.89</v>
      </c>
      <c r="I28" s="10">
        <v>1000</v>
      </c>
    </row>
    <row r="29" spans="1:10" ht="30" hidden="1" customHeight="1" thickBot="1" x14ac:dyDescent="0.35">
      <c r="A29" s="6">
        <v>428341</v>
      </c>
      <c r="B29" s="7">
        <v>46269</v>
      </c>
      <c r="C29" s="8" t="s">
        <v>40</v>
      </c>
      <c r="D29" s="8"/>
      <c r="E29" s="8" t="s">
        <v>41</v>
      </c>
      <c r="F29" s="8" t="s">
        <v>83</v>
      </c>
      <c r="G29" s="8">
        <v>65.531000000000006</v>
      </c>
      <c r="H29" s="9">
        <v>22.89</v>
      </c>
      <c r="I29" s="10">
        <v>1500</v>
      </c>
      <c r="J29" s="5">
        <f>SUM(I24:I29)</f>
        <v>6173.0300000000007</v>
      </c>
    </row>
    <row r="30" spans="1:10" ht="30" customHeight="1" thickBot="1" x14ac:dyDescent="0.35">
      <c r="A30" s="6">
        <v>429734</v>
      </c>
      <c r="B30" s="7">
        <v>46272</v>
      </c>
      <c r="C30" s="8" t="s">
        <v>67</v>
      </c>
      <c r="D30" s="8"/>
      <c r="E30" s="8" t="s">
        <v>86</v>
      </c>
      <c r="F30" s="8" t="s">
        <v>23</v>
      </c>
      <c r="G30" s="8">
        <v>65.105999999999995</v>
      </c>
      <c r="H30" s="9">
        <v>22.89</v>
      </c>
      <c r="I30" s="10">
        <v>1490.28</v>
      </c>
    </row>
    <row r="31" spans="1:10" ht="30" customHeight="1" thickBot="1" x14ac:dyDescent="0.35">
      <c r="A31" s="6">
        <v>429608</v>
      </c>
      <c r="B31" s="7">
        <v>46272</v>
      </c>
      <c r="C31" s="8" t="s">
        <v>87</v>
      </c>
      <c r="D31" s="8"/>
      <c r="E31" s="8" t="s">
        <v>43</v>
      </c>
      <c r="F31" s="8" t="s">
        <v>23</v>
      </c>
      <c r="G31" s="8">
        <v>61.362000000000002</v>
      </c>
      <c r="H31" s="9">
        <v>22.89</v>
      </c>
      <c r="I31" s="10">
        <v>1404.58</v>
      </c>
    </row>
    <row r="32" spans="1:10" ht="30" customHeight="1" thickBot="1" x14ac:dyDescent="0.35">
      <c r="A32" s="6">
        <v>429719</v>
      </c>
      <c r="B32" s="7">
        <v>46272</v>
      </c>
      <c r="C32" s="8" t="s">
        <v>40</v>
      </c>
      <c r="D32" s="8"/>
      <c r="E32" s="8" t="s">
        <v>41</v>
      </c>
      <c r="F32" s="8" t="s">
        <v>88</v>
      </c>
      <c r="G32" s="8">
        <v>65.531000000000006</v>
      </c>
      <c r="H32" s="9">
        <v>22.89</v>
      </c>
      <c r="I32" s="10">
        <v>1500</v>
      </c>
    </row>
    <row r="33" spans="1:12" ht="30" customHeight="1" thickBot="1" x14ac:dyDescent="0.35">
      <c r="A33" s="6">
        <v>429787</v>
      </c>
      <c r="B33" s="7">
        <v>46272</v>
      </c>
      <c r="C33" s="8" t="s">
        <v>89</v>
      </c>
      <c r="D33" s="8"/>
      <c r="E33" s="8" t="s">
        <v>76</v>
      </c>
      <c r="F33" s="8" t="s">
        <v>27</v>
      </c>
      <c r="G33" s="8">
        <v>55.078000000000003</v>
      </c>
      <c r="H33" s="9">
        <v>22.89</v>
      </c>
      <c r="I33" s="10">
        <v>1260.74</v>
      </c>
    </row>
    <row r="34" spans="1:12" ht="30" customHeight="1" thickBot="1" x14ac:dyDescent="0.35">
      <c r="A34" s="6">
        <v>429604</v>
      </c>
      <c r="B34" s="7">
        <v>46272</v>
      </c>
      <c r="C34" s="8" t="s">
        <v>17</v>
      </c>
      <c r="D34" s="8"/>
      <c r="E34" s="8" t="s">
        <v>18</v>
      </c>
      <c r="F34" s="8" t="s">
        <v>14</v>
      </c>
      <c r="G34" s="8">
        <v>65.531000000000006</v>
      </c>
      <c r="H34" s="9">
        <v>22.89</v>
      </c>
      <c r="I34" s="10">
        <v>1500</v>
      </c>
    </row>
    <row r="35" spans="1:12" ht="30" customHeight="1" thickBot="1" x14ac:dyDescent="0.35">
      <c r="A35" s="6">
        <v>429605</v>
      </c>
      <c r="B35" s="7">
        <v>46272</v>
      </c>
      <c r="C35" s="8" t="s">
        <v>12</v>
      </c>
      <c r="D35" s="8"/>
      <c r="E35" s="8" t="s">
        <v>90</v>
      </c>
      <c r="F35" s="8" t="s">
        <v>77</v>
      </c>
      <c r="G35" s="8">
        <v>54.621000000000002</v>
      </c>
      <c r="H35" s="9">
        <v>22.89</v>
      </c>
      <c r="I35" s="10">
        <v>1250.27</v>
      </c>
    </row>
    <row r="36" spans="1:12" ht="30" customHeight="1" thickBot="1" x14ac:dyDescent="0.35">
      <c r="A36" s="6">
        <v>429617</v>
      </c>
      <c r="B36" s="7">
        <v>46272</v>
      </c>
      <c r="C36" s="8" t="s">
        <v>19</v>
      </c>
      <c r="D36" s="8"/>
      <c r="E36" s="8" t="s">
        <v>20</v>
      </c>
      <c r="F36" s="8" t="s">
        <v>21</v>
      </c>
      <c r="G36" s="8">
        <v>72.986999999999995</v>
      </c>
      <c r="H36" s="9">
        <v>22.89</v>
      </c>
      <c r="I36" s="10">
        <v>1670</v>
      </c>
    </row>
    <row r="37" spans="1:12" ht="30" customHeight="1" thickBot="1" x14ac:dyDescent="0.35">
      <c r="A37" s="6">
        <v>430075</v>
      </c>
      <c r="B37" s="7">
        <v>46272</v>
      </c>
      <c r="C37" s="8" t="s">
        <v>60</v>
      </c>
      <c r="D37" s="8"/>
      <c r="E37" s="8" t="s">
        <v>38</v>
      </c>
      <c r="F37" s="8" t="s">
        <v>39</v>
      </c>
      <c r="G37" s="8">
        <v>53.783000000000001</v>
      </c>
      <c r="H37" s="9">
        <v>22.89</v>
      </c>
      <c r="I37" s="10">
        <v>1500</v>
      </c>
    </row>
    <row r="38" spans="1:12" ht="30" customHeight="1" thickBot="1" x14ac:dyDescent="0.35">
      <c r="A38" s="6">
        <v>430082</v>
      </c>
      <c r="B38" s="7">
        <v>46272</v>
      </c>
      <c r="C38" s="8" t="s">
        <v>53</v>
      </c>
      <c r="D38" s="8"/>
      <c r="E38" s="8" t="s">
        <v>54</v>
      </c>
      <c r="F38" s="8" t="s">
        <v>34</v>
      </c>
      <c r="G38" s="8">
        <v>65.531000000000006</v>
      </c>
      <c r="H38" s="9">
        <v>22.89</v>
      </c>
      <c r="I38" s="10">
        <v>1500</v>
      </c>
    </row>
    <row r="39" spans="1:12" ht="30" customHeight="1" thickBot="1" x14ac:dyDescent="0.35">
      <c r="A39" s="6">
        <v>430096</v>
      </c>
      <c r="B39" s="7">
        <v>46272</v>
      </c>
      <c r="C39" s="8" t="s">
        <v>49</v>
      </c>
      <c r="D39" s="8"/>
      <c r="E39" s="8" t="s">
        <v>91</v>
      </c>
      <c r="F39" s="8" t="s">
        <v>92</v>
      </c>
      <c r="G39" s="8">
        <v>34.950000000000003</v>
      </c>
      <c r="H39" s="9">
        <v>22.89</v>
      </c>
      <c r="I39" s="10">
        <v>800</v>
      </c>
    </row>
    <row r="40" spans="1:12" ht="30" customHeight="1" thickBot="1" x14ac:dyDescent="0.35">
      <c r="A40" s="6">
        <v>430076</v>
      </c>
      <c r="B40" s="7">
        <v>46272</v>
      </c>
      <c r="C40" s="8" t="s">
        <v>35</v>
      </c>
      <c r="D40" s="8"/>
      <c r="E40" s="8" t="s">
        <v>75</v>
      </c>
      <c r="F40" s="8" t="s">
        <v>36</v>
      </c>
      <c r="G40" s="8">
        <v>21.844000000000001</v>
      </c>
      <c r="H40" s="9">
        <v>22.89</v>
      </c>
      <c r="I40" s="10">
        <v>500</v>
      </c>
    </row>
    <row r="41" spans="1:12" ht="30" customHeight="1" thickBot="1" x14ac:dyDescent="0.35">
      <c r="A41" s="6">
        <v>430073</v>
      </c>
      <c r="B41" s="7">
        <v>46272</v>
      </c>
      <c r="C41" s="8" t="s">
        <v>35</v>
      </c>
      <c r="D41" s="8"/>
      <c r="E41" s="8" t="s">
        <v>75</v>
      </c>
      <c r="F41" s="8" t="s">
        <v>36</v>
      </c>
      <c r="G41" s="8">
        <v>53.052999999999997</v>
      </c>
      <c r="H41" s="9">
        <v>22.89</v>
      </c>
      <c r="I41" s="10">
        <v>1214.3800000000001</v>
      </c>
    </row>
    <row r="42" spans="1:12" ht="30" customHeight="1" thickBot="1" x14ac:dyDescent="0.35">
      <c r="A42" s="6">
        <v>430051</v>
      </c>
      <c r="B42" s="7">
        <v>46272</v>
      </c>
      <c r="C42" s="8" t="s">
        <v>62</v>
      </c>
      <c r="D42" s="8"/>
      <c r="E42" s="8" t="s">
        <v>61</v>
      </c>
      <c r="F42" s="8" t="s">
        <v>34</v>
      </c>
      <c r="G42" s="8">
        <v>53.786999999999999</v>
      </c>
      <c r="H42" s="9">
        <v>22.89</v>
      </c>
      <c r="I42" s="10">
        <v>1500.12</v>
      </c>
    </row>
    <row r="43" spans="1:12" ht="30" customHeight="1" thickBot="1" x14ac:dyDescent="0.35">
      <c r="A43" s="6">
        <v>430083</v>
      </c>
      <c r="B43" s="7">
        <v>46272</v>
      </c>
      <c r="C43" s="8" t="s">
        <v>93</v>
      </c>
      <c r="D43" s="8"/>
      <c r="E43" s="8" t="s">
        <v>94</v>
      </c>
      <c r="F43" s="8" t="s">
        <v>34</v>
      </c>
      <c r="G43" s="8">
        <v>55.426000000000002</v>
      </c>
      <c r="H43" s="9">
        <v>22.89</v>
      </c>
      <c r="I43" s="10">
        <v>1268.7</v>
      </c>
      <c r="J43" s="5">
        <f>SUM(I30:I43)</f>
        <v>18359.07</v>
      </c>
    </row>
    <row r="44" spans="1:12" ht="30" customHeight="1" thickBot="1" x14ac:dyDescent="0.35">
      <c r="A44" s="6">
        <v>430486</v>
      </c>
      <c r="B44" s="7">
        <v>46273</v>
      </c>
      <c r="C44" s="8" t="s">
        <v>95</v>
      </c>
      <c r="D44" s="8"/>
      <c r="E44" s="8" t="s">
        <v>45</v>
      </c>
      <c r="F44" s="8" t="s">
        <v>23</v>
      </c>
      <c r="G44" s="8">
        <v>58.383000000000003</v>
      </c>
      <c r="H44" s="9">
        <v>22.89</v>
      </c>
      <c r="I44" s="10">
        <v>1336.39</v>
      </c>
      <c r="J44" s="5"/>
    </row>
    <row r="45" spans="1:12" ht="30" customHeight="1" thickBot="1" x14ac:dyDescent="0.35">
      <c r="A45" s="6">
        <v>430524</v>
      </c>
      <c r="B45" s="7">
        <v>46273</v>
      </c>
      <c r="C45" s="8" t="s">
        <v>58</v>
      </c>
      <c r="D45" s="8"/>
      <c r="E45" s="8" t="s">
        <v>66</v>
      </c>
      <c r="F45" s="8" t="s">
        <v>73</v>
      </c>
      <c r="G45" s="8">
        <v>48.003999999999998</v>
      </c>
      <c r="H45" s="9">
        <v>22.89</v>
      </c>
      <c r="I45" s="10">
        <v>1098.81</v>
      </c>
      <c r="J45" s="5"/>
    </row>
    <row r="46" spans="1:12" ht="30" customHeight="1" thickBot="1" x14ac:dyDescent="0.35">
      <c r="A46" s="6">
        <v>430496</v>
      </c>
      <c r="B46" s="7">
        <v>46273</v>
      </c>
      <c r="C46" s="8" t="s">
        <v>57</v>
      </c>
      <c r="D46" s="8"/>
      <c r="E46" s="8" t="s">
        <v>96</v>
      </c>
      <c r="F46" s="8" t="s">
        <v>74</v>
      </c>
      <c r="G46" s="8">
        <v>30.581</v>
      </c>
      <c r="H46" s="9">
        <v>22.89</v>
      </c>
      <c r="I46" s="10">
        <v>500</v>
      </c>
      <c r="J46" s="5"/>
    </row>
    <row r="47" spans="1:12" ht="30" customHeight="1" thickBot="1" x14ac:dyDescent="0.35">
      <c r="A47" s="6">
        <v>430431</v>
      </c>
      <c r="B47" s="7">
        <v>46273</v>
      </c>
      <c r="C47" s="8" t="s">
        <v>37</v>
      </c>
      <c r="D47" s="8"/>
      <c r="E47" s="8" t="s">
        <v>70</v>
      </c>
      <c r="F47" s="8" t="s">
        <v>39</v>
      </c>
      <c r="G47" s="8">
        <v>30.581</v>
      </c>
      <c r="H47" s="9">
        <v>22.89</v>
      </c>
      <c r="I47" s="10">
        <v>700</v>
      </c>
      <c r="J47" s="5"/>
      <c r="L47" s="5"/>
    </row>
    <row r="48" spans="1:12" ht="30" customHeight="1" thickBot="1" x14ac:dyDescent="0.35">
      <c r="A48" s="6">
        <v>430494</v>
      </c>
      <c r="B48" s="7">
        <v>46273</v>
      </c>
      <c r="C48" s="8" t="s">
        <v>55</v>
      </c>
      <c r="D48" s="8"/>
      <c r="E48" s="8" t="s">
        <v>96</v>
      </c>
      <c r="F48" s="8" t="s">
        <v>56</v>
      </c>
      <c r="G48" s="8">
        <v>43.686999999999998</v>
      </c>
      <c r="H48" s="9">
        <v>22.89</v>
      </c>
      <c r="I48" s="10">
        <v>1000</v>
      </c>
      <c r="J48" s="5"/>
    </row>
    <row r="49" spans="1:10" ht="30" customHeight="1" thickBot="1" x14ac:dyDescent="0.35">
      <c r="A49" s="6">
        <v>430762</v>
      </c>
      <c r="B49" s="7">
        <v>46273</v>
      </c>
      <c r="C49" s="8" t="s">
        <v>24</v>
      </c>
      <c r="D49" s="8"/>
      <c r="E49" s="8" t="s">
        <v>22</v>
      </c>
      <c r="F49" s="8" t="s">
        <v>97</v>
      </c>
      <c r="G49" s="8">
        <v>43.686999999999998</v>
      </c>
      <c r="H49" s="9">
        <v>22.89</v>
      </c>
      <c r="I49" s="10">
        <v>1000</v>
      </c>
      <c r="J49" s="5"/>
    </row>
    <row r="50" spans="1:10" ht="30" customHeight="1" thickBot="1" x14ac:dyDescent="0.35">
      <c r="A50" s="6">
        <v>430749</v>
      </c>
      <c r="B50" s="7">
        <v>46273</v>
      </c>
      <c r="C50" s="8" t="s">
        <v>98</v>
      </c>
      <c r="D50" s="8"/>
      <c r="E50" s="8" t="s">
        <v>99</v>
      </c>
      <c r="F50" s="8"/>
      <c r="G50" s="8">
        <v>69.013000000000005</v>
      </c>
      <c r="H50" s="9">
        <v>27.89</v>
      </c>
      <c r="I50" s="10">
        <v>1924.77</v>
      </c>
      <c r="J50" s="5"/>
    </row>
    <row r="51" spans="1:10" ht="30" customHeight="1" thickBot="1" x14ac:dyDescent="0.35">
      <c r="A51" s="6">
        <v>430734</v>
      </c>
      <c r="B51" s="7">
        <v>46273</v>
      </c>
      <c r="C51" s="8" t="s">
        <v>65</v>
      </c>
      <c r="D51" s="8"/>
      <c r="E51" s="8" t="s">
        <v>15</v>
      </c>
      <c r="F51" s="8" t="s">
        <v>16</v>
      </c>
      <c r="G51" s="8">
        <v>53.783000000000001</v>
      </c>
      <c r="H51" s="9">
        <v>27.89</v>
      </c>
      <c r="I51" s="10">
        <v>1500</v>
      </c>
      <c r="J51" s="5"/>
    </row>
    <row r="52" spans="1:10" ht="30" customHeight="1" thickBot="1" x14ac:dyDescent="0.35">
      <c r="A52" s="6">
        <v>430744</v>
      </c>
      <c r="B52" s="7">
        <v>46273</v>
      </c>
      <c r="C52" s="8" t="s">
        <v>46</v>
      </c>
      <c r="D52" s="8"/>
      <c r="E52" s="8" t="s">
        <v>112</v>
      </c>
      <c r="F52" s="8" t="s">
        <v>48</v>
      </c>
      <c r="G52" s="8">
        <v>65.531000000000006</v>
      </c>
      <c r="H52" s="9">
        <v>22.89</v>
      </c>
      <c r="I52" s="10">
        <v>1500</v>
      </c>
      <c r="J52" s="5">
        <f>SUM(I44:I52)</f>
        <v>10559.97</v>
      </c>
    </row>
    <row r="53" spans="1:10" ht="30" customHeight="1" thickBot="1" x14ac:dyDescent="0.35">
      <c r="A53" s="6">
        <v>431280</v>
      </c>
      <c r="B53" s="7">
        <v>46274</v>
      </c>
      <c r="C53" s="8" t="s">
        <v>31</v>
      </c>
      <c r="D53" s="8"/>
      <c r="E53" s="8" t="s">
        <v>101</v>
      </c>
      <c r="F53" s="8" t="s">
        <v>68</v>
      </c>
      <c r="G53" s="8">
        <v>34.950000000000003</v>
      </c>
      <c r="H53" s="9">
        <v>22.89</v>
      </c>
      <c r="I53" s="10">
        <v>800</v>
      </c>
      <c r="J53" s="5"/>
    </row>
    <row r="54" spans="1:10" ht="30" customHeight="1" thickBot="1" x14ac:dyDescent="0.35">
      <c r="A54" s="6">
        <v>431057</v>
      </c>
      <c r="B54" s="7">
        <v>46274</v>
      </c>
      <c r="C54" s="8" t="s">
        <v>25</v>
      </c>
      <c r="D54" s="8"/>
      <c r="E54" s="8" t="s">
        <v>71</v>
      </c>
      <c r="F54" s="8" t="s">
        <v>52</v>
      </c>
      <c r="G54" s="8">
        <v>47.472000000000001</v>
      </c>
      <c r="H54" s="9">
        <v>22.89</v>
      </c>
      <c r="I54" s="10">
        <v>1086.6300000000001</v>
      </c>
      <c r="J54" s="5"/>
    </row>
    <row r="55" spans="1:10" ht="30" customHeight="1" thickBot="1" x14ac:dyDescent="0.35">
      <c r="A55" s="6">
        <v>431076</v>
      </c>
      <c r="B55" s="7">
        <v>46274</v>
      </c>
      <c r="C55" s="8" t="s">
        <v>60</v>
      </c>
      <c r="D55" s="8"/>
      <c r="E55" s="8" t="s">
        <v>69</v>
      </c>
      <c r="F55" s="8" t="s">
        <v>39</v>
      </c>
      <c r="G55" s="8">
        <v>53.783000000000001</v>
      </c>
      <c r="H55" s="9">
        <v>27.89</v>
      </c>
      <c r="I55" s="10">
        <v>1500</v>
      </c>
      <c r="J55" s="5"/>
    </row>
    <row r="56" spans="1:10" ht="30" customHeight="1" thickBot="1" x14ac:dyDescent="0.35">
      <c r="A56" s="6">
        <v>431098</v>
      </c>
      <c r="B56" s="7">
        <v>46274</v>
      </c>
      <c r="C56" s="8" t="s">
        <v>62</v>
      </c>
      <c r="D56" s="8"/>
      <c r="E56" s="8" t="s">
        <v>102</v>
      </c>
      <c r="F56" s="8" t="s">
        <v>34</v>
      </c>
      <c r="G56" s="8">
        <v>35.854999999999997</v>
      </c>
      <c r="H56" s="9">
        <v>27.89</v>
      </c>
      <c r="I56" s="10">
        <v>1000</v>
      </c>
      <c r="J56" s="5"/>
    </row>
    <row r="57" spans="1:10" ht="30" customHeight="1" thickBot="1" x14ac:dyDescent="0.35">
      <c r="A57" s="6">
        <v>431044</v>
      </c>
      <c r="B57" s="7">
        <v>46274</v>
      </c>
      <c r="C57" s="8" t="s">
        <v>103</v>
      </c>
      <c r="D57" s="8"/>
      <c r="E57" s="8" t="s">
        <v>104</v>
      </c>
      <c r="F57" s="8" t="s">
        <v>30</v>
      </c>
      <c r="G57" s="8">
        <v>30.581</v>
      </c>
      <c r="H57" s="9">
        <v>22.89</v>
      </c>
      <c r="I57" s="10">
        <v>700</v>
      </c>
      <c r="J57" s="5"/>
    </row>
    <row r="58" spans="1:10" ht="30" customHeight="1" thickBot="1" x14ac:dyDescent="0.35">
      <c r="A58" s="6">
        <v>430997</v>
      </c>
      <c r="B58" s="7">
        <v>46274</v>
      </c>
      <c r="C58" s="8" t="s">
        <v>40</v>
      </c>
      <c r="D58" s="8"/>
      <c r="E58" s="8" t="s">
        <v>78</v>
      </c>
      <c r="F58" s="8" t="s">
        <v>105</v>
      </c>
      <c r="G58" s="8">
        <v>65.531000000000006</v>
      </c>
      <c r="H58" s="9">
        <v>22.89</v>
      </c>
      <c r="I58" s="10">
        <v>1500</v>
      </c>
      <c r="J58" s="5">
        <f>SUM(I53:I58)</f>
        <v>6586.63</v>
      </c>
    </row>
    <row r="59" spans="1:10" ht="30" customHeight="1" thickBot="1" x14ac:dyDescent="0.35">
      <c r="A59" s="6">
        <v>431870</v>
      </c>
      <c r="B59" s="7">
        <v>46275</v>
      </c>
      <c r="C59" s="8" t="s">
        <v>49</v>
      </c>
      <c r="D59" s="8"/>
      <c r="E59" s="8" t="s">
        <v>106</v>
      </c>
      <c r="F59" s="8" t="s">
        <v>84</v>
      </c>
      <c r="G59" s="8">
        <v>21.844000000000001</v>
      </c>
      <c r="H59" s="9">
        <v>22.89</v>
      </c>
      <c r="I59" s="10">
        <v>500</v>
      </c>
    </row>
    <row r="60" spans="1:10" ht="30" customHeight="1" thickBot="1" x14ac:dyDescent="0.35">
      <c r="A60" s="6">
        <v>431908</v>
      </c>
      <c r="B60" s="7">
        <v>46275</v>
      </c>
      <c r="C60" s="8" t="s">
        <v>67</v>
      </c>
      <c r="D60" s="8"/>
      <c r="E60" s="8" t="s">
        <v>22</v>
      </c>
      <c r="F60" s="8" t="s">
        <v>23</v>
      </c>
      <c r="G60" s="8">
        <v>44.08</v>
      </c>
      <c r="H60" s="9">
        <v>22.89</v>
      </c>
      <c r="I60" s="10">
        <v>1009</v>
      </c>
    </row>
    <row r="61" spans="1:10" ht="30" customHeight="1" thickBot="1" x14ac:dyDescent="0.35">
      <c r="A61" s="6">
        <v>431890</v>
      </c>
      <c r="B61" s="7">
        <v>46275</v>
      </c>
      <c r="C61" s="8" t="s">
        <v>57</v>
      </c>
      <c r="D61" s="8"/>
      <c r="E61" s="8" t="s">
        <v>96</v>
      </c>
      <c r="F61" s="8" t="s">
        <v>56</v>
      </c>
      <c r="G61" s="8">
        <v>21.844000000000001</v>
      </c>
      <c r="H61" s="9">
        <v>22.89</v>
      </c>
      <c r="I61" s="10">
        <v>500</v>
      </c>
    </row>
    <row r="62" spans="1:10" ht="30" customHeight="1" thickBot="1" x14ac:dyDescent="0.35">
      <c r="A62" s="6">
        <v>431910</v>
      </c>
      <c r="B62" s="7">
        <v>46275</v>
      </c>
      <c r="C62" s="8" t="s">
        <v>42</v>
      </c>
      <c r="D62" s="8"/>
      <c r="E62" s="8" t="s">
        <v>43</v>
      </c>
      <c r="F62" s="8" t="s">
        <v>23</v>
      </c>
      <c r="G62" s="8">
        <v>47.837000000000003</v>
      </c>
      <c r="H62" s="9">
        <v>22.89</v>
      </c>
      <c r="I62" s="10">
        <v>1095</v>
      </c>
    </row>
    <row r="63" spans="1:10" ht="30" customHeight="1" thickBot="1" x14ac:dyDescent="0.35">
      <c r="A63" s="6">
        <v>431905</v>
      </c>
      <c r="B63" s="7">
        <v>46275</v>
      </c>
      <c r="C63" s="8" t="s">
        <v>40</v>
      </c>
      <c r="D63" s="8"/>
      <c r="E63" s="8" t="s">
        <v>41</v>
      </c>
      <c r="F63" s="8" t="s">
        <v>83</v>
      </c>
      <c r="G63" s="8">
        <v>65.531000000000006</v>
      </c>
      <c r="H63" s="9">
        <v>22.89</v>
      </c>
      <c r="I63" s="10">
        <v>1500</v>
      </c>
    </row>
    <row r="64" spans="1:10" ht="30" customHeight="1" thickBot="1" x14ac:dyDescent="0.35">
      <c r="A64" s="6">
        <v>431906</v>
      </c>
      <c r="B64" s="7">
        <v>46275</v>
      </c>
      <c r="C64" s="8" t="s">
        <v>46</v>
      </c>
      <c r="D64" s="8"/>
      <c r="E64" s="8" t="s">
        <v>100</v>
      </c>
      <c r="F64" s="8" t="s">
        <v>48</v>
      </c>
      <c r="G64" s="8">
        <v>38.206000000000003</v>
      </c>
      <c r="H64" s="9">
        <v>22.89</v>
      </c>
      <c r="I64" s="10">
        <v>874.54</v>
      </c>
    </row>
    <row r="65" spans="1:10" ht="30" customHeight="1" thickBot="1" x14ac:dyDescent="0.35">
      <c r="A65" s="6">
        <v>431912</v>
      </c>
      <c r="B65" s="7">
        <v>46275</v>
      </c>
      <c r="C65" s="8" t="s">
        <v>107</v>
      </c>
      <c r="D65" s="8"/>
      <c r="E65" s="8" t="s">
        <v>75</v>
      </c>
      <c r="F65" s="8" t="s">
        <v>36</v>
      </c>
      <c r="G65" s="8">
        <v>50.109000000000002</v>
      </c>
      <c r="H65" s="9">
        <v>22.89</v>
      </c>
      <c r="I65" s="10">
        <v>1147</v>
      </c>
    </row>
    <row r="66" spans="1:10" ht="30" customHeight="1" thickBot="1" x14ac:dyDescent="0.35">
      <c r="A66" s="6">
        <v>431913</v>
      </c>
      <c r="B66" s="7">
        <v>46275</v>
      </c>
      <c r="C66" s="8" t="s">
        <v>44</v>
      </c>
      <c r="D66" s="8"/>
      <c r="E66" s="8" t="s">
        <v>45</v>
      </c>
      <c r="F66" s="8" t="s">
        <v>23</v>
      </c>
      <c r="G66" s="8">
        <v>7.1210000000000004</v>
      </c>
      <c r="H66" s="9">
        <v>22.89</v>
      </c>
      <c r="I66" s="10">
        <v>163</v>
      </c>
      <c r="J66" s="5">
        <f>SUM(I59:I66)</f>
        <v>6788.54</v>
      </c>
    </row>
    <row r="67" spans="1:10" ht="30" customHeight="1" thickBot="1" x14ac:dyDescent="0.35">
      <c r="A67" s="6">
        <v>432205</v>
      </c>
      <c r="B67" s="7">
        <v>46276</v>
      </c>
      <c r="C67" s="8" t="s">
        <v>108</v>
      </c>
      <c r="D67" s="8"/>
      <c r="E67" s="8" t="s">
        <v>109</v>
      </c>
      <c r="F67" s="8" t="s">
        <v>73</v>
      </c>
      <c r="G67" s="8">
        <v>21.844000000000001</v>
      </c>
      <c r="H67" s="9">
        <v>22.89</v>
      </c>
      <c r="I67" s="10">
        <v>500</v>
      </c>
      <c r="J67" s="5">
        <f>SUM(I67)</f>
        <v>500</v>
      </c>
    </row>
    <row r="68" spans="1:10" ht="30" customHeight="1" thickBot="1" x14ac:dyDescent="0.35">
      <c r="A68" s="6">
        <v>432808</v>
      </c>
      <c r="B68" s="7">
        <v>46277</v>
      </c>
      <c r="C68" s="8" t="s">
        <v>12</v>
      </c>
      <c r="D68" s="8"/>
      <c r="E68" s="8" t="s">
        <v>13</v>
      </c>
      <c r="F68" s="8" t="s">
        <v>14</v>
      </c>
      <c r="G68" s="8">
        <v>17.475000000000001</v>
      </c>
      <c r="H68" s="9">
        <v>22.89</v>
      </c>
      <c r="I68" s="10">
        <v>400</v>
      </c>
      <c r="J68" s="5">
        <f>SUM(I68)</f>
        <v>400</v>
      </c>
    </row>
    <row r="69" spans="1:10" ht="30" customHeight="1" thickBot="1" x14ac:dyDescent="0.35">
      <c r="A69" s="6"/>
      <c r="B69" s="7"/>
      <c r="C69" s="8"/>
      <c r="D69" s="8"/>
      <c r="E69" s="8"/>
      <c r="F69" s="8"/>
      <c r="G69" s="8"/>
      <c r="H69" s="9"/>
      <c r="I69" s="10"/>
    </row>
    <row r="70" spans="1:10" ht="30" customHeight="1" thickBot="1" x14ac:dyDescent="0.35">
      <c r="A70" s="6"/>
      <c r="B70" s="7"/>
      <c r="C70" s="8"/>
      <c r="D70" s="8"/>
      <c r="E70" s="8"/>
      <c r="F70" s="8"/>
      <c r="G70" s="8"/>
      <c r="H70" s="9"/>
      <c r="I70" s="10"/>
    </row>
    <row r="71" spans="1:10" ht="30" customHeight="1" thickBot="1" x14ac:dyDescent="0.35">
      <c r="A71" s="4"/>
      <c r="B71" s="4"/>
      <c r="C71" s="4"/>
      <c r="D71" s="4"/>
      <c r="E71" s="4"/>
      <c r="F71" s="4"/>
      <c r="G71" s="11" t="s">
        <v>110</v>
      </c>
      <c r="H71" s="12"/>
      <c r="I71" s="13">
        <f>SUM(I5:I70)</f>
        <v>68072.809999999983</v>
      </c>
    </row>
    <row r="72" spans="1:10" ht="30" customHeight="1" x14ac:dyDescent="0.3">
      <c r="A72" s="4"/>
      <c r="B72" s="14"/>
      <c r="C72" s="4"/>
      <c r="D72" s="4"/>
      <c r="E72" s="4"/>
      <c r="F72" s="4"/>
    </row>
    <row r="73" spans="1:10" ht="30" customHeight="1" thickBot="1" x14ac:dyDescent="0.35">
      <c r="A73" s="4"/>
      <c r="B73" s="14"/>
      <c r="C73" s="4"/>
      <c r="D73" s="4"/>
      <c r="E73" s="4"/>
      <c r="F73" s="4"/>
      <c r="G73" s="4"/>
      <c r="H73" s="4"/>
      <c r="I73" s="4"/>
    </row>
    <row r="74" spans="1:10" ht="30" customHeight="1" thickBot="1" x14ac:dyDescent="0.35">
      <c r="A74" s="4"/>
      <c r="B74" s="14"/>
      <c r="C74" s="4"/>
      <c r="D74" s="4"/>
      <c r="E74" s="4"/>
      <c r="F74" s="4"/>
      <c r="G74" s="24" t="s">
        <v>111</v>
      </c>
      <c r="H74" s="25"/>
      <c r="I74" s="16">
        <f>I71-B82</f>
        <v>68072.809999999983</v>
      </c>
    </row>
    <row r="75" spans="1:10" ht="30" customHeight="1" x14ac:dyDescent="0.3">
      <c r="A75" s="4"/>
      <c r="B75" s="14"/>
      <c r="C75" s="4"/>
      <c r="D75" s="4"/>
      <c r="E75" s="4"/>
      <c r="F75" s="4"/>
      <c r="G75" s="4"/>
      <c r="H75" s="4"/>
      <c r="I75" s="4"/>
    </row>
    <row r="76" spans="1:10" ht="30" customHeight="1" x14ac:dyDescent="0.3">
      <c r="A76" s="4"/>
      <c r="B76" s="14"/>
      <c r="C76" s="4"/>
      <c r="D76" s="4"/>
      <c r="E76" s="4"/>
      <c r="F76" s="4"/>
      <c r="G76" s="4"/>
      <c r="H76" s="4"/>
      <c r="I76" s="4"/>
    </row>
    <row r="77" spans="1:10" ht="30" customHeight="1" x14ac:dyDescent="0.3">
      <c r="A77" s="4"/>
      <c r="B77" s="14"/>
      <c r="C77" s="4"/>
      <c r="D77" s="4"/>
      <c r="E77" s="4"/>
      <c r="F77" s="4"/>
      <c r="G77" s="4"/>
      <c r="H77" s="4"/>
      <c r="I77" s="17"/>
    </row>
    <row r="78" spans="1:10" ht="30" customHeight="1" x14ac:dyDescent="0.3">
      <c r="A78" s="4"/>
      <c r="B78" s="14"/>
      <c r="C78" s="4"/>
      <c r="D78" s="4"/>
      <c r="E78" s="4"/>
      <c r="F78" s="4"/>
      <c r="G78" s="4"/>
      <c r="H78" s="4"/>
      <c r="I78" s="17"/>
    </row>
    <row r="79" spans="1:10" ht="30" customHeight="1" x14ac:dyDescent="0.3">
      <c r="A79" s="4"/>
      <c r="B79" s="14"/>
      <c r="C79" s="4"/>
      <c r="D79" s="4"/>
      <c r="E79" s="4"/>
      <c r="F79" s="4"/>
      <c r="G79" s="4"/>
      <c r="H79" s="4"/>
      <c r="I79" s="17"/>
    </row>
    <row r="80" spans="1:10" ht="30" customHeight="1" x14ac:dyDescent="0.3">
      <c r="A80" s="4"/>
      <c r="B80" s="14"/>
      <c r="C80" s="4"/>
      <c r="D80" s="4"/>
      <c r="E80" s="4"/>
      <c r="F80" s="4"/>
      <c r="G80" s="4"/>
      <c r="H80" s="4"/>
      <c r="I80" s="17"/>
    </row>
    <row r="81" spans="1:9" ht="30" customHeight="1" x14ac:dyDescent="0.3">
      <c r="A81" s="4"/>
      <c r="B81" s="4"/>
      <c r="C81" s="4"/>
      <c r="D81" s="4"/>
      <c r="E81" s="4"/>
      <c r="F81" s="4"/>
      <c r="G81" s="4"/>
      <c r="H81" s="4"/>
      <c r="I81" s="4"/>
    </row>
    <row r="82" spans="1:9" ht="30" customHeight="1" x14ac:dyDescent="0.3">
      <c r="A82" s="4"/>
      <c r="B82" s="17"/>
      <c r="C82" s="4"/>
      <c r="D82" s="4"/>
      <c r="E82" s="4"/>
      <c r="F82" s="4"/>
      <c r="G82" s="4"/>
      <c r="H82" s="4"/>
      <c r="I82" s="4"/>
    </row>
    <row r="83" spans="1:9" ht="30" customHeight="1" x14ac:dyDescent="0.3">
      <c r="A83" s="4"/>
      <c r="B83" s="4"/>
      <c r="C83" s="4"/>
      <c r="D83" s="4"/>
      <c r="E83" s="4"/>
      <c r="F83" s="4"/>
      <c r="G83" s="4"/>
      <c r="H83" s="4"/>
      <c r="I83" s="4"/>
    </row>
    <row r="84" spans="1:9" ht="30" customHeight="1" x14ac:dyDescent="0.3">
      <c r="A84" s="4"/>
      <c r="B84" s="4"/>
      <c r="C84" s="4"/>
      <c r="D84" s="4"/>
      <c r="E84" s="4"/>
      <c r="F84" s="4"/>
    </row>
    <row r="85" spans="1:9" ht="30" customHeight="1" x14ac:dyDescent="0.3"/>
    <row r="86" spans="1:9" ht="30" customHeight="1" x14ac:dyDescent="0.3">
      <c r="A86" s="4"/>
      <c r="B86" s="17"/>
    </row>
    <row r="87" spans="1:9" ht="30" customHeight="1" x14ac:dyDescent="0.3">
      <c r="B87" s="17"/>
    </row>
    <row r="88" spans="1:9" ht="30" customHeight="1" x14ac:dyDescent="0.3">
      <c r="B88" s="17"/>
    </row>
    <row r="89" spans="1:9" ht="30" customHeight="1" x14ac:dyDescent="0.3">
      <c r="A89" s="4"/>
      <c r="B89" s="17"/>
    </row>
    <row r="90" spans="1:9" ht="30" customHeight="1" x14ac:dyDescent="0.3"/>
    <row r="91" spans="1:9" ht="30" customHeight="1" x14ac:dyDescent="0.3"/>
    <row r="92" spans="1:9" ht="30" customHeight="1" x14ac:dyDescent="0.3"/>
    <row r="93" spans="1:9" ht="30" customHeight="1" x14ac:dyDescent="0.3"/>
    <row r="94" spans="1:9" ht="30" customHeight="1" x14ac:dyDescent="0.3"/>
    <row r="95" spans="1:9" ht="30" customHeight="1" x14ac:dyDescent="0.3"/>
    <row r="96" spans="1:9" ht="30" customHeight="1" x14ac:dyDescent="0.3"/>
    <row r="97" ht="30" customHeight="1" x14ac:dyDescent="0.3"/>
    <row r="98" ht="30" customHeight="1" x14ac:dyDescent="0.3"/>
    <row r="99" ht="30" customHeight="1" x14ac:dyDescent="0.3"/>
    <row r="100" ht="30" customHeight="1" x14ac:dyDescent="0.3"/>
    <row r="101" ht="30" customHeight="1" x14ac:dyDescent="0.3"/>
    <row r="102" ht="30" customHeight="1" x14ac:dyDescent="0.3"/>
    <row r="103" ht="30" customHeight="1" x14ac:dyDescent="0.3"/>
    <row r="104" ht="30" customHeight="1" x14ac:dyDescent="0.3"/>
    <row r="105" ht="30" customHeight="1" x14ac:dyDescent="0.3"/>
    <row r="106" ht="30" customHeight="1" x14ac:dyDescent="0.3"/>
    <row r="107" ht="30" customHeight="1" x14ac:dyDescent="0.3"/>
    <row r="108" ht="30" customHeight="1" x14ac:dyDescent="0.3"/>
    <row r="109" ht="30" customHeight="1" x14ac:dyDescent="0.3"/>
    <row r="110" ht="30" customHeight="1" x14ac:dyDescent="0.3"/>
    <row r="111" ht="30" customHeight="1" x14ac:dyDescent="0.3"/>
    <row r="112" ht="30" customHeight="1" x14ac:dyDescent="0.3"/>
    <row r="113" ht="30" customHeight="1" x14ac:dyDescent="0.3"/>
    <row r="114" ht="30" customHeight="1" x14ac:dyDescent="0.3"/>
    <row r="115" ht="30" customHeight="1" x14ac:dyDescent="0.3"/>
    <row r="116" ht="30" customHeight="1" x14ac:dyDescent="0.3"/>
    <row r="117" ht="30" customHeight="1" x14ac:dyDescent="0.3"/>
    <row r="118" ht="30" customHeight="1" x14ac:dyDescent="0.3"/>
    <row r="119" ht="30" customHeight="1" x14ac:dyDescent="0.3"/>
    <row r="120" ht="30" customHeight="1" x14ac:dyDescent="0.3"/>
    <row r="121" ht="30" customHeight="1" x14ac:dyDescent="0.3"/>
    <row r="122" ht="30" customHeight="1" x14ac:dyDescent="0.3"/>
    <row r="123" ht="30" customHeight="1" x14ac:dyDescent="0.3"/>
    <row r="124" ht="30" customHeight="1" x14ac:dyDescent="0.3"/>
    <row r="125" ht="30" customHeight="1" x14ac:dyDescent="0.3"/>
    <row r="126" ht="30" customHeight="1" x14ac:dyDescent="0.3"/>
    <row r="127" ht="30" customHeight="1" x14ac:dyDescent="0.3"/>
    <row r="128" ht="30" customHeight="1" x14ac:dyDescent="0.3"/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  <row r="138" ht="30" customHeight="1" x14ac:dyDescent="0.3"/>
    <row r="139" ht="30" customHeight="1" x14ac:dyDescent="0.3"/>
    <row r="140" ht="30" customHeight="1" x14ac:dyDescent="0.3"/>
    <row r="141" ht="30" customHeight="1" x14ac:dyDescent="0.3"/>
    <row r="142" ht="30" customHeight="1" x14ac:dyDescent="0.3"/>
    <row r="143" ht="30" customHeight="1" x14ac:dyDescent="0.3"/>
    <row r="144" ht="30" customHeight="1" x14ac:dyDescent="0.3"/>
    <row r="145" ht="30" customHeight="1" x14ac:dyDescent="0.3"/>
    <row r="146" ht="30" customHeight="1" x14ac:dyDescent="0.3"/>
    <row r="147" ht="30" customHeight="1" x14ac:dyDescent="0.3"/>
    <row r="148" ht="30" customHeight="1" x14ac:dyDescent="0.3"/>
    <row r="149" ht="30" customHeight="1" x14ac:dyDescent="0.3"/>
    <row r="150" ht="30" customHeight="1" x14ac:dyDescent="0.3"/>
    <row r="151" ht="30" customHeight="1" x14ac:dyDescent="0.3"/>
    <row r="152" ht="30" customHeight="1" x14ac:dyDescent="0.3"/>
    <row r="153" ht="30" customHeight="1" x14ac:dyDescent="0.3"/>
    <row r="154" ht="30" customHeight="1" x14ac:dyDescent="0.3"/>
    <row r="155" ht="30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ht="30" customHeight="1" x14ac:dyDescent="0.3"/>
    <row r="162" ht="30" customHeight="1" x14ac:dyDescent="0.3"/>
    <row r="163" ht="30" customHeight="1" x14ac:dyDescent="0.3"/>
    <row r="164" ht="30" customHeight="1" x14ac:dyDescent="0.3"/>
    <row r="165" ht="30" customHeight="1" x14ac:dyDescent="0.3"/>
    <row r="166" ht="30" customHeight="1" x14ac:dyDescent="0.3"/>
    <row r="167" ht="30" customHeight="1" x14ac:dyDescent="0.3"/>
    <row r="168" ht="30" customHeight="1" x14ac:dyDescent="0.3"/>
    <row r="169" ht="30" customHeight="1" x14ac:dyDescent="0.3"/>
    <row r="170" ht="30" customHeight="1" x14ac:dyDescent="0.3"/>
    <row r="171" ht="30" customHeight="1" x14ac:dyDescent="0.3"/>
    <row r="172" ht="30" customHeight="1" x14ac:dyDescent="0.3"/>
    <row r="173" ht="30" customHeight="1" x14ac:dyDescent="0.3"/>
    <row r="174" ht="30" customHeight="1" x14ac:dyDescent="0.3"/>
    <row r="175" ht="30" customHeight="1" x14ac:dyDescent="0.3"/>
    <row r="176" ht="30" customHeight="1" x14ac:dyDescent="0.3"/>
    <row r="177" ht="30" customHeight="1" x14ac:dyDescent="0.3"/>
    <row r="178" ht="30" customHeight="1" x14ac:dyDescent="0.3"/>
    <row r="179" ht="30" customHeight="1" x14ac:dyDescent="0.3"/>
    <row r="180" ht="30" customHeight="1" x14ac:dyDescent="0.3"/>
    <row r="181" ht="30" customHeight="1" x14ac:dyDescent="0.3"/>
    <row r="182" ht="30" customHeight="1" x14ac:dyDescent="0.3"/>
    <row r="183" ht="30" customHeight="1" x14ac:dyDescent="0.3"/>
    <row r="184" ht="30" customHeight="1" x14ac:dyDescent="0.3"/>
    <row r="185" ht="30" customHeight="1" x14ac:dyDescent="0.3"/>
    <row r="186" ht="30" customHeight="1" x14ac:dyDescent="0.3"/>
    <row r="187" ht="30" customHeight="1" x14ac:dyDescent="0.3"/>
    <row r="188" ht="30" customHeight="1" x14ac:dyDescent="0.3"/>
    <row r="189" ht="30" customHeight="1" x14ac:dyDescent="0.3"/>
    <row r="190" ht="30" customHeight="1" x14ac:dyDescent="0.3"/>
    <row r="191" ht="30" customHeight="1" x14ac:dyDescent="0.3"/>
    <row r="192" ht="30" customHeight="1" x14ac:dyDescent="0.3"/>
    <row r="193" ht="30" customHeight="1" x14ac:dyDescent="0.3"/>
    <row r="194" ht="30" customHeight="1" x14ac:dyDescent="0.3"/>
    <row r="195" ht="30" customHeight="1" x14ac:dyDescent="0.3"/>
    <row r="196" ht="30" customHeight="1" x14ac:dyDescent="0.3"/>
    <row r="197" ht="30" customHeight="1" x14ac:dyDescent="0.3"/>
    <row r="198" ht="30" customHeight="1" x14ac:dyDescent="0.3"/>
    <row r="199" ht="30" customHeight="1" x14ac:dyDescent="0.3"/>
    <row r="200" ht="30" customHeight="1" x14ac:dyDescent="0.3"/>
    <row r="201" ht="30" customHeight="1" x14ac:dyDescent="0.3"/>
    <row r="202" ht="30" customHeight="1" x14ac:dyDescent="0.3"/>
    <row r="203" ht="30" customHeight="1" x14ac:dyDescent="0.3"/>
    <row r="204" ht="30" customHeight="1" x14ac:dyDescent="0.3"/>
    <row r="206" ht="30.75" customHeight="1" x14ac:dyDescent="0.3"/>
    <row r="207" ht="33.75" customHeight="1" x14ac:dyDescent="0.3"/>
    <row r="208" ht="30.75" customHeight="1" x14ac:dyDescent="0.3"/>
    <row r="209" ht="30.75" customHeight="1" x14ac:dyDescent="0.3"/>
    <row r="210" ht="30.75" customHeight="1" x14ac:dyDescent="0.3"/>
    <row r="211" ht="30.75" customHeight="1" x14ac:dyDescent="0.3"/>
    <row r="212" ht="30.75" customHeight="1" x14ac:dyDescent="0.3"/>
    <row r="213" ht="30.75" customHeight="1" x14ac:dyDescent="0.3"/>
    <row r="214" ht="30.75" customHeight="1" x14ac:dyDescent="0.3"/>
    <row r="215" ht="30.75" customHeight="1" x14ac:dyDescent="0.3"/>
    <row r="216" ht="30.75" customHeight="1" x14ac:dyDescent="0.3"/>
    <row r="217" ht="30.75" customHeight="1" x14ac:dyDescent="0.3"/>
    <row r="218" ht="30.75" customHeight="1" x14ac:dyDescent="0.3"/>
    <row r="219" ht="30.75" customHeight="1" x14ac:dyDescent="0.3"/>
    <row r="220" ht="30.75" customHeight="1" x14ac:dyDescent="0.3"/>
    <row r="221" ht="30.75" customHeight="1" x14ac:dyDescent="0.3"/>
    <row r="222" ht="30.75" customHeight="1" x14ac:dyDescent="0.3"/>
    <row r="223" ht="30.75" customHeight="1" x14ac:dyDescent="0.3"/>
    <row r="224" ht="30.75" customHeight="1" x14ac:dyDescent="0.3"/>
    <row r="225" ht="30.75" customHeight="1" x14ac:dyDescent="0.3"/>
    <row r="226" ht="30.75" customHeight="1" x14ac:dyDescent="0.3"/>
    <row r="227" ht="30.75" customHeight="1" x14ac:dyDescent="0.3"/>
    <row r="228" ht="30.75" customHeight="1" x14ac:dyDescent="0.3"/>
    <row r="229" ht="30.75" customHeight="1" x14ac:dyDescent="0.3"/>
    <row r="230" ht="30.75" customHeight="1" x14ac:dyDescent="0.3"/>
    <row r="231" ht="30.75" customHeight="1" x14ac:dyDescent="0.3"/>
    <row r="232" ht="30.75" customHeight="1" x14ac:dyDescent="0.3"/>
    <row r="233" ht="30.75" customHeight="1" x14ac:dyDescent="0.3"/>
    <row r="234" ht="30.75" customHeight="1" x14ac:dyDescent="0.3"/>
    <row r="235" ht="30.75" customHeight="1" x14ac:dyDescent="0.3"/>
    <row r="236" ht="30.75" customHeight="1" x14ac:dyDescent="0.3"/>
    <row r="237" ht="30.75" customHeight="1" x14ac:dyDescent="0.3"/>
    <row r="238" ht="30.75" customHeight="1" x14ac:dyDescent="0.3"/>
    <row r="239" ht="30.75" customHeight="1" x14ac:dyDescent="0.3"/>
    <row r="240" ht="30.75" customHeight="1" x14ac:dyDescent="0.3"/>
    <row r="241" ht="30.75" customHeight="1" x14ac:dyDescent="0.3"/>
    <row r="242" ht="30.75" customHeight="1" x14ac:dyDescent="0.3"/>
    <row r="243" ht="30.75" customHeight="1" x14ac:dyDescent="0.3"/>
    <row r="244" ht="30.75" customHeight="1" x14ac:dyDescent="0.3"/>
    <row r="245" ht="30.75" customHeight="1" x14ac:dyDescent="0.3"/>
    <row r="246" ht="30.75" customHeight="1" x14ac:dyDescent="0.3"/>
    <row r="247" ht="30.75" customHeight="1" x14ac:dyDescent="0.3"/>
    <row r="248" ht="30.75" customHeight="1" x14ac:dyDescent="0.3"/>
    <row r="249" ht="30.75" customHeight="1" x14ac:dyDescent="0.3"/>
    <row r="250" ht="30.75" customHeight="1" x14ac:dyDescent="0.3"/>
    <row r="251" ht="30.75" customHeight="1" x14ac:dyDescent="0.3"/>
    <row r="252" ht="30.75" customHeight="1" x14ac:dyDescent="0.3"/>
    <row r="253" ht="30.75" customHeight="1" x14ac:dyDescent="0.3"/>
    <row r="254" ht="30.75" customHeight="1" x14ac:dyDescent="0.3"/>
    <row r="255" ht="30.75" customHeight="1" x14ac:dyDescent="0.3"/>
    <row r="256" ht="30.75" customHeight="1" x14ac:dyDescent="0.3"/>
    <row r="257" ht="30.75" customHeight="1" x14ac:dyDescent="0.3"/>
    <row r="258" ht="30.75" customHeight="1" x14ac:dyDescent="0.3"/>
    <row r="259" ht="30.75" customHeight="1" x14ac:dyDescent="0.3"/>
    <row r="260" ht="30.75" customHeight="1" x14ac:dyDescent="0.3"/>
    <row r="261" ht="30.75" customHeight="1" x14ac:dyDescent="0.3"/>
    <row r="262" ht="30.75" customHeight="1" x14ac:dyDescent="0.3"/>
    <row r="263" ht="30.75" customHeight="1" x14ac:dyDescent="0.3"/>
    <row r="264" ht="30.75" customHeight="1" x14ac:dyDescent="0.3"/>
  </sheetData>
  <autoFilter ref="A4:I80" xr:uid="{91CA0CFB-1CE1-46C4-BC4D-ACE3246243A8}">
    <sortState xmlns:xlrd2="http://schemas.microsoft.com/office/spreadsheetml/2017/richdata2" ref="A5:I80">
      <sortCondition ref="B4"/>
    </sortState>
  </autoFilter>
  <mergeCells count="4">
    <mergeCell ref="A1:I1"/>
    <mergeCell ref="A2:I2"/>
    <mergeCell ref="A3:I3"/>
    <mergeCell ref="G74:H74"/>
  </mergeCells>
  <printOptions horizontalCentered="1" verticalCentered="1"/>
  <pageMargins left="0.70866141732283472" right="0.70866141732283472" top="0.55118110236220474" bottom="0.55118110236220474" header="0.31496062992125984" footer="0.31496062992125984"/>
  <pageSetup scale="2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AGOSTO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Levet</dc:creator>
  <cp:lastModifiedBy>GRUPO TRUJANO 03</cp:lastModifiedBy>
  <dcterms:created xsi:type="dcterms:W3CDTF">2026-09-14T22:26:27Z</dcterms:created>
  <dcterms:modified xsi:type="dcterms:W3CDTF">2026-09-18T17:01:47Z</dcterms:modified>
</cp:coreProperties>
</file>