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e77a5512a78036/Documentos/"/>
    </mc:Choice>
  </mc:AlternateContent>
  <xr:revisionPtr revIDLastSave="232" documentId="8_{5DE67E74-4156-4B07-A375-CCC28964F8C9}" xr6:coauthVersionLast="47" xr6:coauthVersionMax="47" xr10:uidLastSave="{B91008E3-D4BB-49D2-BB9C-395AFC4ED9C8}"/>
  <bookViews>
    <workbookView xWindow="-120" yWindow="-120" windowWidth="29040" windowHeight="15720" xr2:uid="{317C24A3-77B2-4D3D-84B9-CC6D556201E5}"/>
  </bookViews>
  <sheets>
    <sheet name="JUNIO 2026" sheetId="1" r:id="rId1"/>
  </sheets>
  <definedNames>
    <definedName name="_xlnm._FilterDatabase" localSheetId="0" hidden="1">'JUNIO 2026'!$B$4:$J$32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K27" i="1"/>
  <c r="K12" i="1" l="1"/>
  <c r="K17" i="1"/>
  <c r="J54" i="1"/>
  <c r="C66" i="1"/>
  <c r="J57" i="1" l="1"/>
</calcChain>
</file>

<file path=xl/sharedStrings.xml><?xml version="1.0" encoding="utf-8"?>
<sst xmlns="http://schemas.openxmlformats.org/spreadsheetml/2006/main" count="106" uniqueCount="68">
  <si>
    <t>REPORTE  DE COMBUSTIBLE</t>
  </si>
  <si>
    <t>CONTROL 2026</t>
  </si>
  <si>
    <t>TICKET</t>
  </si>
  <si>
    <t>FECHA</t>
  </si>
  <si>
    <t>UNID.</t>
  </si>
  <si>
    <t>KILOMETRAJE</t>
  </si>
  <si>
    <t>CONDUCTOR</t>
  </si>
  <si>
    <t>LTS. DE COMBUST.</t>
  </si>
  <si>
    <t>PRECIO</t>
  </si>
  <si>
    <t>IMPORTE DE CARGA</t>
  </si>
  <si>
    <t>TOTAL</t>
  </si>
  <si>
    <t xml:space="preserve">TRANSFERENCIA </t>
  </si>
  <si>
    <t>TRANSFERENCIA</t>
  </si>
  <si>
    <t>SALDO X PAGAR</t>
  </si>
  <si>
    <t>NYZ971C</t>
  </si>
  <si>
    <t>NUZ948C</t>
  </si>
  <si>
    <t>MNX601B</t>
  </si>
  <si>
    <t>ROBERTO ORTEGA</t>
  </si>
  <si>
    <t>PAT8298</t>
  </si>
  <si>
    <t>ARMANDO COLIN</t>
  </si>
  <si>
    <t>PCU7482</t>
  </si>
  <si>
    <t>LF05470</t>
  </si>
  <si>
    <t xml:space="preserve">TOMAS </t>
  </si>
  <si>
    <t>JDJ</t>
  </si>
  <si>
    <t>DIEGO FERNANDEZ</t>
  </si>
  <si>
    <t>LHB188D</t>
  </si>
  <si>
    <t>JOSE ANTONIO IBAÑEZ</t>
  </si>
  <si>
    <t>MHL757A</t>
  </si>
  <si>
    <t>LAZARO PINAL</t>
  </si>
  <si>
    <t>OBRA</t>
  </si>
  <si>
    <t>NYC829C</t>
  </si>
  <si>
    <t>33K849</t>
  </si>
  <si>
    <t>HG6103D</t>
  </si>
  <si>
    <t>ENRIQUE COLIN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</si>
  <si>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</si>
  <si>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</si>
  <si>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</si>
  <si>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</si>
  <si>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</si>
  <si>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</si>
  <si>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</si>
  <si>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</si>
  <si>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JULIO CESAR</t>
  </si>
  <si>
    <t>LEOCIO MTZ</t>
  </si>
  <si>
    <t xml:space="preserve">BIDON </t>
  </si>
  <si>
    <t>TOMAS ARANDA</t>
  </si>
  <si>
    <t>APOLINAR REYES</t>
  </si>
  <si>
    <t>LERMA TENANGO</t>
  </si>
  <si>
    <t>BRYAN CHAVEZ</t>
  </si>
  <si>
    <t>TRANSPORTES FLOTILLA</t>
  </si>
  <si>
    <t>PCW9391</t>
  </si>
  <si>
    <t>JUAN CARLOS NAZAR MECANICO</t>
  </si>
  <si>
    <t>MAQUINARIA PEGASSO</t>
  </si>
  <si>
    <t>REVOLUCION Y LERDO, SAN PEDRO TOTO</t>
  </si>
  <si>
    <t>BACHEO TOLUCA</t>
  </si>
  <si>
    <t>LUIS VALDEZ</t>
  </si>
  <si>
    <t>P. ASFALTO HUIX</t>
  </si>
  <si>
    <t>BACHEO TOLUCA CALLE VICENTE LOMBARDO</t>
  </si>
  <si>
    <t>TBT1229</t>
  </si>
  <si>
    <t>LH49746</t>
  </si>
  <si>
    <t>CARMELO ALVAREZ</t>
  </si>
  <si>
    <t xml:space="preserve">MAQUINARIA </t>
  </si>
  <si>
    <t>MINA TABERNILLAS</t>
  </si>
  <si>
    <t>DIEGO CARREOLA</t>
  </si>
  <si>
    <t>CARLOS TRUJANO</t>
  </si>
  <si>
    <t>LH16062</t>
  </si>
  <si>
    <t>NYZ790C</t>
  </si>
  <si>
    <t>JDJ 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</si>
</sst>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0" fontId="2" fillId="0" borderId="0" xfId="0" applyFont="1"/>
    <xf numFmtId="44" fontId="2" fillId="0" borderId="0" xfId="1" applyFont="1"/>
    <xf numFmtId="0" fontId="3" fillId="0" borderId="0" xfId="0" applyFont="1" applyAlignment="1">
      <alignment wrapText="1"/>
    </xf>
    <xf numFmtId="44" fontId="3" fillId="0" borderId="0" xfId="1" applyFont="1"/>
    <xf numFmtId="44" fontId="3" fillId="0" borderId="0" xfId="0" applyNumberFormat="1" applyFont="1"/>
    <xf numFmtId="0" fontId="4" fillId="0" borderId="0" xfId="0" applyFont="1"/>
    <xf numFmtId="0" fontId="5" fillId="0" borderId="0" xfId="0" applyFont="1"/>
    <xf numFmtId="4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0CFB-1CE1-46C4-BC4D-ACE3246243A8}">
  <sheetPr>
    <pageSetUpPr fitToPage="1"/>
  </sheetPr>
  <dimension ref="A1:K68"/>
  <sheetViews>
    <sheetView tabSelected="1" topLeftCell="A16" zoomScale="90" zoomScaleNormal="90" workbookViewId="0">
      <selection activeCell="D29" sqref="D29"/>
    </sheetView>
  </sheetViews>
  <sheetFormatPr baseColWidth="10" defaultRowHeight="15" x14ac:dyDescent="0.25"/>
  <cols>
    <col min="1" max="1" width="5.28515625" style="15" customWidth="1"/>
    <col min="2" max="2" width="15" style="16" customWidth="1"/>
    <col min="3" max="3" width="18.5703125" style="16" customWidth="1"/>
    <col min="4" max="4" width="9.85546875" style="16" customWidth="1"/>
    <col min="5" max="5" width="11.42578125" style="16" hidden="1" customWidth="1"/>
    <col min="6" max="7" width="36.85546875" style="16" customWidth="1"/>
    <col min="8" max="8" width="8.5703125" style="16" bestFit="1" customWidth="1"/>
    <col min="9" max="9" width="6.5703125" style="16" bestFit="1" customWidth="1"/>
    <col min="10" max="10" width="22.42578125" style="16" customWidth="1"/>
  </cols>
  <sheetData>
    <row r="1" spans="2:11" x14ac:dyDescent="0.25">
      <c r="B1" s="18" t="s">
        <v>23</v>
      </c>
      <c r="C1" s="19"/>
      <c r="D1" s="19"/>
      <c r="E1" s="19"/>
      <c r="F1" s="19"/>
      <c r="G1" s="19"/>
      <c r="H1" s="19"/>
      <c r="I1" s="19"/>
      <c r="J1" s="19"/>
    </row>
    <row r="2" spans="2:11" x14ac:dyDescent="0.25">
      <c r="B2" s="20" t="s">
        <v>0</v>
      </c>
      <c r="C2" s="21"/>
      <c r="D2" s="21"/>
      <c r="E2" s="21"/>
      <c r="F2" s="21"/>
      <c r="G2" s="21"/>
      <c r="H2" s="21"/>
      <c r="I2" s="21"/>
      <c r="J2" s="21"/>
    </row>
    <row r="3" spans="2:11" ht="15.75" thickBot="1" x14ac:dyDescent="0.3">
      <c r="B3" s="22" t="s">
        <v>1</v>
      </c>
      <c r="C3" s="23"/>
      <c r="D3" s="23"/>
      <c r="E3" s="23"/>
      <c r="F3" s="23"/>
      <c r="G3" s="23"/>
      <c r="H3" s="23"/>
      <c r="I3" s="23"/>
      <c r="J3" s="23"/>
    </row>
    <row r="4" spans="2:11" s="4" customFormat="1" ht="36.75" customHeight="1" x14ac:dyDescent="0.25"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29</v>
      </c>
      <c r="H4" s="2" t="s">
        <v>7</v>
      </c>
      <c r="I4" s="2" t="s">
        <v>8</v>
      </c>
      <c r="J4" s="3" t="s">
        <v>9</v>
      </c>
    </row>
    <row r="5" spans="2:11" ht="30" customHeight="1" x14ac:dyDescent="0.25">
      <c r="B5" s="5">
        <v>394762</v>
      </c>
      <c r="C5" s="6">
        <v>46195</v>
      </c>
      <c r="D5" s="7" t="s">
        <v>14</v>
      </c>
      <c r="E5" s="7"/>
      <c r="F5" s="7" t="s">
        <v>46</v>
      </c>
      <c r="G5" s="7" t="s">
        <v>47</v>
      </c>
      <c r="H5" s="7">
        <v>64.388000000000005</v>
      </c>
      <c r="I5" s="8">
        <v>22.89</v>
      </c>
      <c r="J5" s="9">
        <v>1473.84</v>
      </c>
    </row>
    <row r="6" spans="2:11" ht="30" customHeight="1" x14ac:dyDescent="0.25">
      <c r="B6" s="5">
        <v>394751</v>
      </c>
      <c r="C6" s="6">
        <v>46195</v>
      </c>
      <c r="D6" s="7" t="s">
        <v>15</v>
      </c>
      <c r="E6" s="7"/>
      <c r="F6" s="7" t="s">
        <v>48</v>
      </c>
      <c r="G6" s="7" t="s">
        <v>49</v>
      </c>
      <c r="H6" s="7">
        <v>34.950000000000003</v>
      </c>
      <c r="I6" s="8">
        <v>22.89</v>
      </c>
      <c r="J6" s="9">
        <v>800</v>
      </c>
    </row>
    <row r="7" spans="2:11" ht="30" customHeight="1" x14ac:dyDescent="0.25">
      <c r="B7" s="5">
        <v>394752</v>
      </c>
      <c r="C7" s="6">
        <v>46195</v>
      </c>
      <c r="D7" s="7" t="s">
        <v>15</v>
      </c>
      <c r="E7" s="7"/>
      <c r="F7" s="7" t="s">
        <v>48</v>
      </c>
      <c r="G7" s="7" t="s">
        <v>49</v>
      </c>
      <c r="H7" s="7">
        <v>21.844000000000001</v>
      </c>
      <c r="I7" s="8">
        <v>22.89</v>
      </c>
      <c r="J7" s="9">
        <v>500</v>
      </c>
    </row>
    <row r="8" spans="2:11" ht="30" customHeight="1" x14ac:dyDescent="0.25">
      <c r="B8" s="5">
        <v>394748</v>
      </c>
      <c r="C8" s="6">
        <v>46195</v>
      </c>
      <c r="D8" s="7" t="s">
        <v>50</v>
      </c>
      <c r="E8" s="7"/>
      <c r="F8" s="7" t="s">
        <v>51</v>
      </c>
      <c r="G8" s="7" t="s">
        <v>52</v>
      </c>
      <c r="H8" s="7">
        <v>21.844000000000001</v>
      </c>
      <c r="I8" s="8">
        <v>22.89</v>
      </c>
      <c r="J8" s="9">
        <v>500</v>
      </c>
    </row>
    <row r="9" spans="2:11" ht="30" customHeight="1" x14ac:dyDescent="0.25">
      <c r="B9" s="5">
        <v>394763</v>
      </c>
      <c r="C9" s="6">
        <v>46195</v>
      </c>
      <c r="D9" s="7" t="s">
        <v>16</v>
      </c>
      <c r="E9" s="7"/>
      <c r="F9" s="7" t="s">
        <v>17</v>
      </c>
      <c r="G9" s="7" t="s">
        <v>53</v>
      </c>
      <c r="H9" s="7">
        <v>34.950000000000003</v>
      </c>
      <c r="I9" s="8">
        <v>22.89</v>
      </c>
      <c r="J9" s="9">
        <v>800</v>
      </c>
    </row>
    <row r="10" spans="2:11" ht="30" customHeight="1" x14ac:dyDescent="0.25">
      <c r="B10" s="5">
        <v>394511</v>
      </c>
      <c r="C10" s="6">
        <v>46195</v>
      </c>
      <c r="D10" s="7" t="s">
        <v>18</v>
      </c>
      <c r="E10" s="7"/>
      <c r="F10" s="7" t="s">
        <v>19</v>
      </c>
      <c r="G10" s="7" t="s">
        <v>54</v>
      </c>
      <c r="H10" s="7">
        <v>21.844000000000001</v>
      </c>
      <c r="I10" s="8">
        <v>22.89</v>
      </c>
      <c r="J10" s="9">
        <v>500</v>
      </c>
    </row>
    <row r="11" spans="2:11" ht="30" customHeight="1" x14ac:dyDescent="0.25">
      <c r="B11" s="5">
        <v>394755</v>
      </c>
      <c r="C11" s="6">
        <v>46195</v>
      </c>
      <c r="D11" s="7" t="s">
        <v>20</v>
      </c>
      <c r="E11" s="7"/>
      <c r="F11" s="7" t="s">
        <v>55</v>
      </c>
      <c r="G11" s="7" t="s">
        <v>56</v>
      </c>
      <c r="H11" s="7">
        <v>43.686999999999998</v>
      </c>
      <c r="I11" s="8">
        <v>22.89</v>
      </c>
      <c r="J11" s="9">
        <v>1000</v>
      </c>
    </row>
    <row r="12" spans="2:11" ht="30" customHeight="1" x14ac:dyDescent="0.25">
      <c r="B12" s="5">
        <v>394756</v>
      </c>
      <c r="C12" s="6">
        <v>46195</v>
      </c>
      <c r="D12" s="7" t="s">
        <v>21</v>
      </c>
      <c r="E12" s="7"/>
      <c r="F12" s="7" t="s">
        <v>22</v>
      </c>
      <c r="G12" s="7" t="s">
        <v>57</v>
      </c>
      <c r="H12" s="7">
        <v>65.531000000000006</v>
      </c>
      <c r="I12" s="8">
        <v>22.89</v>
      </c>
      <c r="J12" s="9">
        <v>1500</v>
      </c>
      <c r="K12" s="17">
        <f>SUM(J5:J12)</f>
        <v>7073.84</v>
      </c>
    </row>
    <row r="13" spans="2:11" ht="30" customHeight="1" x14ac:dyDescent="0.25">
      <c r="B13" s="5">
        <v>395090</v>
      </c>
      <c r="C13" s="6">
        <v>46196</v>
      </c>
      <c r="D13" s="7" t="s">
        <v>58</v>
      </c>
      <c r="E13" s="7"/>
      <c r="F13" s="7" t="s">
        <v>24</v>
      </c>
      <c r="G13" s="7" t="s">
        <v>47</v>
      </c>
      <c r="H13" s="7">
        <v>56.38</v>
      </c>
      <c r="I13" s="8">
        <v>22.89</v>
      </c>
      <c r="J13" s="9">
        <v>1290.54</v>
      </c>
    </row>
    <row r="14" spans="2:11" ht="30" customHeight="1" x14ac:dyDescent="0.25">
      <c r="B14" s="5">
        <v>395095</v>
      </c>
      <c r="C14" s="6">
        <v>46196</v>
      </c>
      <c r="D14" s="7" t="s">
        <v>58</v>
      </c>
      <c r="E14" s="7"/>
      <c r="F14" s="7" t="s">
        <v>24</v>
      </c>
      <c r="G14" s="7" t="s">
        <v>47</v>
      </c>
      <c r="H14" s="7">
        <v>43.686999999999998</v>
      </c>
      <c r="I14" s="8">
        <v>22.89</v>
      </c>
      <c r="J14" s="9">
        <v>1000</v>
      </c>
    </row>
    <row r="15" spans="2:11" ht="30" customHeight="1" x14ac:dyDescent="0.25">
      <c r="B15" s="5">
        <v>395098</v>
      </c>
      <c r="C15" s="6">
        <v>46196</v>
      </c>
      <c r="D15" s="7" t="s">
        <v>59</v>
      </c>
      <c r="E15" s="7"/>
      <c r="F15" s="7" t="s">
        <v>60</v>
      </c>
      <c r="G15" s="7" t="s">
        <v>47</v>
      </c>
      <c r="H15" s="7">
        <v>131.06200000000001</v>
      </c>
      <c r="I15" s="8">
        <v>22.89</v>
      </c>
      <c r="J15" s="9">
        <v>3000</v>
      </c>
    </row>
    <row r="16" spans="2:11" ht="30" customHeight="1" x14ac:dyDescent="0.25">
      <c r="B16" s="5">
        <v>395039</v>
      </c>
      <c r="C16" s="6">
        <v>46196</v>
      </c>
      <c r="D16" s="7" t="s">
        <v>25</v>
      </c>
      <c r="E16" s="7"/>
      <c r="F16" s="7" t="s">
        <v>26</v>
      </c>
      <c r="G16" s="7" t="s">
        <v>61</v>
      </c>
      <c r="H16" s="7">
        <v>80.831000000000003</v>
      </c>
      <c r="I16" s="8">
        <v>22.89</v>
      </c>
      <c r="J16" s="9">
        <v>1850.22</v>
      </c>
    </row>
    <row r="17" spans="2:11" ht="30" customHeight="1" x14ac:dyDescent="0.25">
      <c r="B17" s="5">
        <v>395353</v>
      </c>
      <c r="C17" s="6">
        <v>46196</v>
      </c>
      <c r="D17" s="7" t="s">
        <v>27</v>
      </c>
      <c r="E17" s="7"/>
      <c r="F17" s="7" t="s">
        <v>28</v>
      </c>
      <c r="G17" s="7" t="s">
        <v>62</v>
      </c>
      <c r="H17" s="7">
        <v>74.268000000000001</v>
      </c>
      <c r="I17" s="8">
        <v>22.89</v>
      </c>
      <c r="J17" s="9">
        <v>1700</v>
      </c>
      <c r="K17" s="17">
        <f>SUM(J13:J17)</f>
        <v>8840.76</v>
      </c>
    </row>
    <row r="18" spans="2:11" ht="30" customHeight="1" x14ac:dyDescent="0.25">
      <c r="B18" s="5">
        <v>395866</v>
      </c>
      <c r="C18" s="6">
        <v>46197</v>
      </c>
      <c r="D18" s="7" t="s">
        <v>30</v>
      </c>
      <c r="E18" s="7"/>
      <c r="F18" s="7" t="s">
        <v>63</v>
      </c>
      <c r="G18" s="7" t="s">
        <v>57</v>
      </c>
      <c r="H18" s="7">
        <v>66.933000000000007</v>
      </c>
      <c r="I18" s="8">
        <v>22.89</v>
      </c>
      <c r="J18" s="9">
        <v>1532.1</v>
      </c>
      <c r="K18" s="17"/>
    </row>
    <row r="19" spans="2:11" ht="30" customHeight="1" x14ac:dyDescent="0.25">
      <c r="B19" s="5">
        <v>395596</v>
      </c>
      <c r="C19" s="6">
        <v>46197</v>
      </c>
      <c r="D19" s="7" t="s">
        <v>31</v>
      </c>
      <c r="E19" s="7"/>
      <c r="F19" s="7" t="s">
        <v>64</v>
      </c>
      <c r="G19" s="7" t="s">
        <v>62</v>
      </c>
      <c r="H19" s="7">
        <v>72.078000000000003</v>
      </c>
      <c r="I19" s="8">
        <v>27.89</v>
      </c>
      <c r="J19" s="9">
        <v>2010.26</v>
      </c>
      <c r="K19" s="17"/>
    </row>
    <row r="20" spans="2:11" ht="30" customHeight="1" x14ac:dyDescent="0.25">
      <c r="B20" s="5">
        <v>395609</v>
      </c>
      <c r="C20" s="6">
        <v>46197</v>
      </c>
      <c r="D20" s="7" t="s">
        <v>21</v>
      </c>
      <c r="E20" s="7"/>
      <c r="F20" s="7" t="s">
        <v>22</v>
      </c>
      <c r="G20" s="7" t="s">
        <v>57</v>
      </c>
      <c r="H20" s="7">
        <v>65.531000000000006</v>
      </c>
      <c r="I20" s="8">
        <v>22.89</v>
      </c>
      <c r="J20" s="9">
        <v>1500</v>
      </c>
      <c r="K20" s="17"/>
    </row>
    <row r="21" spans="2:11" ht="30" customHeight="1" x14ac:dyDescent="0.25">
      <c r="B21" s="5">
        <v>395865</v>
      </c>
      <c r="C21" s="6">
        <v>46197</v>
      </c>
      <c r="D21" s="7" t="s">
        <v>32</v>
      </c>
      <c r="E21" s="7"/>
      <c r="F21" s="7" t="s">
        <v>33</v>
      </c>
      <c r="G21" s="7" t="s">
        <v>67</v>
      </c>
      <c r="H21" s="7">
        <v>330.036</v>
      </c>
      <c r="I21" s="8">
        <v>27</v>
      </c>
      <c r="J21" s="9">
        <v>8910.9699999999993</v>
      </c>
      <c r="K21" s="17"/>
    </row>
    <row r="22" spans="2:11" ht="30" customHeight="1" x14ac:dyDescent="0.25">
      <c r="B22" s="5">
        <v>395863</v>
      </c>
      <c r="C22" s="6">
        <v>46197</v>
      </c>
      <c r="D22" s="7" t="s">
        <v>34</v>
      </c>
      <c r="E22" s="7"/>
      <c r="F22" s="7" t="s">
        <v>35</v>
      </c>
      <c r="G22" s="7" t="s">
        <v>67</v>
      </c>
      <c r="H22" s="7">
        <v>370</v>
      </c>
      <c r="I22" s="8">
        <v>27</v>
      </c>
      <c r="J22" s="9">
        <v>9990</v>
      </c>
      <c r="K22" s="17"/>
    </row>
    <row r="23" spans="2:11" ht="30" customHeight="1" x14ac:dyDescent="0.25">
      <c r="B23" s="5">
        <v>395847</v>
      </c>
      <c r="C23" s="6">
        <v>46197</v>
      </c>
      <c r="D23" s="7" t="s">
        <v>36</v>
      </c>
      <c r="E23" s="7"/>
      <c r="F23" s="7" t="s">
        <v>37</v>
      </c>
      <c r="G23" s="7" t="s">
        <v>67</v>
      </c>
      <c r="H23" s="7">
        <v>130</v>
      </c>
      <c r="I23" s="8">
        <v>27</v>
      </c>
      <c r="J23" s="9">
        <v>3510</v>
      </c>
      <c r="K23" s="17"/>
    </row>
    <row r="24" spans="2:11" ht="30" customHeight="1" x14ac:dyDescent="0.25">
      <c r="B24" s="5">
        <v>395846</v>
      </c>
      <c r="C24" s="6">
        <v>46197</v>
      </c>
      <c r="D24" s="7" t="s">
        <v>36</v>
      </c>
      <c r="E24" s="7"/>
      <c r="F24" s="7" t="s">
        <v>37</v>
      </c>
      <c r="G24" s="7" t="s">
        <v>67</v>
      </c>
      <c r="H24" s="7">
        <v>370</v>
      </c>
      <c r="I24" s="8">
        <v>27</v>
      </c>
      <c r="J24" s="9">
        <v>9990</v>
      </c>
      <c r="K24" s="17"/>
    </row>
    <row r="25" spans="2:11" ht="30" customHeight="1" x14ac:dyDescent="0.25">
      <c r="B25" s="5">
        <v>395853</v>
      </c>
      <c r="C25" s="6">
        <v>46197</v>
      </c>
      <c r="D25" s="7" t="s">
        <v>38</v>
      </c>
      <c r="E25" s="7"/>
      <c r="F25" s="7" t="s">
        <v>39</v>
      </c>
      <c r="G25" s="7" t="s">
        <v>67</v>
      </c>
      <c r="H25" s="7">
        <v>300.00400000000002</v>
      </c>
      <c r="I25" s="8">
        <v>27</v>
      </c>
      <c r="J25" s="9">
        <v>8100.11</v>
      </c>
      <c r="K25" s="17"/>
    </row>
    <row r="26" spans="2:11" ht="30" customHeight="1" x14ac:dyDescent="0.25">
      <c r="B26" s="5">
        <v>395864</v>
      </c>
      <c r="C26" s="6">
        <v>46197</v>
      </c>
      <c r="D26" s="7" t="s">
        <v>40</v>
      </c>
      <c r="E26" s="7"/>
      <c r="F26" s="7" t="s">
        <v>41</v>
      </c>
      <c r="G26" s="7" t="s">
        <v>67</v>
      </c>
      <c r="H26" s="7">
        <v>254</v>
      </c>
      <c r="I26" s="8">
        <v>27</v>
      </c>
      <c r="J26" s="9">
        <v>6858</v>
      </c>
      <c r="K26" s="17"/>
    </row>
    <row r="27" spans="2:11" ht="30" customHeight="1" x14ac:dyDescent="0.25">
      <c r="B27" s="5">
        <v>395861</v>
      </c>
      <c r="C27" s="6">
        <v>46197</v>
      </c>
      <c r="D27" s="7" t="s">
        <v>65</v>
      </c>
      <c r="E27" s="7"/>
      <c r="F27" s="7" t="s">
        <v>42</v>
      </c>
      <c r="G27" s="7" t="s">
        <v>67</v>
      </c>
      <c r="H27" s="7">
        <v>300</v>
      </c>
      <c r="I27" s="8">
        <v>27</v>
      </c>
      <c r="J27" s="9">
        <v>8100</v>
      </c>
      <c r="K27" s="17">
        <f>SUM(J18:J27)</f>
        <v>60501.440000000002</v>
      </c>
    </row>
    <row r="28" spans="2:11" ht="30" customHeight="1" x14ac:dyDescent="0.25">
      <c r="B28" s="5">
        <v>396125</v>
      </c>
      <c r="C28" s="6">
        <v>46197</v>
      </c>
      <c r="D28" s="7" t="s">
        <v>66</v>
      </c>
      <c r="E28" s="7"/>
      <c r="F28" s="7" t="s">
        <v>43</v>
      </c>
      <c r="G28" s="7" t="s">
        <v>47</v>
      </c>
      <c r="H28" s="7">
        <v>65.531000000000006</v>
      </c>
      <c r="I28" s="8">
        <v>22.89</v>
      </c>
      <c r="J28" s="9">
        <v>1500</v>
      </c>
      <c r="K28" s="17"/>
    </row>
    <row r="29" spans="2:11" ht="30" customHeight="1" x14ac:dyDescent="0.25">
      <c r="B29" s="5">
        <v>396153</v>
      </c>
      <c r="C29" s="6">
        <v>46198</v>
      </c>
      <c r="D29" s="7" t="s">
        <v>44</v>
      </c>
      <c r="E29" s="7"/>
      <c r="F29" s="7" t="s">
        <v>45</v>
      </c>
      <c r="G29" s="7"/>
      <c r="H29" s="7">
        <v>17.475000000000001</v>
      </c>
      <c r="I29" s="8">
        <v>22.89</v>
      </c>
      <c r="J29" s="9">
        <v>400</v>
      </c>
      <c r="K29" s="17"/>
    </row>
    <row r="30" spans="2:11" ht="30" customHeight="1" x14ac:dyDescent="0.25">
      <c r="B30" s="5">
        <v>396159</v>
      </c>
      <c r="C30" s="6">
        <v>46199</v>
      </c>
      <c r="D30" s="7" t="s">
        <v>31</v>
      </c>
      <c r="E30" s="7"/>
      <c r="F30" s="7" t="s">
        <v>64</v>
      </c>
      <c r="G30" s="7" t="s">
        <v>62</v>
      </c>
      <c r="H30" s="7">
        <v>13.864000000000001</v>
      </c>
      <c r="I30" s="8">
        <v>27.89</v>
      </c>
      <c r="J30" s="9">
        <v>386.67</v>
      </c>
      <c r="K30" s="17"/>
    </row>
    <row r="31" spans="2:11" ht="30" customHeight="1" x14ac:dyDescent="0.25">
      <c r="B31" s="5">
        <v>396379</v>
      </c>
      <c r="C31" s="6">
        <v>46200</v>
      </c>
      <c r="D31" s="7" t="s">
        <v>16</v>
      </c>
      <c r="E31" s="7"/>
      <c r="F31" s="7" t="s">
        <v>17</v>
      </c>
      <c r="G31" s="7" t="s">
        <v>53</v>
      </c>
      <c r="H31" s="7">
        <v>13.106</v>
      </c>
      <c r="I31" s="8">
        <v>22.89</v>
      </c>
      <c r="J31" s="9">
        <v>300</v>
      </c>
      <c r="K31" s="17"/>
    </row>
    <row r="32" spans="2:11" ht="30" customHeight="1" x14ac:dyDescent="0.25">
      <c r="B32" s="5">
        <v>396380</v>
      </c>
      <c r="C32" s="6">
        <v>46201</v>
      </c>
      <c r="D32" s="7" t="s">
        <v>16</v>
      </c>
      <c r="E32" s="7"/>
      <c r="F32" s="7" t="s">
        <v>17</v>
      </c>
      <c r="G32" s="7" t="s">
        <v>53</v>
      </c>
      <c r="H32" s="7">
        <v>43.686999999999998</v>
      </c>
      <c r="I32" s="8">
        <v>22.89</v>
      </c>
      <c r="J32" s="9">
        <v>1000</v>
      </c>
      <c r="K32" s="17">
        <f>SUM(J28:J32)</f>
        <v>3586.67</v>
      </c>
    </row>
    <row r="33" spans="2:11" ht="30" customHeight="1" x14ac:dyDescent="0.25">
      <c r="B33" s="5"/>
      <c r="C33" s="6"/>
      <c r="D33" s="7"/>
      <c r="E33" s="7"/>
      <c r="F33" s="7"/>
      <c r="G33" s="7"/>
      <c r="H33" s="7"/>
      <c r="I33" s="8"/>
      <c r="J33" s="9"/>
      <c r="K33" s="17"/>
    </row>
    <row r="34" spans="2:11" ht="30" customHeight="1" x14ac:dyDescent="0.25">
      <c r="B34" s="5"/>
      <c r="C34" s="6"/>
      <c r="D34" s="7"/>
      <c r="E34" s="7"/>
      <c r="F34" s="7"/>
      <c r="G34" s="7"/>
      <c r="H34" s="7"/>
      <c r="I34" s="8"/>
      <c r="J34" s="9"/>
      <c r="K34" s="17"/>
    </row>
    <row r="35" spans="2:11" ht="30" customHeight="1" x14ac:dyDescent="0.25">
      <c r="B35" s="5"/>
      <c r="C35" s="6"/>
      <c r="D35" s="7"/>
      <c r="E35" s="7"/>
      <c r="F35" s="7"/>
      <c r="G35" s="7"/>
      <c r="H35" s="7"/>
      <c r="I35" s="8"/>
      <c r="J35" s="9"/>
      <c r="K35" s="17"/>
    </row>
    <row r="36" spans="2:11" ht="30" customHeight="1" x14ac:dyDescent="0.25">
      <c r="B36" s="5"/>
      <c r="C36" s="6"/>
      <c r="D36" s="7"/>
      <c r="E36" s="7"/>
      <c r="F36" s="7"/>
      <c r="G36" s="7"/>
      <c r="H36" s="7"/>
      <c r="I36" s="8"/>
      <c r="J36" s="9"/>
      <c r="K36" s="17"/>
    </row>
    <row r="37" spans="2:11" ht="30" customHeight="1" x14ac:dyDescent="0.25">
      <c r="B37" s="5"/>
      <c r="C37" s="6"/>
      <c r="D37" s="7"/>
      <c r="E37" s="7"/>
      <c r="F37" s="7"/>
      <c r="G37" s="7"/>
      <c r="H37" s="7"/>
      <c r="I37" s="8"/>
      <c r="J37" s="9"/>
      <c r="K37" s="17"/>
    </row>
    <row r="38" spans="2:11" ht="30" customHeight="1" x14ac:dyDescent="0.25">
      <c r="B38" s="5"/>
      <c r="C38" s="6"/>
      <c r="D38" s="7"/>
      <c r="E38" s="7"/>
      <c r="F38" s="7"/>
      <c r="G38" s="7"/>
      <c r="H38" s="7"/>
      <c r="I38" s="8"/>
      <c r="J38" s="9"/>
      <c r="K38" s="17"/>
    </row>
    <row r="39" spans="2:11" ht="30" customHeight="1" x14ac:dyDescent="0.25">
      <c r="B39" s="5"/>
      <c r="C39" s="6"/>
      <c r="D39" s="7"/>
      <c r="E39" s="7"/>
      <c r="F39" s="7"/>
      <c r="G39" s="7"/>
      <c r="H39" s="7"/>
      <c r="I39" s="8"/>
      <c r="J39" s="9"/>
      <c r="K39" s="17"/>
    </row>
    <row r="40" spans="2:11" ht="30" customHeight="1" x14ac:dyDescent="0.25">
      <c r="B40" s="5"/>
      <c r="C40" s="6"/>
      <c r="D40" s="7"/>
      <c r="E40" s="7"/>
      <c r="F40" s="7"/>
      <c r="G40" s="7"/>
      <c r="H40" s="7"/>
      <c r="I40" s="8"/>
      <c r="J40" s="9"/>
      <c r="K40" s="17"/>
    </row>
    <row r="41" spans="2:11" ht="30" customHeight="1" x14ac:dyDescent="0.25">
      <c r="B41" s="5"/>
      <c r="C41" s="6"/>
      <c r="D41" s="7"/>
      <c r="E41" s="7"/>
      <c r="F41" s="7"/>
      <c r="G41" s="7"/>
      <c r="H41" s="7"/>
      <c r="I41" s="8"/>
      <c r="J41" s="9"/>
      <c r="K41" s="17"/>
    </row>
    <row r="42" spans="2:11" ht="30" customHeight="1" x14ac:dyDescent="0.25">
      <c r="B42" s="5"/>
      <c r="C42" s="6"/>
      <c r="D42" s="7"/>
      <c r="E42" s="7"/>
      <c r="F42" s="7"/>
      <c r="G42" s="7"/>
      <c r="H42" s="7"/>
      <c r="I42" s="8"/>
      <c r="J42" s="9"/>
      <c r="K42" s="17"/>
    </row>
    <row r="43" spans="2:11" ht="30" customHeight="1" x14ac:dyDescent="0.25">
      <c r="B43" s="5"/>
      <c r="C43" s="6"/>
      <c r="D43" s="7"/>
      <c r="E43" s="7"/>
      <c r="F43" s="7"/>
      <c r="G43" s="7"/>
      <c r="H43" s="7"/>
      <c r="I43" s="8"/>
      <c r="J43" s="9"/>
      <c r="K43" s="17"/>
    </row>
    <row r="44" spans="2:11" ht="30" customHeight="1" x14ac:dyDescent="0.25">
      <c r="B44" s="5"/>
      <c r="C44" s="6"/>
      <c r="D44" s="7"/>
      <c r="E44" s="7"/>
      <c r="F44" s="7"/>
      <c r="G44" s="7"/>
      <c r="H44" s="7"/>
      <c r="I44" s="8"/>
      <c r="J44" s="9"/>
      <c r="K44" s="17"/>
    </row>
    <row r="45" spans="2:11" ht="30" customHeight="1" x14ac:dyDescent="0.25">
      <c r="B45" s="5"/>
      <c r="C45" s="6"/>
      <c r="D45" s="7"/>
      <c r="E45" s="7"/>
      <c r="F45" s="7"/>
      <c r="G45" s="7"/>
      <c r="H45" s="7"/>
      <c r="I45" s="8"/>
      <c r="J45" s="9"/>
      <c r="K45" s="17"/>
    </row>
    <row r="46" spans="2:11" ht="30" customHeight="1" x14ac:dyDescent="0.25">
      <c r="B46" s="5"/>
      <c r="C46" s="6"/>
      <c r="D46" s="7"/>
      <c r="E46" s="7"/>
      <c r="F46" s="7"/>
      <c r="G46" s="7"/>
      <c r="H46" s="7"/>
      <c r="I46" s="8"/>
      <c r="J46" s="9"/>
      <c r="K46" s="17"/>
    </row>
    <row r="47" spans="2:11" ht="30" customHeight="1" x14ac:dyDescent="0.25">
      <c r="B47" s="5"/>
      <c r="C47" s="6"/>
      <c r="D47" s="7"/>
      <c r="E47" s="7"/>
      <c r="F47" s="7"/>
      <c r="G47" s="7"/>
      <c r="H47" s="7"/>
      <c r="I47" s="8"/>
      <c r="J47" s="9"/>
      <c r="K47" s="17"/>
    </row>
    <row r="48" spans="2:11" ht="30" customHeight="1" x14ac:dyDescent="0.25">
      <c r="B48" s="5"/>
      <c r="C48" s="6"/>
      <c r="D48" s="7"/>
      <c r="E48" s="7"/>
      <c r="F48" s="7"/>
      <c r="G48" s="7"/>
      <c r="H48" s="7"/>
      <c r="I48" s="8"/>
      <c r="J48" s="9"/>
      <c r="K48" s="17"/>
    </row>
    <row r="49" spans="2:11" ht="30" customHeight="1" x14ac:dyDescent="0.25">
      <c r="B49" s="5"/>
      <c r="C49" s="6"/>
      <c r="D49" s="7"/>
      <c r="E49" s="7"/>
      <c r="F49" s="7"/>
      <c r="G49" s="7"/>
      <c r="H49" s="7"/>
      <c r="I49" s="8"/>
      <c r="J49" s="9"/>
      <c r="K49" s="17"/>
    </row>
    <row r="50" spans="2:11" ht="30" customHeight="1" x14ac:dyDescent="0.25">
      <c r="B50" s="5"/>
      <c r="C50" s="6"/>
      <c r="D50" s="7"/>
      <c r="E50" s="7"/>
      <c r="F50" s="7"/>
      <c r="G50" s="7"/>
      <c r="H50" s="7"/>
      <c r="I50" s="8"/>
      <c r="J50" s="9"/>
      <c r="K50" s="17"/>
    </row>
    <row r="51" spans="2:11" ht="30" customHeight="1" x14ac:dyDescent="0.25">
      <c r="B51" s="5"/>
      <c r="C51" s="6"/>
      <c r="D51" s="7"/>
      <c r="E51" s="7"/>
      <c r="F51" s="7"/>
      <c r="G51" s="7"/>
      <c r="H51" s="7"/>
      <c r="I51" s="8"/>
      <c r="J51" s="9"/>
      <c r="K51" s="17"/>
    </row>
    <row r="52" spans="2:11" ht="30" customHeight="1" x14ac:dyDescent="0.25">
      <c r="B52" s="5"/>
      <c r="C52" s="6"/>
      <c r="D52" s="7"/>
      <c r="E52" s="7"/>
      <c r="F52" s="7"/>
      <c r="G52" s="7"/>
      <c r="H52" s="7"/>
      <c r="I52" s="8"/>
      <c r="J52" s="9"/>
    </row>
    <row r="53" spans="2:11" ht="30" customHeight="1" x14ac:dyDescent="0.25">
      <c r="B53" s="5"/>
      <c r="C53" s="6"/>
      <c r="D53" s="7"/>
      <c r="E53" s="7"/>
      <c r="F53" s="7"/>
      <c r="G53" s="7"/>
      <c r="H53" s="7"/>
      <c r="I53" s="8"/>
      <c r="J53" s="9"/>
    </row>
    <row r="54" spans="2:11" x14ac:dyDescent="0.25">
      <c r="B54" s="4"/>
      <c r="C54" s="4"/>
      <c r="D54" s="4"/>
      <c r="E54" s="4"/>
      <c r="F54" s="4"/>
      <c r="G54" s="4"/>
      <c r="H54" s="10" t="s">
        <v>10</v>
      </c>
      <c r="I54" s="4"/>
      <c r="J54" s="11">
        <f>SUM(J5:J53)</f>
        <v>80002.710000000006</v>
      </c>
    </row>
    <row r="55" spans="2:11" x14ac:dyDescent="0.25">
      <c r="B55" s="12"/>
      <c r="C55" s="13"/>
      <c r="D55" s="4"/>
      <c r="E55" s="4"/>
      <c r="F55" s="4"/>
      <c r="G55" s="4"/>
      <c r="H55" s="10"/>
      <c r="I55" s="4"/>
      <c r="J55" s="11"/>
    </row>
    <row r="56" spans="2:11" x14ac:dyDescent="0.25">
      <c r="B56" s="4" t="s">
        <v>11</v>
      </c>
      <c r="C56" s="13"/>
      <c r="D56" s="4"/>
      <c r="E56" s="4"/>
      <c r="F56" s="4"/>
      <c r="G56" s="4"/>
      <c r="H56" s="4"/>
      <c r="I56" s="4"/>
      <c r="J56" s="4"/>
    </row>
    <row r="57" spans="2:11" x14ac:dyDescent="0.25">
      <c r="B57" s="4" t="s">
        <v>12</v>
      </c>
      <c r="C57" s="13"/>
      <c r="D57" s="4"/>
      <c r="E57" s="4"/>
      <c r="F57" s="4"/>
      <c r="G57" s="4"/>
      <c r="H57" s="24" t="s">
        <v>13</v>
      </c>
      <c r="I57" s="25"/>
      <c r="J57" s="13">
        <f>J54-C66</f>
        <v>80002.710000000006</v>
      </c>
    </row>
    <row r="58" spans="2:11" x14ac:dyDescent="0.25">
      <c r="B58" s="4" t="s">
        <v>12</v>
      </c>
      <c r="C58" s="13"/>
      <c r="D58" s="4"/>
      <c r="E58" s="4"/>
      <c r="F58" s="4"/>
      <c r="G58" s="4"/>
      <c r="H58" s="4"/>
      <c r="I58" s="4"/>
      <c r="J58" s="4"/>
    </row>
    <row r="59" spans="2:11" x14ac:dyDescent="0.25">
      <c r="B59" s="4" t="s">
        <v>12</v>
      </c>
      <c r="C59" s="13"/>
      <c r="D59" s="4"/>
      <c r="E59" s="4"/>
      <c r="F59" s="4"/>
      <c r="G59" s="4"/>
      <c r="H59" s="4"/>
      <c r="I59" s="4"/>
      <c r="J59" s="4"/>
    </row>
    <row r="60" spans="2:11" x14ac:dyDescent="0.25">
      <c r="B60" s="4" t="s">
        <v>12</v>
      </c>
      <c r="C60" s="13"/>
      <c r="D60" s="4"/>
      <c r="E60" s="4"/>
      <c r="F60" s="4"/>
      <c r="G60" s="4"/>
      <c r="H60" s="4"/>
      <c r="I60" s="4"/>
      <c r="J60" s="4"/>
    </row>
    <row r="61" spans="2:11" x14ac:dyDescent="0.25">
      <c r="B61" s="4" t="s">
        <v>12</v>
      </c>
      <c r="C61" s="13"/>
      <c r="D61" s="4"/>
      <c r="E61" s="4"/>
      <c r="F61" s="4"/>
      <c r="G61" s="4"/>
      <c r="H61" s="4"/>
      <c r="I61" s="4"/>
      <c r="J61" s="4"/>
    </row>
    <row r="62" spans="2:11" x14ac:dyDescent="0.25">
      <c r="B62" s="4" t="s">
        <v>12</v>
      </c>
      <c r="C62" s="13"/>
      <c r="D62" s="4"/>
      <c r="E62" s="4"/>
      <c r="F62" s="4"/>
      <c r="G62" s="4"/>
      <c r="H62" s="4"/>
      <c r="I62" s="4"/>
      <c r="J62" s="4"/>
    </row>
    <row r="63" spans="2:11" x14ac:dyDescent="0.25">
      <c r="B63" s="4" t="s">
        <v>12</v>
      </c>
      <c r="C63" s="13"/>
      <c r="D63" s="4"/>
      <c r="E63" s="4"/>
      <c r="F63" s="4"/>
      <c r="G63" s="4"/>
      <c r="H63" s="4"/>
      <c r="I63" s="4"/>
      <c r="J63" s="4"/>
    </row>
    <row r="64" spans="2:11" x14ac:dyDescent="0.25">
      <c r="B64" s="4" t="s">
        <v>12</v>
      </c>
      <c r="C64" s="13"/>
      <c r="D64" s="4"/>
      <c r="E64" s="4"/>
      <c r="F64" s="4"/>
      <c r="G64" s="4"/>
      <c r="H64" s="4"/>
      <c r="I64" s="4"/>
      <c r="J64" s="4"/>
    </row>
    <row r="65" spans="2:10" x14ac:dyDescent="0.25">
      <c r="B65" s="4"/>
      <c r="C65" s="4"/>
      <c r="D65" s="4"/>
      <c r="E65" s="4"/>
      <c r="F65" s="4"/>
      <c r="G65" s="4"/>
      <c r="H65" s="4"/>
      <c r="I65" s="4"/>
      <c r="J65" s="4"/>
    </row>
    <row r="66" spans="2:10" x14ac:dyDescent="0.25">
      <c r="B66" s="4"/>
      <c r="C66" s="14">
        <f>SUM(C56:C65)</f>
        <v>0</v>
      </c>
      <c r="D66" s="4"/>
      <c r="E66" s="4"/>
      <c r="F66" s="4"/>
      <c r="G66" s="4"/>
      <c r="H66" s="4"/>
      <c r="I66" s="4"/>
      <c r="J66" s="4"/>
    </row>
    <row r="67" spans="2:10" x14ac:dyDescent="0.25">
      <c r="B67" s="4"/>
      <c r="C67" s="4"/>
      <c r="D67" s="4"/>
      <c r="E67" s="4"/>
      <c r="F67" s="4"/>
      <c r="G67" s="4"/>
      <c r="H67" s="4"/>
      <c r="I67" s="4"/>
      <c r="J67" s="4"/>
    </row>
    <row r="68" spans="2:10" x14ac:dyDescent="0.25">
      <c r="B68" s="4"/>
      <c r="C68" s="4"/>
      <c r="D68" s="4"/>
      <c r="E68" s="4"/>
      <c r="F68" s="4"/>
      <c r="G68" s="4"/>
      <c r="H68" s="4"/>
      <c r="I68" s="4"/>
      <c r="J68" s="4"/>
    </row>
  </sheetData>
  <autoFilter ref="B4:J32" xr:uid="{91CA0CFB-1CE1-46C4-BC4D-ACE3246243A8}"/>
  <mergeCells count="4">
    <mergeCell ref="B1:J1"/>
    <mergeCell ref="B2:J2"/>
    <mergeCell ref="B3:J3"/>
    <mergeCell ref="H57:I57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3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</dc:creator>
  <cp:lastModifiedBy>Servicio Levet</cp:lastModifiedBy>
  <dcterms:created xsi:type="dcterms:W3CDTF">2026-06-23T19:30:51Z</dcterms:created>
  <dcterms:modified xsi:type="dcterms:W3CDTF">2026-06-26T19:09:59Z</dcterms:modified>
</cp:coreProperties>
</file>