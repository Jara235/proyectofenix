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esktop\Proyecto fenix\gasolina\"/>
    </mc:Choice>
  </mc:AlternateContent>
  <xr:revisionPtr revIDLastSave="0" documentId="13_ncr:1_{4B3700CA-1011-4F26-9761-2565BB74CBBE}" xr6:coauthVersionLast="47" xr6:coauthVersionMax="47" xr10:uidLastSave="{00000000-0000-0000-0000-000000000000}"/>
  <bookViews>
    <workbookView xWindow="-108" yWindow="-108" windowWidth="23256" windowHeight="12456" activeTab="1" xr2:uid="{317C24A3-77B2-4D3D-84B9-CC6D556201E5}"/>
  </bookViews>
  <sheets>
    <sheet name="JUNIO 2026" sheetId="1" r:id="rId1"/>
    <sheet name="JULIO 2026" sheetId="2" r:id="rId2"/>
  </sheets>
  <definedNames>
    <definedName name="_xlnm._FilterDatabase" localSheetId="1" hidden="1">'JULIO 2026'!$B$4:$J$182</definedName>
    <definedName name="_xlnm._FilterDatabase" localSheetId="0" hidden="1">'JUNIO 2026'!$B$4:$J$58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2" i="2" l="1"/>
  <c r="M136" i="2"/>
  <c r="M97" i="2"/>
  <c r="M61" i="2"/>
  <c r="M21" i="2"/>
  <c r="J173" i="2"/>
  <c r="K172" i="2"/>
  <c r="K169" i="2"/>
  <c r="K160" i="2" l="1"/>
  <c r="K157" i="2"/>
  <c r="K150" i="2"/>
  <c r="K11" i="2"/>
  <c r="K136" i="2"/>
  <c r="K132" i="2"/>
  <c r="K129" i="2"/>
  <c r="K125" i="2"/>
  <c r="K117" i="2"/>
  <c r="K96" i="2"/>
  <c r="K94" i="2"/>
  <c r="K85" i="2"/>
  <c r="K82" i="2"/>
  <c r="K77" i="2"/>
  <c r="K58" i="2"/>
  <c r="K46" i="2"/>
  <c r="K44" i="2"/>
  <c r="K38" i="2"/>
  <c r="K111" i="2"/>
  <c r="K61" i="2"/>
  <c r="K60" i="2"/>
  <c r="K97" i="2"/>
  <c r="K21" i="2" l="1"/>
  <c r="K19" i="2"/>
  <c r="J63" i="1" l="1"/>
  <c r="C184" i="2" l="1"/>
  <c r="J176" i="2" s="1"/>
  <c r="K60" i="1"/>
  <c r="L64" i="1" l="1"/>
  <c r="K58" i="1"/>
  <c r="K55" i="1"/>
  <c r="K40" i="1"/>
  <c r="K33" i="1"/>
  <c r="K28" i="1"/>
  <c r="K13" i="1" l="1"/>
  <c r="K18" i="1"/>
  <c r="C75" i="1"/>
  <c r="J66" i="1" s="1"/>
</calcChain>
</file>

<file path=xl/sharedStrings.xml><?xml version="1.0" encoding="utf-8"?>
<sst xmlns="http://schemas.openxmlformats.org/spreadsheetml/2006/main" count="714" uniqueCount="165">
  <si>
    <t>REPORTE  DE COMBUSTIBLE</t>
  </si>
  <si>
    <t>CONTROL 2026</t>
  </si>
  <si>
    <t>TICKET</t>
  </si>
  <si>
    <t>FECHA</t>
  </si>
  <si>
    <t>UNID.</t>
  </si>
  <si>
    <t>KILOMETRAJE</t>
  </si>
  <si>
    <t>CONDUCTOR</t>
  </si>
  <si>
    <t>LTS. DE COMBUST.</t>
  </si>
  <si>
    <t>PRECIO</t>
  </si>
  <si>
    <t>IMPORTE DE CARGA</t>
  </si>
  <si>
    <t>TOTAL</t>
  </si>
  <si>
    <t xml:space="preserve">TRANSFERENCIA </t>
  </si>
  <si>
    <t>TRANSFERENCIA</t>
  </si>
  <si>
    <t>SALDO X PAGAR</t>
  </si>
  <si>
    <t>NYZ971C</t>
  </si>
  <si>
    <t>NUZ948C</t>
  </si>
  <si>
    <t>MNX601B</t>
  </si>
  <si>
    <t>ROBERTO ORTEGA</t>
  </si>
  <si>
    <t>PAT8298</t>
  </si>
  <si>
    <t>ARMANDO COLIN</t>
  </si>
  <si>
    <t>PCU7482</t>
  </si>
  <si>
    <t>LF05470</t>
  </si>
  <si>
    <t xml:space="preserve">TOMAS </t>
  </si>
  <si>
    <t>JDJ</t>
  </si>
  <si>
    <t>DIEGO FERNANDEZ</t>
  </si>
  <si>
    <t>LHB188D</t>
  </si>
  <si>
    <t>JOSE ANTONIO IBAÑEZ</t>
  </si>
  <si>
    <t>MHL757A</t>
  </si>
  <si>
    <t>LAZARO PINAL</t>
  </si>
  <si>
    <t>OBRA</t>
  </si>
  <si>
    <t>NYC829C</t>
  </si>
  <si>
    <t>33K849</t>
  </si>
  <si>
    <t>HG6103D</t>
  </si>
  <si>
    <t>ENRIQUE COLIN</t>
  </si>
  <si>
    <t>MY7968B</t>
  </si>
  <si>
    <t>JORGE GARCIA</t>
  </si>
  <si>
    <t>LD57526</t>
  </si>
  <si>
    <t>ARTURO HDZ</t>
  </si>
  <si>
    <t>NB1258D</t>
  </si>
  <si>
    <t>SANTOS SOTERO</t>
  </si>
  <si>
    <t>NR0950C</t>
  </si>
  <si>
    <t>ALEJANDRO FLORES</t>
  </si>
  <si>
    <t>JULIO CESAR</t>
  </si>
  <si>
    <t>LEOCIO MTZ</t>
  </si>
  <si>
    <t xml:space="preserve">BIDON </t>
  </si>
  <si>
    <t>TOMAS ARANDA</t>
  </si>
  <si>
    <t>APOLINAR REYES</t>
  </si>
  <si>
    <t>LERMA TENANGO</t>
  </si>
  <si>
    <t>BRYAN CHAVEZ</t>
  </si>
  <si>
    <t>TRANSPORTES FLOTILLA</t>
  </si>
  <si>
    <t>PCW9391</t>
  </si>
  <si>
    <t>JUAN CARLOS NAZAR MECANICO</t>
  </si>
  <si>
    <t>MAQUINARIA PEGASSO</t>
  </si>
  <si>
    <t>REVOLUCION Y LERDO, SAN PEDRO TOTO</t>
  </si>
  <si>
    <t>BACHEO TOLUCA</t>
  </si>
  <si>
    <t>LUIS VALDEZ</t>
  </si>
  <si>
    <t>P. ASFALTO HUIX</t>
  </si>
  <si>
    <t>BACHEO TOLUCA CALLE VICENTE LOMBARDO</t>
  </si>
  <si>
    <t>TBT1229</t>
  </si>
  <si>
    <t>LH49746</t>
  </si>
  <si>
    <t>CARMELO ALVAREZ</t>
  </si>
  <si>
    <t xml:space="preserve">MAQUINARIA </t>
  </si>
  <si>
    <t>MINA TABERNILLAS</t>
  </si>
  <si>
    <t>DIEGO CARREOLA</t>
  </si>
  <si>
    <t>CARLOS TRUJANO</t>
  </si>
  <si>
    <t>LH16062</t>
  </si>
  <si>
    <t>NYZ790C</t>
  </si>
  <si>
    <t>JDJ TRANSPORTES</t>
  </si>
  <si>
    <t>BRYAN ALVAREZ</t>
  </si>
  <si>
    <t>DAMIAN VILLEGAS</t>
  </si>
  <si>
    <t>PCW9238</t>
  </si>
  <si>
    <t>NXP4918</t>
  </si>
  <si>
    <t>ALBERTO HDZ MECANICO</t>
  </si>
  <si>
    <t>MAQUINARIA MEXICO-TOLUCA</t>
  </si>
  <si>
    <t>LHB184D</t>
  </si>
  <si>
    <t>CLEMENTE SANABRIA</t>
  </si>
  <si>
    <t>LHB182D</t>
  </si>
  <si>
    <t>VICTOR HUGO MARTINEZ</t>
  </si>
  <si>
    <t>TALLER PEGASSO</t>
  </si>
  <si>
    <t>PBT1229</t>
  </si>
  <si>
    <t>LHB176D</t>
  </si>
  <si>
    <t>JOSE CABELLO</t>
  </si>
  <si>
    <t>LLY085A</t>
  </si>
  <si>
    <t>PAOLA JARAMILLO</t>
  </si>
  <si>
    <t>EDGAR VELAZQUEZ</t>
  </si>
  <si>
    <t>ISAAC GONZALEZ</t>
  </si>
  <si>
    <t>LHB180D</t>
  </si>
  <si>
    <t>ARMANDO LANDIN</t>
  </si>
  <si>
    <t>DIEGO CARREOLA MONROY</t>
  </si>
  <si>
    <t>LEONCIO MARTINEZ</t>
  </si>
  <si>
    <t>EQUIPOS MENORES</t>
  </si>
  <si>
    <t xml:space="preserve">DIEGO FERNANDEZ </t>
  </si>
  <si>
    <t>GUADALUPE GARCIA</t>
  </si>
  <si>
    <t>CARLOS NOE</t>
  </si>
  <si>
    <t>LLJ085A</t>
  </si>
  <si>
    <t>MAQ. MEN.</t>
  </si>
  <si>
    <t>JESUS MARIA</t>
  </si>
  <si>
    <t>JACK WILLIAMS CRUZ MENDOZA</t>
  </si>
  <si>
    <t>JUDITH GRANADOS</t>
  </si>
  <si>
    <t>MHL758A</t>
  </si>
  <si>
    <t>JAVIER PEREZ</t>
  </si>
  <si>
    <t>WNX61B</t>
  </si>
  <si>
    <t xml:space="preserve">CALLE REVOLUCION Y CALLE ALBERTO </t>
  </si>
  <si>
    <t>NYZ829C</t>
  </si>
  <si>
    <t>NESTOR ANTONIO LUJANO</t>
  </si>
  <si>
    <t>ANTONIO IBAÑEZ</t>
  </si>
  <si>
    <t>MAQUINARIA</t>
  </si>
  <si>
    <t>LOWBOYS</t>
  </si>
  <si>
    <t xml:space="preserve">MINAS </t>
  </si>
  <si>
    <t>NYZ839C</t>
  </si>
  <si>
    <t>MINA ZUMPAHUACAN</t>
  </si>
  <si>
    <t>OBRA MEXICO TOLUCA</t>
  </si>
  <si>
    <t>PCW923</t>
  </si>
  <si>
    <t>JUAN CARLOS MECANICO</t>
  </si>
  <si>
    <t>AUT JARAMILLO</t>
  </si>
  <si>
    <t>DIEGO FERNANDEZ SANTIAGO</t>
  </si>
  <si>
    <t>LKV206D</t>
  </si>
  <si>
    <t>CRISTOBAL SILVA</t>
  </si>
  <si>
    <t>NY7829C</t>
  </si>
  <si>
    <t>OBRAS PUBLICAS</t>
  </si>
  <si>
    <t>SEMANA 27</t>
  </si>
  <si>
    <t>SEMANAL 28</t>
  </si>
  <si>
    <t>NYZ828C</t>
  </si>
  <si>
    <t>ABNER OSORNIO</t>
  </si>
  <si>
    <t>LEVET 2</t>
  </si>
  <si>
    <t>YARELI MARURI</t>
  </si>
  <si>
    <t>MINA PEGASSO</t>
  </si>
  <si>
    <t>LH49730</t>
  </si>
  <si>
    <t>ING JAVIER</t>
  </si>
  <si>
    <t>ALFREDO DEL MAZO</t>
  </si>
  <si>
    <t>PCU8771</t>
  </si>
  <si>
    <t>JAVIER DE JESUS SANABRIA</t>
  </si>
  <si>
    <t>MEXICO TOLUCA</t>
  </si>
  <si>
    <t>NYZ2829C</t>
  </si>
  <si>
    <t>SEMANAL 29</t>
  </si>
  <si>
    <t>LERMA 3 MARIAS</t>
  </si>
  <si>
    <t>LKC794P</t>
  </si>
  <si>
    <t>FLOTILLA TRANSPORTES</t>
  </si>
  <si>
    <t>PLANTA PEGASSO</t>
  </si>
  <si>
    <t>OBRA ALFREDO DEL MAZO</t>
  </si>
  <si>
    <t>JESUS MARIN GARCIA</t>
  </si>
  <si>
    <t>MINA CUAJOMAC</t>
  </si>
  <si>
    <t>LH4974B</t>
  </si>
  <si>
    <t>MNA TABERNILLAS</t>
  </si>
  <si>
    <t>JAVIER WILLIAMS</t>
  </si>
  <si>
    <t>CARLOS NAZAR</t>
  </si>
  <si>
    <t>MHL755A</t>
  </si>
  <si>
    <t>CARLOS ALARCON</t>
  </si>
  <si>
    <t>CORPORATIVO</t>
  </si>
  <si>
    <t>HENRY PINEDA</t>
  </si>
  <si>
    <t>LICITACIONES</t>
  </si>
  <si>
    <t>LERMAN TENANGO</t>
  </si>
  <si>
    <t>JESUS JAIR</t>
  </si>
  <si>
    <t>ABER OSORNIO</t>
  </si>
  <si>
    <t>SEMANAL 30</t>
  </si>
  <si>
    <t xml:space="preserve">JUAN CARLOS NAZAR </t>
  </si>
  <si>
    <t>MARCOS ALARCON</t>
  </si>
  <si>
    <t>LHB148D</t>
  </si>
  <si>
    <t>NVZ948C</t>
  </si>
  <si>
    <t>JUAN CARLOS</t>
  </si>
  <si>
    <t>ND</t>
  </si>
  <si>
    <t>JACK WILLIAMS</t>
  </si>
  <si>
    <t>FACTURAS</t>
  </si>
  <si>
    <t xml:space="preserve">X FACTURAR </t>
  </si>
  <si>
    <t>SEMANAL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</si>
</sst>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8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/>
    <xf numFmtId="0" fontId="3" fillId="0" borderId="9" xfId="0" applyFont="1" applyBorder="1" applyAlignment="1">
      <alignment horizontal="justify" vertical="center" wrapText="1"/>
    </xf>
    <xf numFmtId="14" fontId="3" fillId="0" borderId="10" xfId="0" applyNumberFormat="1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left" vertical="center"/>
    </xf>
    <xf numFmtId="43" fontId="3" fillId="0" borderId="11" xfId="0" applyNumberFormat="1" applyFont="1" applyBorder="1" applyAlignment="1">
      <alignment horizontal="justify" vertical="center" wrapText="1"/>
    </xf>
    <xf numFmtId="0" fontId="2" fillId="0" borderId="0" xfId="0" applyFont="1"/>
    <xf numFmtId="44" fontId="2" fillId="0" borderId="0" xfId="1" applyFont="1"/>
    <xf numFmtId="0" fontId="3" fillId="0" borderId="0" xfId="0" applyFont="1" applyAlignment="1">
      <alignment wrapText="1"/>
    </xf>
    <xf numFmtId="44" fontId="3" fillId="0" borderId="0" xfId="1" applyFont="1"/>
    <xf numFmtId="44" fontId="3" fillId="0" borderId="0" xfId="0" applyNumberFormat="1" applyFont="1"/>
    <xf numFmtId="0" fontId="4" fillId="0" borderId="0" xfId="0" applyFont="1"/>
    <xf numFmtId="0" fontId="5" fillId="0" borderId="0" xfId="0" applyFont="1"/>
    <xf numFmtId="43" fontId="0" fillId="0" borderId="0" xfId="0" applyNumberFormat="1"/>
    <xf numFmtId="16" fontId="3" fillId="0" borderId="10" xfId="0" applyNumberFormat="1" applyFont="1" applyBorder="1" applyAlignment="1">
      <alignment horizontal="justify" vertical="center" wrapText="1"/>
    </xf>
    <xf numFmtId="43" fontId="3" fillId="2" borderId="11" xfId="0" applyNumberFormat="1" applyFont="1" applyFill="1" applyBorder="1" applyAlignment="1">
      <alignment horizontal="justify" vertical="center" wrapText="1"/>
    </xf>
    <xf numFmtId="43" fontId="3" fillId="3" borderId="11" xfId="0" applyNumberFormat="1" applyFont="1" applyFill="1" applyBorder="1" applyAlignment="1">
      <alignment horizontal="justify" vertical="center" wrapText="1"/>
    </xf>
    <xf numFmtId="164" fontId="0" fillId="0" borderId="0" xfId="0" applyNumberFormat="1"/>
    <xf numFmtId="0" fontId="3" fillId="0" borderId="16" xfId="0" applyFont="1" applyBorder="1" applyAlignment="1">
      <alignment horizontal="justify" vertical="center" wrapText="1"/>
    </xf>
    <xf numFmtId="14" fontId="3" fillId="0" borderId="17" xfId="0" applyNumberFormat="1" applyFont="1" applyBorder="1" applyAlignment="1">
      <alignment horizontal="justify" vertical="center" wrapText="1"/>
    </xf>
    <xf numFmtId="0" fontId="3" fillId="0" borderId="17" xfId="0" applyFont="1" applyBorder="1" applyAlignment="1">
      <alignment horizontal="justify" vertical="center" wrapText="1"/>
    </xf>
    <xf numFmtId="0" fontId="3" fillId="0" borderId="17" xfId="0" applyFont="1" applyBorder="1" applyAlignment="1">
      <alignment horizontal="left" vertical="center"/>
    </xf>
    <xf numFmtId="43" fontId="3" fillId="0" borderId="18" xfId="0" applyNumberFormat="1" applyFont="1" applyBorder="1" applyAlignment="1">
      <alignment horizontal="justify" vertical="center" wrapText="1"/>
    </xf>
    <xf numFmtId="164" fontId="0" fillId="0" borderId="19" xfId="0" applyNumberFormat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16" fontId="3" fillId="0" borderId="17" xfId="0" applyNumberFormat="1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14" fontId="3" fillId="0" borderId="7" xfId="0" applyNumberFormat="1" applyFont="1" applyBorder="1" applyAlignment="1">
      <alignment horizontal="justify" vertical="center" wrapText="1"/>
    </xf>
    <xf numFmtId="16" fontId="3" fillId="0" borderId="7" xfId="0" applyNumberFormat="1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left" vertical="center"/>
    </xf>
    <xf numFmtId="43" fontId="3" fillId="0" borderId="8" xfId="0" applyNumberFormat="1" applyFont="1" applyBorder="1" applyAlignment="1">
      <alignment horizontal="justify" vertical="center" wrapText="1"/>
    </xf>
    <xf numFmtId="44" fontId="3" fillId="0" borderId="15" xfId="1" applyFont="1" applyBorder="1"/>
    <xf numFmtId="0" fontId="3" fillId="0" borderId="22" xfId="0" applyFont="1" applyBorder="1" applyAlignment="1">
      <alignment horizontal="justify" vertical="center" wrapText="1"/>
    </xf>
    <xf numFmtId="0" fontId="3" fillId="0" borderId="22" xfId="0" applyFont="1" applyBorder="1" applyAlignment="1">
      <alignment horizontal="left" vertical="center"/>
    </xf>
    <xf numFmtId="43" fontId="3" fillId="0" borderId="23" xfId="0" applyNumberFormat="1" applyFont="1" applyBorder="1" applyAlignment="1">
      <alignment horizontal="justify" vertical="center" wrapText="1"/>
    </xf>
    <xf numFmtId="0" fontId="3" fillId="0" borderId="24" xfId="0" applyFont="1" applyBorder="1" applyAlignment="1">
      <alignment horizontal="justify" vertical="center" wrapText="1"/>
    </xf>
    <xf numFmtId="14" fontId="3" fillId="0" borderId="22" xfId="0" applyNumberFormat="1" applyFont="1" applyBorder="1" applyAlignment="1">
      <alignment horizontal="justify" vertical="center" wrapText="1"/>
    </xf>
    <xf numFmtId="164" fontId="0" fillId="0" borderId="0" xfId="0" applyNumberFormat="1" applyAlignment="1">
      <alignment horizontal="center" vertical="center"/>
    </xf>
    <xf numFmtId="0" fontId="2" fillId="0" borderId="4" xfId="0" applyFont="1" applyBorder="1"/>
    <xf numFmtId="0" fontId="3" fillId="0" borderId="5" xfId="0" applyFont="1" applyBorder="1"/>
    <xf numFmtId="44" fontId="2" fillId="0" borderId="25" xfId="1" applyFont="1" applyBorder="1"/>
    <xf numFmtId="43" fontId="3" fillId="5" borderId="11" xfId="0" applyNumberFormat="1" applyFont="1" applyFill="1" applyBorder="1" applyAlignment="1">
      <alignment horizontal="justify" vertical="center" wrapText="1"/>
    </xf>
    <xf numFmtId="0" fontId="3" fillId="0" borderId="26" xfId="0" applyFont="1" applyBorder="1" applyAlignment="1">
      <alignment horizontal="justify" vertical="center" wrapText="1"/>
    </xf>
    <xf numFmtId="14" fontId="3" fillId="0" borderId="27" xfId="0" applyNumberFormat="1" applyFont="1" applyBorder="1" applyAlignment="1">
      <alignment horizontal="justify" vertical="center" wrapText="1"/>
    </xf>
    <xf numFmtId="0" fontId="3" fillId="0" borderId="27" xfId="0" applyFont="1" applyBorder="1" applyAlignment="1">
      <alignment horizontal="justify" vertical="center" wrapText="1"/>
    </xf>
    <xf numFmtId="0" fontId="3" fillId="0" borderId="27" xfId="0" applyFont="1" applyBorder="1" applyAlignment="1">
      <alignment horizontal="left" vertical="center"/>
    </xf>
    <xf numFmtId="43" fontId="3" fillId="0" borderId="28" xfId="0" applyNumberFormat="1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6" borderId="9" xfId="0" applyFont="1" applyFill="1" applyBorder="1" applyAlignment="1">
      <alignment horizontal="justify" vertical="center" wrapText="1"/>
    </xf>
    <xf numFmtId="14" fontId="3" fillId="6" borderId="10" xfId="0" applyNumberFormat="1" applyFont="1" applyFill="1" applyBorder="1" applyAlignment="1">
      <alignment horizontal="justify" vertical="center" wrapText="1"/>
    </xf>
    <xf numFmtId="16" fontId="3" fillId="6" borderId="10" xfId="0" applyNumberFormat="1" applyFont="1" applyFill="1" applyBorder="1" applyAlignment="1">
      <alignment horizontal="justify" vertical="center" wrapText="1"/>
    </xf>
    <xf numFmtId="0" fontId="3" fillId="6" borderId="10" xfId="0" applyFont="1" applyFill="1" applyBorder="1" applyAlignment="1">
      <alignment horizontal="justify" vertical="center" wrapText="1"/>
    </xf>
    <xf numFmtId="0" fontId="3" fillId="6" borderId="10" xfId="0" applyFont="1" applyFill="1" applyBorder="1" applyAlignment="1">
      <alignment horizontal="left" vertical="center"/>
    </xf>
    <xf numFmtId="43" fontId="3" fillId="6" borderId="11" xfId="0" applyNumberFormat="1" applyFont="1" applyFill="1" applyBorder="1" applyAlignment="1">
      <alignment horizontal="justify" vertical="center" wrapText="1"/>
    </xf>
    <xf numFmtId="0" fontId="3" fillId="6" borderId="24" xfId="0" applyFont="1" applyFill="1" applyBorder="1" applyAlignment="1">
      <alignment horizontal="justify" vertical="center" wrapText="1"/>
    </xf>
    <xf numFmtId="14" fontId="3" fillId="6" borderId="22" xfId="0" applyNumberFormat="1" applyFont="1" applyFill="1" applyBorder="1" applyAlignment="1">
      <alignment horizontal="justify" vertical="center" wrapText="1"/>
    </xf>
    <xf numFmtId="0" fontId="3" fillId="6" borderId="22" xfId="0" applyFont="1" applyFill="1" applyBorder="1" applyAlignment="1">
      <alignment horizontal="justify" vertical="center" wrapText="1"/>
    </xf>
    <xf numFmtId="0" fontId="3" fillId="6" borderId="22" xfId="0" applyFont="1" applyFill="1" applyBorder="1" applyAlignment="1">
      <alignment horizontal="left" vertical="center"/>
    </xf>
    <xf numFmtId="43" fontId="3" fillId="6" borderId="23" xfId="0" applyNumberFormat="1" applyFont="1" applyFill="1" applyBorder="1" applyAlignment="1">
      <alignment horizontal="justify" vertical="center" wrapText="1"/>
    </xf>
    <xf numFmtId="0" fontId="3" fillId="6" borderId="16" xfId="0" applyFont="1" applyFill="1" applyBorder="1" applyAlignment="1">
      <alignment horizontal="justify" vertical="center" wrapText="1"/>
    </xf>
    <xf numFmtId="14" fontId="3" fillId="6" borderId="17" xfId="0" applyNumberFormat="1" applyFont="1" applyFill="1" applyBorder="1" applyAlignment="1">
      <alignment horizontal="justify" vertical="center" wrapText="1"/>
    </xf>
    <xf numFmtId="0" fontId="3" fillId="6" borderId="17" xfId="0" applyFont="1" applyFill="1" applyBorder="1" applyAlignment="1">
      <alignment horizontal="justify" vertical="center" wrapText="1"/>
    </xf>
    <xf numFmtId="0" fontId="3" fillId="6" borderId="17" xfId="0" applyFont="1" applyFill="1" applyBorder="1" applyAlignment="1">
      <alignment horizontal="left" vertical="center"/>
    </xf>
    <xf numFmtId="43" fontId="3" fillId="6" borderId="18" xfId="0" applyNumberFormat="1" applyFont="1" applyFill="1" applyBorder="1" applyAlignment="1">
      <alignment horizontal="justify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0CFB-1CE1-46C4-BC4D-ACE3246243A8}">
  <sheetPr>
    <pageSetUpPr fitToPage="1"/>
  </sheetPr>
  <dimension ref="A1:L77"/>
  <sheetViews>
    <sheetView topLeftCell="A43" zoomScale="90" zoomScaleNormal="90" workbookViewId="0">
      <selection activeCell="B21" sqref="B21:J27"/>
    </sheetView>
  </sheetViews>
  <sheetFormatPr baseColWidth="10" defaultRowHeight="14.4" x14ac:dyDescent="0.3"/>
  <cols>
    <col min="1" max="1" width="5.33203125" style="15" customWidth="1"/>
    <col min="2" max="2" width="15" style="16" customWidth="1"/>
    <col min="3" max="3" width="18.5546875" style="16" customWidth="1"/>
    <col min="4" max="4" width="9.88671875" style="16" customWidth="1"/>
    <col min="5" max="5" width="11.44140625" style="16" hidden="1" customWidth="1"/>
    <col min="6" max="7" width="36.88671875" style="16" customWidth="1"/>
    <col min="8" max="8" width="8.5546875" style="16" bestFit="1" customWidth="1"/>
    <col min="9" max="9" width="6.5546875" style="16" bestFit="1" customWidth="1"/>
    <col min="10" max="10" width="22.44140625" style="16" customWidth="1"/>
  </cols>
  <sheetData>
    <row r="1" spans="2:11" x14ac:dyDescent="0.3">
      <c r="B1" s="52" t="s">
        <v>23</v>
      </c>
      <c r="C1" s="53"/>
      <c r="D1" s="53"/>
      <c r="E1" s="53"/>
      <c r="F1" s="53"/>
      <c r="G1" s="53"/>
      <c r="H1" s="53"/>
      <c r="I1" s="53"/>
      <c r="J1" s="53"/>
    </row>
    <row r="2" spans="2:11" x14ac:dyDescent="0.3">
      <c r="B2" s="54" t="s">
        <v>0</v>
      </c>
      <c r="C2" s="55"/>
      <c r="D2" s="55"/>
      <c r="E2" s="55"/>
      <c r="F2" s="55"/>
      <c r="G2" s="55"/>
      <c r="H2" s="55"/>
      <c r="I2" s="55"/>
      <c r="J2" s="55"/>
    </row>
    <row r="3" spans="2:11" ht="15" thickBot="1" x14ac:dyDescent="0.35">
      <c r="B3" s="56" t="s">
        <v>1</v>
      </c>
      <c r="C3" s="57"/>
      <c r="D3" s="57"/>
      <c r="E3" s="57"/>
      <c r="F3" s="57"/>
      <c r="G3" s="57"/>
      <c r="H3" s="57"/>
      <c r="I3" s="57"/>
      <c r="J3" s="57"/>
    </row>
    <row r="4" spans="2:11" s="4" customFormat="1" ht="36.75" customHeight="1" x14ac:dyDescent="0.3">
      <c r="B4" s="1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29</v>
      </c>
      <c r="H4" s="2" t="s">
        <v>7</v>
      </c>
      <c r="I4" s="2" t="s">
        <v>8</v>
      </c>
      <c r="J4" s="3" t="s">
        <v>9</v>
      </c>
    </row>
    <row r="5" spans="2:11" ht="30" customHeight="1" x14ac:dyDescent="0.3">
      <c r="B5" s="5">
        <v>394511</v>
      </c>
      <c r="C5" s="6">
        <v>46195</v>
      </c>
      <c r="D5" s="7" t="s">
        <v>18</v>
      </c>
      <c r="E5" s="7"/>
      <c r="F5" s="7" t="s">
        <v>19</v>
      </c>
      <c r="G5" s="7" t="s">
        <v>54</v>
      </c>
      <c r="H5" s="7">
        <v>21.844000000000001</v>
      </c>
      <c r="I5" s="8">
        <v>22.89</v>
      </c>
      <c r="J5" s="9">
        <v>500</v>
      </c>
    </row>
    <row r="6" spans="2:11" ht="30" customHeight="1" x14ac:dyDescent="0.3">
      <c r="B6" s="5">
        <v>394748</v>
      </c>
      <c r="C6" s="6">
        <v>46195</v>
      </c>
      <c r="D6" s="7" t="s">
        <v>50</v>
      </c>
      <c r="E6" s="7"/>
      <c r="F6" s="7" t="s">
        <v>51</v>
      </c>
      <c r="G6" s="7" t="s">
        <v>52</v>
      </c>
      <c r="H6" s="7">
        <v>21.844000000000001</v>
      </c>
      <c r="I6" s="8">
        <v>22.89</v>
      </c>
      <c r="J6" s="9">
        <v>500</v>
      </c>
    </row>
    <row r="7" spans="2:11" ht="30" customHeight="1" x14ac:dyDescent="0.3">
      <c r="B7" s="5">
        <v>394751</v>
      </c>
      <c r="C7" s="6">
        <v>46195</v>
      </c>
      <c r="D7" s="7" t="s">
        <v>15</v>
      </c>
      <c r="E7" s="7"/>
      <c r="F7" s="7" t="s">
        <v>48</v>
      </c>
      <c r="G7" s="7" t="s">
        <v>49</v>
      </c>
      <c r="H7" s="7">
        <v>34.950000000000003</v>
      </c>
      <c r="I7" s="8">
        <v>22.89</v>
      </c>
      <c r="J7" s="9">
        <v>800</v>
      </c>
    </row>
    <row r="8" spans="2:11" ht="30" customHeight="1" x14ac:dyDescent="0.3">
      <c r="B8" s="5">
        <v>394752</v>
      </c>
      <c r="C8" s="6">
        <v>46195</v>
      </c>
      <c r="D8" s="7" t="s">
        <v>15</v>
      </c>
      <c r="E8" s="7"/>
      <c r="F8" s="7" t="s">
        <v>48</v>
      </c>
      <c r="G8" s="7" t="s">
        <v>49</v>
      </c>
      <c r="H8" s="7">
        <v>21.844000000000001</v>
      </c>
      <c r="I8" s="8">
        <v>22.89</v>
      </c>
      <c r="J8" s="9">
        <v>500</v>
      </c>
    </row>
    <row r="9" spans="2:11" ht="30" customHeight="1" x14ac:dyDescent="0.3">
      <c r="B9" s="5">
        <v>394755</v>
      </c>
      <c r="C9" s="6">
        <v>46195</v>
      </c>
      <c r="D9" s="7" t="s">
        <v>20</v>
      </c>
      <c r="E9" s="7"/>
      <c r="F9" s="7" t="s">
        <v>55</v>
      </c>
      <c r="G9" s="7" t="s">
        <v>56</v>
      </c>
      <c r="H9" s="7">
        <v>43.686999999999998</v>
      </c>
      <c r="I9" s="8">
        <v>22.89</v>
      </c>
      <c r="J9" s="9">
        <v>1000</v>
      </c>
    </row>
    <row r="10" spans="2:11" ht="30" customHeight="1" x14ac:dyDescent="0.3">
      <c r="B10" s="5">
        <v>394756</v>
      </c>
      <c r="C10" s="6">
        <v>46195</v>
      </c>
      <c r="D10" s="7" t="s">
        <v>21</v>
      </c>
      <c r="E10" s="7"/>
      <c r="F10" s="7" t="s">
        <v>22</v>
      </c>
      <c r="G10" s="7" t="s">
        <v>57</v>
      </c>
      <c r="H10" s="7">
        <v>65.531000000000006</v>
      </c>
      <c r="I10" s="8">
        <v>22.89</v>
      </c>
      <c r="J10" s="9">
        <v>1500</v>
      </c>
    </row>
    <row r="11" spans="2:11" ht="30" customHeight="1" x14ac:dyDescent="0.3">
      <c r="B11" s="5">
        <v>394749</v>
      </c>
      <c r="C11" s="6">
        <v>46195</v>
      </c>
      <c r="D11" s="7" t="s">
        <v>50</v>
      </c>
      <c r="E11" s="7"/>
      <c r="F11" s="7" t="s">
        <v>84</v>
      </c>
      <c r="G11" s="7"/>
      <c r="H11" s="7">
        <v>21.844000000000001</v>
      </c>
      <c r="I11" s="8">
        <v>22.89</v>
      </c>
      <c r="J11" s="9">
        <v>500</v>
      </c>
    </row>
    <row r="12" spans="2:11" ht="30" customHeight="1" x14ac:dyDescent="0.3">
      <c r="B12" s="5">
        <v>394762</v>
      </c>
      <c r="C12" s="6">
        <v>46195</v>
      </c>
      <c r="D12" s="7" t="s">
        <v>14</v>
      </c>
      <c r="E12" s="7"/>
      <c r="F12" s="7" t="s">
        <v>46</v>
      </c>
      <c r="G12" s="7" t="s">
        <v>47</v>
      </c>
      <c r="H12" s="7">
        <v>64.388000000000005</v>
      </c>
      <c r="I12" s="8">
        <v>22.89</v>
      </c>
      <c r="J12" s="9">
        <v>1473.84</v>
      </c>
    </row>
    <row r="13" spans="2:11" ht="30" customHeight="1" x14ac:dyDescent="0.3">
      <c r="B13" s="5">
        <v>394763</v>
      </c>
      <c r="C13" s="6">
        <v>46195</v>
      </c>
      <c r="D13" s="7" t="s">
        <v>16</v>
      </c>
      <c r="E13" s="7"/>
      <c r="F13" s="7" t="s">
        <v>17</v>
      </c>
      <c r="G13" s="7" t="s">
        <v>53</v>
      </c>
      <c r="H13" s="7">
        <v>34.950000000000003</v>
      </c>
      <c r="I13" s="8">
        <v>22.89</v>
      </c>
      <c r="J13" s="9">
        <v>800</v>
      </c>
      <c r="K13" s="17">
        <f>SUM(J5:J13)</f>
        <v>7573.84</v>
      </c>
    </row>
    <row r="14" spans="2:11" ht="30" customHeight="1" x14ac:dyDescent="0.3">
      <c r="B14" s="5">
        <v>395039</v>
      </c>
      <c r="C14" s="6">
        <v>46196</v>
      </c>
      <c r="D14" s="7" t="s">
        <v>25</v>
      </c>
      <c r="E14" s="7"/>
      <c r="F14" s="7" t="s">
        <v>26</v>
      </c>
      <c r="G14" s="7" t="s">
        <v>61</v>
      </c>
      <c r="H14" s="7">
        <v>80.831000000000003</v>
      </c>
      <c r="I14" s="8">
        <v>22.89</v>
      </c>
      <c r="J14" s="9">
        <v>1850.22</v>
      </c>
    </row>
    <row r="15" spans="2:11" ht="30" customHeight="1" x14ac:dyDescent="0.3">
      <c r="B15" s="5">
        <v>395090</v>
      </c>
      <c r="C15" s="6">
        <v>46196</v>
      </c>
      <c r="D15" s="7" t="s">
        <v>58</v>
      </c>
      <c r="E15" s="7"/>
      <c r="F15" s="7" t="s">
        <v>24</v>
      </c>
      <c r="G15" s="7" t="s">
        <v>47</v>
      </c>
      <c r="H15" s="7">
        <v>56.38</v>
      </c>
      <c r="I15" s="8">
        <v>22.89</v>
      </c>
      <c r="J15" s="9">
        <v>1290.54</v>
      </c>
    </row>
    <row r="16" spans="2:11" ht="30" customHeight="1" x14ac:dyDescent="0.3">
      <c r="B16" s="5">
        <v>395095</v>
      </c>
      <c r="C16" s="6">
        <v>46196</v>
      </c>
      <c r="D16" s="7" t="s">
        <v>58</v>
      </c>
      <c r="E16" s="7"/>
      <c r="F16" s="7" t="s">
        <v>24</v>
      </c>
      <c r="G16" s="7" t="s">
        <v>47</v>
      </c>
      <c r="H16" s="7">
        <v>43.686999999999998</v>
      </c>
      <c r="I16" s="8">
        <v>22.89</v>
      </c>
      <c r="J16" s="9">
        <v>1000</v>
      </c>
    </row>
    <row r="17" spans="2:11" ht="30" customHeight="1" x14ac:dyDescent="0.3">
      <c r="B17" s="5">
        <v>395098</v>
      </c>
      <c r="C17" s="6">
        <v>46196</v>
      </c>
      <c r="D17" s="7" t="s">
        <v>59</v>
      </c>
      <c r="E17" s="7"/>
      <c r="F17" s="7" t="s">
        <v>60</v>
      </c>
      <c r="G17" s="7" t="s">
        <v>47</v>
      </c>
      <c r="H17" s="7">
        <v>131.06200000000001</v>
      </c>
      <c r="I17" s="8">
        <v>22.89</v>
      </c>
      <c r="J17" s="9">
        <v>3000</v>
      </c>
    </row>
    <row r="18" spans="2:11" ht="30" customHeight="1" x14ac:dyDescent="0.3">
      <c r="B18" s="5">
        <v>395353</v>
      </c>
      <c r="C18" s="6">
        <v>46196</v>
      </c>
      <c r="D18" s="7" t="s">
        <v>27</v>
      </c>
      <c r="E18" s="7"/>
      <c r="F18" s="7" t="s">
        <v>28</v>
      </c>
      <c r="G18" s="7" t="s">
        <v>62</v>
      </c>
      <c r="H18" s="7">
        <v>74.268000000000001</v>
      </c>
      <c r="I18" s="8">
        <v>22.89</v>
      </c>
      <c r="J18" s="9">
        <v>1700</v>
      </c>
      <c r="K18" s="17">
        <f>SUM(J14:J18)</f>
        <v>8840.76</v>
      </c>
    </row>
    <row r="19" spans="2:11" ht="30" customHeight="1" x14ac:dyDescent="0.3">
      <c r="B19" s="5">
        <v>395596</v>
      </c>
      <c r="C19" s="6">
        <v>46197</v>
      </c>
      <c r="D19" s="7" t="s">
        <v>31</v>
      </c>
      <c r="E19" s="7"/>
      <c r="F19" s="7" t="s">
        <v>64</v>
      </c>
      <c r="G19" s="7" t="s">
        <v>62</v>
      </c>
      <c r="H19" s="7">
        <v>72.078000000000003</v>
      </c>
      <c r="I19" s="8">
        <v>27.89</v>
      </c>
      <c r="J19" s="9">
        <v>2010.26</v>
      </c>
      <c r="K19" s="17"/>
    </row>
    <row r="20" spans="2:11" ht="30" customHeight="1" x14ac:dyDescent="0.3">
      <c r="B20" s="5">
        <v>395609</v>
      </c>
      <c r="C20" s="6">
        <v>46197</v>
      </c>
      <c r="D20" s="7" t="s">
        <v>21</v>
      </c>
      <c r="E20" s="7"/>
      <c r="F20" s="7" t="s">
        <v>22</v>
      </c>
      <c r="G20" s="7" t="s">
        <v>57</v>
      </c>
      <c r="H20" s="7">
        <v>65.531000000000006</v>
      </c>
      <c r="I20" s="8">
        <v>22.89</v>
      </c>
      <c r="J20" s="9">
        <v>1500</v>
      </c>
      <c r="K20" s="17"/>
    </row>
    <row r="21" spans="2:11" ht="30" customHeight="1" x14ac:dyDescent="0.3">
      <c r="B21" s="5">
        <v>395846</v>
      </c>
      <c r="C21" s="6">
        <v>46197</v>
      </c>
      <c r="D21" s="7" t="s">
        <v>36</v>
      </c>
      <c r="E21" s="7"/>
      <c r="F21" s="7" t="s">
        <v>37</v>
      </c>
      <c r="G21" s="7" t="s">
        <v>67</v>
      </c>
      <c r="H21" s="7">
        <v>370</v>
      </c>
      <c r="I21" s="8">
        <v>27</v>
      </c>
      <c r="J21" s="9">
        <v>9990</v>
      </c>
      <c r="K21" s="17"/>
    </row>
    <row r="22" spans="2:11" ht="30" customHeight="1" x14ac:dyDescent="0.3">
      <c r="B22" s="5">
        <v>395847</v>
      </c>
      <c r="C22" s="6">
        <v>46197</v>
      </c>
      <c r="D22" s="7" t="s">
        <v>36</v>
      </c>
      <c r="E22" s="7"/>
      <c r="F22" s="7" t="s">
        <v>37</v>
      </c>
      <c r="G22" s="7" t="s">
        <v>67</v>
      </c>
      <c r="H22" s="7">
        <v>130</v>
      </c>
      <c r="I22" s="8">
        <v>27</v>
      </c>
      <c r="J22" s="9">
        <v>3510</v>
      </c>
      <c r="K22" s="17"/>
    </row>
    <row r="23" spans="2:11" ht="30" customHeight="1" x14ac:dyDescent="0.3">
      <c r="B23" s="5">
        <v>395853</v>
      </c>
      <c r="C23" s="6">
        <v>46197</v>
      </c>
      <c r="D23" s="7" t="s">
        <v>38</v>
      </c>
      <c r="E23" s="7"/>
      <c r="F23" s="7" t="s">
        <v>39</v>
      </c>
      <c r="G23" s="7" t="s">
        <v>67</v>
      </c>
      <c r="H23" s="7">
        <v>300.00400000000002</v>
      </c>
      <c r="I23" s="8">
        <v>27</v>
      </c>
      <c r="J23" s="9">
        <v>8100.11</v>
      </c>
      <c r="K23" s="17"/>
    </row>
    <row r="24" spans="2:11" ht="30" customHeight="1" x14ac:dyDescent="0.3">
      <c r="B24" s="5">
        <v>395861</v>
      </c>
      <c r="C24" s="6">
        <v>46197</v>
      </c>
      <c r="D24" s="7" t="s">
        <v>65</v>
      </c>
      <c r="E24" s="7"/>
      <c r="F24" s="7" t="s">
        <v>42</v>
      </c>
      <c r="G24" s="7" t="s">
        <v>67</v>
      </c>
      <c r="H24" s="7">
        <v>300</v>
      </c>
      <c r="I24" s="8">
        <v>27</v>
      </c>
      <c r="J24" s="9">
        <v>8100</v>
      </c>
      <c r="K24" s="17"/>
    </row>
    <row r="25" spans="2:11" ht="30" customHeight="1" x14ac:dyDescent="0.3">
      <c r="B25" s="5">
        <v>395863</v>
      </c>
      <c r="C25" s="6">
        <v>46197</v>
      </c>
      <c r="D25" s="7" t="s">
        <v>34</v>
      </c>
      <c r="E25" s="7"/>
      <c r="F25" s="7" t="s">
        <v>35</v>
      </c>
      <c r="G25" s="7" t="s">
        <v>67</v>
      </c>
      <c r="H25" s="7">
        <v>370</v>
      </c>
      <c r="I25" s="8">
        <v>27</v>
      </c>
      <c r="J25" s="9">
        <v>9990</v>
      </c>
      <c r="K25" s="17"/>
    </row>
    <row r="26" spans="2:11" ht="30" customHeight="1" x14ac:dyDescent="0.3">
      <c r="B26" s="5">
        <v>395864</v>
      </c>
      <c r="C26" s="6">
        <v>46197</v>
      </c>
      <c r="D26" s="7" t="s">
        <v>40</v>
      </c>
      <c r="E26" s="7"/>
      <c r="F26" s="7" t="s">
        <v>41</v>
      </c>
      <c r="G26" s="7" t="s">
        <v>67</v>
      </c>
      <c r="H26" s="7">
        <v>254</v>
      </c>
      <c r="I26" s="8">
        <v>27</v>
      </c>
      <c r="J26" s="9">
        <v>6858</v>
      </c>
      <c r="K26" s="17"/>
    </row>
    <row r="27" spans="2:11" ht="30" customHeight="1" x14ac:dyDescent="0.3">
      <c r="B27" s="5">
        <v>395865</v>
      </c>
      <c r="C27" s="6">
        <v>46197</v>
      </c>
      <c r="D27" s="7" t="s">
        <v>32</v>
      </c>
      <c r="E27" s="7"/>
      <c r="F27" s="7" t="s">
        <v>33</v>
      </c>
      <c r="G27" s="7" t="s">
        <v>67</v>
      </c>
      <c r="H27" s="7">
        <v>330.036</v>
      </c>
      <c r="I27" s="8">
        <v>27</v>
      </c>
      <c r="J27" s="9">
        <v>8910.9699999999993</v>
      </c>
      <c r="K27" s="17"/>
    </row>
    <row r="28" spans="2:11" ht="30" customHeight="1" x14ac:dyDescent="0.3">
      <c r="B28" s="5">
        <v>395866</v>
      </c>
      <c r="C28" s="6">
        <v>46197</v>
      </c>
      <c r="D28" s="7" t="s">
        <v>30</v>
      </c>
      <c r="E28" s="7"/>
      <c r="F28" s="7" t="s">
        <v>63</v>
      </c>
      <c r="G28" s="7" t="s">
        <v>57</v>
      </c>
      <c r="H28" s="7">
        <v>66.933000000000007</v>
      </c>
      <c r="I28" s="8">
        <v>22.89</v>
      </c>
      <c r="J28" s="9">
        <v>1532.1</v>
      </c>
      <c r="K28" s="17">
        <f>SUM(J19:J28)</f>
        <v>60501.440000000002</v>
      </c>
    </row>
    <row r="29" spans="2:11" ht="30" customHeight="1" x14ac:dyDescent="0.3">
      <c r="B29" s="5">
        <v>396125</v>
      </c>
      <c r="C29" s="6">
        <v>46198</v>
      </c>
      <c r="D29" s="7" t="s">
        <v>66</v>
      </c>
      <c r="E29" s="7"/>
      <c r="F29" s="7" t="s">
        <v>43</v>
      </c>
      <c r="G29" s="7" t="s">
        <v>47</v>
      </c>
      <c r="H29" s="7">
        <v>65.531000000000006</v>
      </c>
      <c r="I29" s="8">
        <v>22.89</v>
      </c>
      <c r="J29" s="9">
        <v>1500</v>
      </c>
      <c r="K29" s="17"/>
    </row>
    <row r="30" spans="2:11" ht="30" customHeight="1" x14ac:dyDescent="0.3">
      <c r="B30" s="5">
        <v>396153</v>
      </c>
      <c r="C30" s="6">
        <v>46198</v>
      </c>
      <c r="D30" s="7" t="s">
        <v>44</v>
      </c>
      <c r="E30" s="7"/>
      <c r="F30" s="7" t="s">
        <v>45</v>
      </c>
      <c r="G30" s="7" t="s">
        <v>57</v>
      </c>
      <c r="H30" s="7">
        <v>17.475000000000001</v>
      </c>
      <c r="I30" s="8">
        <v>22.89</v>
      </c>
      <c r="J30" s="9">
        <v>400</v>
      </c>
      <c r="K30" s="17"/>
    </row>
    <row r="31" spans="2:11" ht="30" customHeight="1" x14ac:dyDescent="0.3">
      <c r="B31" s="5">
        <v>396159</v>
      </c>
      <c r="C31" s="6">
        <v>46198</v>
      </c>
      <c r="D31" s="7" t="s">
        <v>31</v>
      </c>
      <c r="E31" s="7"/>
      <c r="F31" s="7" t="s">
        <v>64</v>
      </c>
      <c r="G31" s="7" t="s">
        <v>62</v>
      </c>
      <c r="H31" s="7">
        <v>13.864000000000001</v>
      </c>
      <c r="I31" s="8">
        <v>27.89</v>
      </c>
      <c r="J31" s="9">
        <v>386.67</v>
      </c>
      <c r="K31" s="17"/>
    </row>
    <row r="32" spans="2:11" ht="30" customHeight="1" x14ac:dyDescent="0.3">
      <c r="B32" s="5">
        <v>396379</v>
      </c>
      <c r="C32" s="6">
        <v>46198</v>
      </c>
      <c r="D32" s="7" t="s">
        <v>16</v>
      </c>
      <c r="E32" s="7"/>
      <c r="F32" s="7" t="s">
        <v>17</v>
      </c>
      <c r="G32" s="7" t="s">
        <v>53</v>
      </c>
      <c r="H32" s="7">
        <v>13.106</v>
      </c>
      <c r="I32" s="8">
        <v>22.89</v>
      </c>
      <c r="J32" s="9">
        <v>300</v>
      </c>
      <c r="K32" s="17"/>
    </row>
    <row r="33" spans="1:11" ht="30" customHeight="1" x14ac:dyDescent="0.3">
      <c r="B33" s="5">
        <v>396380</v>
      </c>
      <c r="C33" s="6">
        <v>46198</v>
      </c>
      <c r="D33" s="7" t="s">
        <v>16</v>
      </c>
      <c r="E33" s="7"/>
      <c r="F33" s="7" t="s">
        <v>17</v>
      </c>
      <c r="G33" s="7" t="s">
        <v>53</v>
      </c>
      <c r="H33" s="7">
        <v>43.686999999999998</v>
      </c>
      <c r="I33" s="8">
        <v>22.89</v>
      </c>
      <c r="J33" s="9">
        <v>1000</v>
      </c>
      <c r="K33" s="17">
        <f>SUM(J29:J33)</f>
        <v>3586.67</v>
      </c>
    </row>
    <row r="34" spans="1:11" ht="30" customHeight="1" x14ac:dyDescent="0.3">
      <c r="B34" s="5">
        <v>396720</v>
      </c>
      <c r="C34" s="6">
        <v>46199</v>
      </c>
      <c r="D34" s="7" t="s">
        <v>58</v>
      </c>
      <c r="E34" s="7"/>
      <c r="F34" s="7" t="s">
        <v>24</v>
      </c>
      <c r="G34" s="7" t="s">
        <v>47</v>
      </c>
      <c r="H34" s="7">
        <v>52.838000000000001</v>
      </c>
      <c r="I34" s="8">
        <v>22.89</v>
      </c>
      <c r="J34" s="9">
        <v>1209.46</v>
      </c>
      <c r="K34" s="17"/>
    </row>
    <row r="35" spans="1:11" ht="30" customHeight="1" x14ac:dyDescent="0.3">
      <c r="B35" s="5">
        <v>396757</v>
      </c>
      <c r="C35" s="6">
        <v>46199</v>
      </c>
      <c r="D35" s="7" t="s">
        <v>70</v>
      </c>
      <c r="E35" s="7"/>
      <c r="F35" s="7" t="s">
        <v>69</v>
      </c>
      <c r="G35" s="7" t="s">
        <v>52</v>
      </c>
      <c r="H35" s="7">
        <v>54.277000000000001</v>
      </c>
      <c r="I35" s="8">
        <v>22.89</v>
      </c>
      <c r="J35" s="9">
        <v>1242.4000000000001</v>
      </c>
      <c r="K35" s="17"/>
    </row>
    <row r="36" spans="1:11" ht="30" customHeight="1" x14ac:dyDescent="0.3">
      <c r="B36" s="5">
        <v>396759</v>
      </c>
      <c r="C36" s="6">
        <v>46199</v>
      </c>
      <c r="D36" s="7" t="s">
        <v>44</v>
      </c>
      <c r="E36" s="7"/>
      <c r="F36" s="7" t="s">
        <v>69</v>
      </c>
      <c r="G36" s="7" t="s">
        <v>52</v>
      </c>
      <c r="H36" s="7">
        <v>13.106</v>
      </c>
      <c r="I36" s="8">
        <v>22.89</v>
      </c>
      <c r="J36" s="9">
        <v>300</v>
      </c>
      <c r="K36" s="17"/>
    </row>
    <row r="37" spans="1:11" ht="30" customHeight="1" x14ac:dyDescent="0.3">
      <c r="B37" s="5">
        <v>396947</v>
      </c>
      <c r="C37" s="6">
        <v>46199</v>
      </c>
      <c r="D37" s="7" t="s">
        <v>15</v>
      </c>
      <c r="E37" s="7"/>
      <c r="F37" s="7" t="s">
        <v>68</v>
      </c>
      <c r="G37" s="7" t="s">
        <v>49</v>
      </c>
      <c r="H37" s="7">
        <v>30.582999999999998</v>
      </c>
      <c r="I37" s="8">
        <v>22.89</v>
      </c>
      <c r="J37" s="9">
        <v>700.04</v>
      </c>
      <c r="K37" s="17"/>
    </row>
    <row r="38" spans="1:11" ht="30" customHeight="1" x14ac:dyDescent="0.3">
      <c r="B38" s="5">
        <v>396960</v>
      </c>
      <c r="C38" s="6">
        <v>46199</v>
      </c>
      <c r="D38" s="7" t="s">
        <v>44</v>
      </c>
      <c r="E38" s="7"/>
      <c r="F38" s="7" t="s">
        <v>45</v>
      </c>
      <c r="G38" s="7" t="s">
        <v>57</v>
      </c>
      <c r="H38" s="7">
        <v>65.531000000000006</v>
      </c>
      <c r="I38" s="8">
        <v>22.89</v>
      </c>
      <c r="J38" s="9">
        <v>1500</v>
      </c>
      <c r="K38" s="17"/>
    </row>
    <row r="39" spans="1:11" ht="30" customHeight="1" x14ac:dyDescent="0.3">
      <c r="B39" s="5">
        <v>396972</v>
      </c>
      <c r="C39" s="6">
        <v>46199</v>
      </c>
      <c r="D39" s="7" t="s">
        <v>71</v>
      </c>
      <c r="E39" s="7"/>
      <c r="F39" s="7" t="s">
        <v>72</v>
      </c>
      <c r="G39" s="7" t="s">
        <v>73</v>
      </c>
      <c r="H39" s="7">
        <v>34.950000000000003</v>
      </c>
      <c r="I39" s="8">
        <v>22.89</v>
      </c>
      <c r="J39" s="9">
        <v>800</v>
      </c>
      <c r="K39" s="17"/>
    </row>
    <row r="40" spans="1:11" ht="30" customHeight="1" x14ac:dyDescent="0.3">
      <c r="B40" s="5">
        <v>396984</v>
      </c>
      <c r="C40" s="6">
        <v>46199</v>
      </c>
      <c r="D40" s="7" t="s">
        <v>59</v>
      </c>
      <c r="E40" s="7"/>
      <c r="F40" s="7" t="s">
        <v>60</v>
      </c>
      <c r="G40" s="7" t="s">
        <v>47</v>
      </c>
      <c r="H40" s="7">
        <v>43.686999999999998</v>
      </c>
      <c r="I40" s="8">
        <v>22.89</v>
      </c>
      <c r="J40" s="9">
        <v>1000</v>
      </c>
      <c r="K40" s="17">
        <f>SUM(J34:J40)</f>
        <v>6751.9</v>
      </c>
    </row>
    <row r="41" spans="1:11" ht="30" customHeight="1" x14ac:dyDescent="0.3">
      <c r="B41" s="5">
        <v>397296</v>
      </c>
      <c r="C41" s="6">
        <v>46200</v>
      </c>
      <c r="D41" s="7" t="s">
        <v>71</v>
      </c>
      <c r="E41" s="7"/>
      <c r="F41" s="7" t="s">
        <v>72</v>
      </c>
      <c r="G41" s="7" t="s">
        <v>73</v>
      </c>
      <c r="H41" s="7">
        <v>21.844000000000001</v>
      </c>
      <c r="I41" s="8">
        <v>22.89</v>
      </c>
      <c r="J41" s="19">
        <v>500</v>
      </c>
      <c r="K41" s="17"/>
    </row>
    <row r="42" spans="1:11" ht="30" customHeight="1" x14ac:dyDescent="0.3">
      <c r="B42" s="5">
        <v>253821</v>
      </c>
      <c r="C42" s="6">
        <v>46202</v>
      </c>
      <c r="D42" s="7" t="s">
        <v>74</v>
      </c>
      <c r="E42" s="7"/>
      <c r="F42" s="7" t="s">
        <v>75</v>
      </c>
      <c r="G42" s="7" t="s">
        <v>49</v>
      </c>
      <c r="H42" s="7">
        <v>77.135999999999996</v>
      </c>
      <c r="I42" s="8">
        <v>27.89</v>
      </c>
      <c r="J42" s="19">
        <v>2157.8000000000002</v>
      </c>
      <c r="K42" s="17"/>
    </row>
    <row r="43" spans="1:11" ht="30" customHeight="1" x14ac:dyDescent="0.3">
      <c r="A43" s="15">
        <v>0</v>
      </c>
      <c r="B43" s="5">
        <v>398052</v>
      </c>
      <c r="C43" s="6">
        <v>46202</v>
      </c>
      <c r="D43" s="7" t="s">
        <v>14</v>
      </c>
      <c r="E43" s="7"/>
      <c r="F43" s="7" t="s">
        <v>46</v>
      </c>
      <c r="G43" s="7" t="s">
        <v>47</v>
      </c>
      <c r="H43" s="7">
        <v>63.683999999999997</v>
      </c>
      <c r="I43" s="8">
        <v>22.89</v>
      </c>
      <c r="J43" s="19">
        <v>1457.73</v>
      </c>
      <c r="K43" s="17"/>
    </row>
    <row r="44" spans="1:11" ht="30" customHeight="1" x14ac:dyDescent="0.3">
      <c r="B44" s="5">
        <v>398068</v>
      </c>
      <c r="C44" s="6">
        <v>46202</v>
      </c>
      <c r="D44" s="7" t="s">
        <v>25</v>
      </c>
      <c r="E44" s="7"/>
      <c r="F44" s="7" t="s">
        <v>105</v>
      </c>
      <c r="G44" s="7" t="s">
        <v>106</v>
      </c>
      <c r="H44" s="7">
        <v>68.712000000000003</v>
      </c>
      <c r="I44" s="8">
        <v>22.89</v>
      </c>
      <c r="J44" s="19">
        <v>1572.82</v>
      </c>
      <c r="K44" s="17"/>
    </row>
    <row r="45" spans="1:11" ht="30" customHeight="1" x14ac:dyDescent="0.3">
      <c r="B45" s="5">
        <v>398160</v>
      </c>
      <c r="C45" s="6">
        <v>46202</v>
      </c>
      <c r="D45" s="7" t="s">
        <v>21</v>
      </c>
      <c r="E45" s="7"/>
      <c r="F45" s="7" t="s">
        <v>45</v>
      </c>
      <c r="G45" s="7" t="s">
        <v>57</v>
      </c>
      <c r="H45" s="7">
        <v>17.475000000000001</v>
      </c>
      <c r="I45" s="8">
        <v>22.89</v>
      </c>
      <c r="J45" s="19">
        <v>400</v>
      </c>
      <c r="K45" s="17"/>
    </row>
    <row r="46" spans="1:11" ht="30" customHeight="1" x14ac:dyDescent="0.3">
      <c r="B46" s="5">
        <v>398161</v>
      </c>
      <c r="C46" s="6">
        <v>46202</v>
      </c>
      <c r="D46" s="7" t="s">
        <v>21</v>
      </c>
      <c r="E46" s="7"/>
      <c r="F46" s="7" t="s">
        <v>45</v>
      </c>
      <c r="G46" s="7" t="s">
        <v>57</v>
      </c>
      <c r="H46" s="7">
        <v>65.531000000000006</v>
      </c>
      <c r="I46" s="8">
        <v>22.89</v>
      </c>
      <c r="J46" s="19">
        <v>1500</v>
      </c>
      <c r="K46" s="17"/>
    </row>
    <row r="47" spans="1:11" ht="30" customHeight="1" x14ac:dyDescent="0.3">
      <c r="B47" s="5">
        <v>398173</v>
      </c>
      <c r="C47" s="6">
        <v>46202</v>
      </c>
      <c r="D47" s="7" t="s">
        <v>58</v>
      </c>
      <c r="E47" s="7"/>
      <c r="F47" s="7" t="s">
        <v>24</v>
      </c>
      <c r="G47" s="7" t="s">
        <v>47</v>
      </c>
      <c r="H47" s="7">
        <v>41.271000000000001</v>
      </c>
      <c r="I47" s="8">
        <v>22.89</v>
      </c>
      <c r="J47" s="19">
        <v>944.69</v>
      </c>
      <c r="K47" s="17"/>
    </row>
    <row r="48" spans="1:11" ht="30" customHeight="1" x14ac:dyDescent="0.3">
      <c r="B48" s="5">
        <v>398175</v>
      </c>
      <c r="C48" s="6">
        <v>46202</v>
      </c>
      <c r="D48" s="7" t="s">
        <v>15</v>
      </c>
      <c r="E48" s="7"/>
      <c r="F48" s="7" t="s">
        <v>48</v>
      </c>
      <c r="G48" s="7" t="s">
        <v>49</v>
      </c>
      <c r="H48" s="7">
        <v>34.950000000000003</v>
      </c>
      <c r="I48" s="8">
        <v>22.89</v>
      </c>
      <c r="J48" s="19">
        <v>800</v>
      </c>
      <c r="K48" s="17"/>
    </row>
    <row r="49" spans="2:12" ht="30" customHeight="1" x14ac:dyDescent="0.3">
      <c r="B49" s="5">
        <v>398179</v>
      </c>
      <c r="C49" s="6">
        <v>46202</v>
      </c>
      <c r="D49" s="7" t="s">
        <v>107</v>
      </c>
      <c r="E49" s="7"/>
      <c r="F49" s="7" t="s">
        <v>48</v>
      </c>
      <c r="G49" s="7" t="s">
        <v>78</v>
      </c>
      <c r="H49" s="7">
        <v>21.844000000000001</v>
      </c>
      <c r="I49" s="8">
        <v>22.89</v>
      </c>
      <c r="J49" s="19">
        <v>500</v>
      </c>
      <c r="K49" s="17"/>
    </row>
    <row r="50" spans="2:12" ht="30" customHeight="1" x14ac:dyDescent="0.3">
      <c r="B50" s="5">
        <v>398182</v>
      </c>
      <c r="C50" s="6">
        <v>46202</v>
      </c>
      <c r="D50" s="7" t="s">
        <v>79</v>
      </c>
      <c r="E50" s="7"/>
      <c r="F50" s="7" t="s">
        <v>24</v>
      </c>
      <c r="G50" s="7"/>
      <c r="H50" s="7">
        <v>43.686999999999998</v>
      </c>
      <c r="I50" s="8">
        <v>22.89</v>
      </c>
      <c r="J50" s="19">
        <v>1000</v>
      </c>
      <c r="K50" s="17"/>
    </row>
    <row r="51" spans="2:12" ht="30" customHeight="1" x14ac:dyDescent="0.3">
      <c r="B51" s="5">
        <v>398189</v>
      </c>
      <c r="C51" s="6">
        <v>46202</v>
      </c>
      <c r="D51" s="7" t="s">
        <v>31</v>
      </c>
      <c r="E51" s="7"/>
      <c r="F51" s="7" t="s">
        <v>64</v>
      </c>
      <c r="G51" s="7" t="s">
        <v>62</v>
      </c>
      <c r="H51" s="7">
        <v>71.545000000000002</v>
      </c>
      <c r="I51" s="8">
        <v>27.89</v>
      </c>
      <c r="J51" s="20">
        <v>1995.39</v>
      </c>
      <c r="K51" s="17"/>
    </row>
    <row r="52" spans="2:12" ht="30" customHeight="1" x14ac:dyDescent="0.3">
      <c r="B52" s="5">
        <v>398196</v>
      </c>
      <c r="C52" s="6">
        <v>46202</v>
      </c>
      <c r="D52" s="7" t="s">
        <v>76</v>
      </c>
      <c r="E52" s="7"/>
      <c r="F52" s="7" t="s">
        <v>77</v>
      </c>
      <c r="G52" s="7"/>
      <c r="H52" s="7">
        <v>41.518000000000001</v>
      </c>
      <c r="I52" s="8">
        <v>22.89</v>
      </c>
      <c r="J52" s="19">
        <v>950.35</v>
      </c>
      <c r="K52" s="17"/>
    </row>
    <row r="53" spans="2:12" ht="30" customHeight="1" x14ac:dyDescent="0.3">
      <c r="B53" s="5">
        <v>398197</v>
      </c>
      <c r="C53" s="6">
        <v>46202</v>
      </c>
      <c r="D53" s="7" t="s">
        <v>80</v>
      </c>
      <c r="E53" s="7"/>
      <c r="F53" s="7" t="s">
        <v>81</v>
      </c>
      <c r="G53" s="7"/>
      <c r="H53" s="7">
        <v>32.645000000000003</v>
      </c>
      <c r="I53" s="8">
        <v>22.89</v>
      </c>
      <c r="J53" s="19">
        <v>747.24</v>
      </c>
      <c r="K53" s="17"/>
    </row>
    <row r="54" spans="2:12" ht="30" customHeight="1" x14ac:dyDescent="0.3">
      <c r="B54" s="5">
        <v>398202</v>
      </c>
      <c r="C54" s="6">
        <v>46202</v>
      </c>
      <c r="D54" s="7" t="s">
        <v>16</v>
      </c>
      <c r="E54" s="7"/>
      <c r="F54" s="7" t="s">
        <v>17</v>
      </c>
      <c r="G54" s="7" t="s">
        <v>53</v>
      </c>
      <c r="H54" s="7">
        <v>34.950000000000003</v>
      </c>
      <c r="I54" s="8">
        <v>22.89</v>
      </c>
      <c r="J54" s="19">
        <v>800</v>
      </c>
      <c r="K54" s="17"/>
    </row>
    <row r="55" spans="2:12" ht="30" customHeight="1" x14ac:dyDescent="0.3">
      <c r="B55" s="5">
        <v>398474</v>
      </c>
      <c r="C55" s="6">
        <v>46202</v>
      </c>
      <c r="D55" s="7" t="s">
        <v>71</v>
      </c>
      <c r="E55" s="7"/>
      <c r="F55" s="7" t="s">
        <v>72</v>
      </c>
      <c r="G55" s="7" t="s">
        <v>73</v>
      </c>
      <c r="H55" s="7">
        <v>51.005000000000003</v>
      </c>
      <c r="I55" s="8">
        <v>22.89</v>
      </c>
      <c r="J55" s="9">
        <v>1167.5</v>
      </c>
      <c r="K55" s="17">
        <f>SUM(J42:J55)</f>
        <v>15993.52</v>
      </c>
    </row>
    <row r="56" spans="2:12" ht="30" customHeight="1" x14ac:dyDescent="0.3">
      <c r="B56" s="5">
        <v>398078</v>
      </c>
      <c r="C56" s="6">
        <v>46203</v>
      </c>
      <c r="D56" s="18" t="s">
        <v>27</v>
      </c>
      <c r="E56" s="7"/>
      <c r="F56" s="7" t="s">
        <v>28</v>
      </c>
      <c r="G56" s="7" t="s">
        <v>108</v>
      </c>
      <c r="H56" s="7">
        <v>74.268000000000001</v>
      </c>
      <c r="I56" s="8">
        <v>22.89</v>
      </c>
      <c r="J56" s="9">
        <v>1700</v>
      </c>
      <c r="K56" s="17"/>
    </row>
    <row r="57" spans="2:12" ht="30" customHeight="1" x14ac:dyDescent="0.3">
      <c r="B57" s="5">
        <v>398784</v>
      </c>
      <c r="C57" s="6">
        <v>46203</v>
      </c>
      <c r="D57" s="18" t="s">
        <v>59</v>
      </c>
      <c r="E57" s="7"/>
      <c r="F57" s="7" t="s">
        <v>60</v>
      </c>
      <c r="G57" s="7" t="s">
        <v>47</v>
      </c>
      <c r="H57" s="7">
        <v>131.06200000000001</v>
      </c>
      <c r="I57" s="8">
        <v>22.89</v>
      </c>
      <c r="J57" s="9">
        <v>3000</v>
      </c>
      <c r="K57" s="17"/>
    </row>
    <row r="58" spans="2:12" ht="30" customHeight="1" x14ac:dyDescent="0.3">
      <c r="B58" s="5">
        <v>398820</v>
      </c>
      <c r="C58" s="6">
        <v>46203</v>
      </c>
      <c r="D58" s="18" t="s">
        <v>82</v>
      </c>
      <c r="E58" s="7"/>
      <c r="F58" s="7" t="s">
        <v>83</v>
      </c>
      <c r="G58" s="7"/>
      <c r="H58" s="7">
        <v>30.581</v>
      </c>
      <c r="I58" s="8">
        <v>22.89</v>
      </c>
      <c r="J58" s="9">
        <v>700</v>
      </c>
      <c r="K58" s="17">
        <f>SUM(J56:J58)</f>
        <v>5400</v>
      </c>
    </row>
    <row r="59" spans="2:12" ht="30" customHeight="1" x14ac:dyDescent="0.3">
      <c r="B59" s="5"/>
      <c r="C59" s="6"/>
      <c r="D59" s="7"/>
      <c r="E59" s="7"/>
      <c r="F59" s="7"/>
      <c r="G59" s="7"/>
      <c r="H59" s="7"/>
      <c r="I59" s="8"/>
      <c r="J59" s="9"/>
      <c r="K59" s="17"/>
    </row>
    <row r="60" spans="2:12" ht="30" customHeight="1" x14ac:dyDescent="0.3">
      <c r="B60" s="5"/>
      <c r="C60" s="6"/>
      <c r="D60" s="7"/>
      <c r="E60" s="7"/>
      <c r="F60" s="7"/>
      <c r="G60" s="7"/>
      <c r="H60" s="7"/>
      <c r="I60" s="8"/>
      <c r="J60" s="9"/>
      <c r="K60" s="17">
        <f>SUM(J59:J60)</f>
        <v>0</v>
      </c>
    </row>
    <row r="61" spans="2:12" ht="30" customHeight="1" x14ac:dyDescent="0.3">
      <c r="B61" s="5"/>
      <c r="C61" s="6"/>
      <c r="D61" s="7"/>
      <c r="E61" s="7"/>
      <c r="F61" s="7"/>
      <c r="G61" s="7"/>
      <c r="H61" s="7"/>
      <c r="I61" s="8"/>
      <c r="J61" s="9"/>
    </row>
    <row r="62" spans="2:12" ht="30" customHeight="1" x14ac:dyDescent="0.3">
      <c r="B62" s="5"/>
      <c r="C62" s="6"/>
      <c r="D62" s="7"/>
      <c r="E62" s="7"/>
      <c r="F62" s="7"/>
      <c r="G62" s="7"/>
      <c r="H62" s="7"/>
      <c r="I62" s="8"/>
      <c r="J62" s="9"/>
    </row>
    <row r="63" spans="2:12" x14ac:dyDescent="0.3">
      <c r="B63" s="4"/>
      <c r="C63" s="4"/>
      <c r="D63" s="4"/>
      <c r="E63" s="4"/>
      <c r="F63" s="4"/>
      <c r="G63" s="4"/>
      <c r="H63" s="10" t="s">
        <v>10</v>
      </c>
      <c r="I63" s="4"/>
      <c r="J63" s="11">
        <f>SUM(J5:J62)</f>
        <v>109148.13000000002</v>
      </c>
    </row>
    <row r="64" spans="2:12" x14ac:dyDescent="0.3">
      <c r="B64" s="12"/>
      <c r="C64" s="13"/>
      <c r="D64" s="4"/>
      <c r="E64" s="4"/>
      <c r="F64" s="4"/>
      <c r="G64" s="4"/>
      <c r="H64" s="10"/>
      <c r="I64" s="4"/>
      <c r="J64" s="11"/>
      <c r="L64">
        <f>SUM(H5:H58)</f>
        <v>4348.0349999999999</v>
      </c>
    </row>
    <row r="65" spans="2:10" x14ac:dyDescent="0.3">
      <c r="B65" s="4" t="s">
        <v>11</v>
      </c>
      <c r="C65" s="13">
        <v>109148.13</v>
      </c>
      <c r="D65" s="4"/>
      <c r="E65" s="4"/>
      <c r="F65" s="4"/>
      <c r="G65" s="4"/>
      <c r="H65" s="4"/>
      <c r="I65" s="4"/>
      <c r="J65" s="4"/>
    </row>
    <row r="66" spans="2:10" x14ac:dyDescent="0.3">
      <c r="B66" s="4" t="s">
        <v>12</v>
      </c>
      <c r="C66" s="13"/>
      <c r="D66" s="4"/>
      <c r="E66" s="4"/>
      <c r="F66" s="4"/>
      <c r="G66" s="4"/>
      <c r="H66" s="60" t="s">
        <v>13</v>
      </c>
      <c r="I66" s="61"/>
      <c r="J66" s="13">
        <f>J63-C75</f>
        <v>0</v>
      </c>
    </row>
    <row r="67" spans="2:10" x14ac:dyDescent="0.3">
      <c r="B67" s="4" t="s">
        <v>12</v>
      </c>
      <c r="C67" s="13"/>
      <c r="D67" s="4"/>
      <c r="E67" s="4"/>
      <c r="F67" s="4"/>
      <c r="G67" s="4"/>
      <c r="H67" s="4"/>
      <c r="I67" s="4"/>
      <c r="J67" s="4"/>
    </row>
    <row r="68" spans="2:10" x14ac:dyDescent="0.3">
      <c r="B68" s="4" t="s">
        <v>12</v>
      </c>
      <c r="C68" s="13"/>
      <c r="D68" s="4"/>
      <c r="E68" s="4"/>
      <c r="F68" s="4"/>
      <c r="G68" s="4"/>
      <c r="H68" s="4"/>
      <c r="I68" s="4"/>
      <c r="J68" s="4"/>
    </row>
    <row r="69" spans="2:10" x14ac:dyDescent="0.3">
      <c r="B69" s="4" t="s">
        <v>12</v>
      </c>
      <c r="C69" s="13"/>
      <c r="D69" s="4"/>
      <c r="E69" s="4"/>
      <c r="F69" s="4"/>
      <c r="G69" s="4"/>
      <c r="H69" s="4"/>
      <c r="I69" s="4"/>
      <c r="J69" s="4"/>
    </row>
    <row r="70" spans="2:10" x14ac:dyDescent="0.3">
      <c r="B70" s="4" t="s">
        <v>12</v>
      </c>
      <c r="C70" s="13"/>
      <c r="D70" s="4"/>
      <c r="E70" s="4"/>
      <c r="F70" s="4"/>
      <c r="G70" s="4"/>
      <c r="H70" s="4"/>
      <c r="I70" s="4"/>
      <c r="J70" s="4"/>
    </row>
    <row r="71" spans="2:10" x14ac:dyDescent="0.3">
      <c r="B71" s="4" t="s">
        <v>12</v>
      </c>
      <c r="C71" s="13"/>
      <c r="D71" s="4"/>
      <c r="E71" s="4"/>
      <c r="F71" s="4"/>
      <c r="G71" s="4"/>
      <c r="H71" s="4"/>
      <c r="I71" s="4"/>
      <c r="J71" s="4"/>
    </row>
    <row r="72" spans="2:10" x14ac:dyDescent="0.3">
      <c r="B72" s="4" t="s">
        <v>12</v>
      </c>
      <c r="C72" s="13"/>
      <c r="D72" s="4"/>
      <c r="E72" s="4"/>
      <c r="F72" s="4"/>
      <c r="G72" s="4"/>
      <c r="H72" s="4"/>
      <c r="I72" s="4"/>
      <c r="J72" s="4"/>
    </row>
    <row r="73" spans="2:10" x14ac:dyDescent="0.3">
      <c r="B73" s="4" t="s">
        <v>12</v>
      </c>
      <c r="C73" s="13"/>
      <c r="D73" s="4"/>
      <c r="E73" s="4"/>
      <c r="F73" s="4"/>
      <c r="G73" s="4"/>
      <c r="H73" s="4"/>
      <c r="I73" s="4"/>
      <c r="J73" s="4"/>
    </row>
    <row r="74" spans="2:10" x14ac:dyDescent="0.3">
      <c r="B74" s="4"/>
      <c r="C74" s="4"/>
      <c r="D74" s="4"/>
      <c r="E74" s="4"/>
      <c r="F74" s="4"/>
      <c r="G74" s="4"/>
      <c r="H74" s="4"/>
      <c r="I74" s="4"/>
      <c r="J74" s="4"/>
    </row>
    <row r="75" spans="2:10" x14ac:dyDescent="0.3">
      <c r="B75" s="4"/>
      <c r="C75" s="14">
        <f>SUM(C65:C74)</f>
        <v>109148.13</v>
      </c>
      <c r="D75" s="4"/>
      <c r="E75" s="4"/>
      <c r="F75" s="4"/>
      <c r="G75" s="4"/>
      <c r="H75" s="4"/>
      <c r="I75" s="4"/>
      <c r="J75" s="4"/>
    </row>
    <row r="76" spans="2:10" x14ac:dyDescent="0.3">
      <c r="B76" s="4"/>
      <c r="C76" s="4"/>
      <c r="D76" s="4"/>
      <c r="E76" s="4"/>
      <c r="F76" s="4"/>
      <c r="G76" s="4"/>
      <c r="H76" s="4"/>
      <c r="I76" s="4"/>
      <c r="J76" s="4"/>
    </row>
    <row r="77" spans="2:10" x14ac:dyDescent="0.3">
      <c r="B77" s="4"/>
      <c r="C77" s="4"/>
      <c r="D77" s="4"/>
      <c r="E77" s="4"/>
      <c r="F77" s="4"/>
      <c r="G77" s="4"/>
      <c r="H77" s="4"/>
      <c r="I77" s="4"/>
      <c r="J77" s="4"/>
    </row>
  </sheetData>
  <autoFilter ref="B4:J58" xr:uid="{91CA0CFB-1CE1-46C4-BC4D-ACE3246243A8}">
    <sortState xmlns:xlrd2="http://schemas.microsoft.com/office/spreadsheetml/2017/richdata2" ref="B5:J58">
      <sortCondition ref="C4:C58"/>
    </sortState>
  </autoFilter>
  <mergeCells count="4">
    <mergeCell ref="B1:J1"/>
    <mergeCell ref="B2:J2"/>
    <mergeCell ref="B3:J3"/>
    <mergeCell ref="H66:I66"/>
  </mergeCells>
  <printOptions horizontalCentered="1" verticalCentered="1"/>
  <pageMargins left="0.70866141732283472" right="0.70866141732283472" top="0.55118110236220474" bottom="0.55118110236220474" header="0.31496062992125984" footer="0.31496062992125984"/>
  <pageSetup scale="32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0C1F-5E33-4C1D-A224-D5F128DD25A0}">
  <sheetPr>
    <pageSetUpPr fitToPage="1"/>
  </sheetPr>
  <dimension ref="A1:V191"/>
  <sheetViews>
    <sheetView tabSelected="1" zoomScale="85" zoomScaleNormal="85" workbookViewId="0">
      <selection activeCell="B97" sqref="B97:J97"/>
    </sheetView>
  </sheetViews>
  <sheetFormatPr baseColWidth="10" defaultRowHeight="14.4" x14ac:dyDescent="0.3"/>
  <cols>
    <col min="1" max="1" width="5.33203125" style="15" customWidth="1"/>
    <col min="2" max="2" width="15" style="16" customWidth="1"/>
    <col min="3" max="3" width="18.5546875" style="16" customWidth="1"/>
    <col min="4" max="4" width="9.88671875" style="16" customWidth="1"/>
    <col min="5" max="5" width="11.44140625" style="16" hidden="1" customWidth="1"/>
    <col min="6" max="7" width="36.88671875" style="16" customWidth="1"/>
    <col min="8" max="8" width="8.5546875" style="16" bestFit="1" customWidth="1"/>
    <col min="9" max="9" width="6.5546875" style="16" bestFit="1" customWidth="1"/>
    <col min="10" max="10" width="22.44140625" style="16" customWidth="1"/>
    <col min="13" max="13" width="13.33203125" customWidth="1"/>
  </cols>
  <sheetData>
    <row r="1" spans="2:12" x14ac:dyDescent="0.3">
      <c r="B1" s="52" t="s">
        <v>23</v>
      </c>
      <c r="C1" s="53"/>
      <c r="D1" s="53"/>
      <c r="E1" s="53"/>
      <c r="F1" s="53"/>
      <c r="G1" s="53"/>
      <c r="H1" s="53"/>
      <c r="I1" s="53"/>
      <c r="J1" s="53"/>
    </row>
    <row r="2" spans="2:12" x14ac:dyDescent="0.3">
      <c r="B2" s="54" t="s">
        <v>0</v>
      </c>
      <c r="C2" s="55"/>
      <c r="D2" s="55"/>
      <c r="E2" s="55"/>
      <c r="F2" s="55"/>
      <c r="G2" s="55"/>
      <c r="H2" s="55"/>
      <c r="I2" s="55"/>
      <c r="J2" s="55"/>
    </row>
    <row r="3" spans="2:12" ht="15" thickBot="1" x14ac:dyDescent="0.35">
      <c r="B3" s="56" t="s">
        <v>1</v>
      </c>
      <c r="C3" s="57"/>
      <c r="D3" s="57"/>
      <c r="E3" s="57"/>
      <c r="F3" s="57"/>
      <c r="G3" s="57"/>
      <c r="H3" s="57"/>
      <c r="I3" s="57"/>
      <c r="J3" s="57"/>
    </row>
    <row r="4" spans="2:12" s="4" customFormat="1" ht="36.75" customHeight="1" x14ac:dyDescent="0.3">
      <c r="B4" s="1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29</v>
      </c>
      <c r="H4" s="2" t="s">
        <v>7</v>
      </c>
      <c r="I4" s="2" t="s">
        <v>8</v>
      </c>
      <c r="J4" s="3" t="s">
        <v>9</v>
      </c>
    </row>
    <row r="5" spans="2:12" ht="30" customHeight="1" x14ac:dyDescent="0.3">
      <c r="B5" s="5">
        <v>399411</v>
      </c>
      <c r="C5" s="6">
        <v>46204</v>
      </c>
      <c r="D5" s="18" t="s">
        <v>109</v>
      </c>
      <c r="E5" s="7"/>
      <c r="F5" s="7" t="s">
        <v>85</v>
      </c>
      <c r="G5" s="7" t="s">
        <v>110</v>
      </c>
      <c r="H5" s="7">
        <v>40.243000000000002</v>
      </c>
      <c r="I5" s="8">
        <v>22.89</v>
      </c>
      <c r="J5" s="9">
        <v>921.16</v>
      </c>
    </row>
    <row r="6" spans="2:12" ht="30" customHeight="1" x14ac:dyDescent="0.3">
      <c r="B6" s="5">
        <v>399363</v>
      </c>
      <c r="C6" s="6">
        <v>46204</v>
      </c>
      <c r="D6" s="18" t="s">
        <v>86</v>
      </c>
      <c r="E6" s="7"/>
      <c r="F6" s="7" t="s">
        <v>87</v>
      </c>
      <c r="G6" s="7" t="s">
        <v>62</v>
      </c>
      <c r="H6" s="7">
        <v>59.854999999999997</v>
      </c>
      <c r="I6" s="8">
        <v>22.89</v>
      </c>
      <c r="J6" s="9">
        <v>1370.08</v>
      </c>
    </row>
    <row r="7" spans="2:12" ht="30" customHeight="1" x14ac:dyDescent="0.3">
      <c r="B7" s="5">
        <v>399381</v>
      </c>
      <c r="C7" s="6">
        <v>46204</v>
      </c>
      <c r="D7" s="18" t="s">
        <v>112</v>
      </c>
      <c r="E7" s="7"/>
      <c r="F7" s="7" t="s">
        <v>113</v>
      </c>
      <c r="G7" s="7" t="s">
        <v>52</v>
      </c>
      <c r="H7" s="7">
        <v>33.183</v>
      </c>
      <c r="I7" s="8">
        <v>22.89</v>
      </c>
      <c r="J7" s="9">
        <v>759.56</v>
      </c>
    </row>
    <row r="8" spans="2:12" ht="30" customHeight="1" x14ac:dyDescent="0.3">
      <c r="B8" s="5">
        <v>399696</v>
      </c>
      <c r="C8" s="6">
        <v>46204</v>
      </c>
      <c r="D8" s="18" t="s">
        <v>25</v>
      </c>
      <c r="E8" s="7"/>
      <c r="F8" s="7" t="s">
        <v>26</v>
      </c>
      <c r="G8" s="7" t="s">
        <v>106</v>
      </c>
      <c r="H8" s="7">
        <v>58.765999999999998</v>
      </c>
      <c r="I8" s="8">
        <v>22.89</v>
      </c>
      <c r="J8" s="9">
        <v>1345.15</v>
      </c>
    </row>
    <row r="9" spans="2:12" ht="30" customHeight="1" x14ac:dyDescent="0.3">
      <c r="B9" s="5">
        <v>399697</v>
      </c>
      <c r="C9" s="6">
        <v>46204</v>
      </c>
      <c r="D9" s="18" t="s">
        <v>103</v>
      </c>
      <c r="E9" s="7"/>
      <c r="F9" s="7" t="s">
        <v>88</v>
      </c>
      <c r="G9" s="7" t="s">
        <v>57</v>
      </c>
      <c r="H9" s="7">
        <v>65.531000000000006</v>
      </c>
      <c r="I9" s="8">
        <v>22.89</v>
      </c>
      <c r="J9" s="9">
        <v>1500</v>
      </c>
    </row>
    <row r="10" spans="2:12" ht="30" customHeight="1" x14ac:dyDescent="0.3">
      <c r="B10" s="5">
        <v>399676</v>
      </c>
      <c r="C10" s="6">
        <v>46204</v>
      </c>
      <c r="D10" s="18" t="s">
        <v>66</v>
      </c>
      <c r="E10" s="7"/>
      <c r="F10" s="7" t="s">
        <v>89</v>
      </c>
      <c r="G10" s="7" t="s">
        <v>47</v>
      </c>
      <c r="H10" s="7">
        <v>65.531000000000006</v>
      </c>
      <c r="I10" s="8">
        <v>22.89</v>
      </c>
      <c r="J10" s="9">
        <v>1500</v>
      </c>
    </row>
    <row r="11" spans="2:12" ht="30" customHeight="1" x14ac:dyDescent="0.3">
      <c r="B11" s="5">
        <v>399680</v>
      </c>
      <c r="C11" s="6">
        <v>46204</v>
      </c>
      <c r="D11" s="18" t="s">
        <v>31</v>
      </c>
      <c r="E11" s="7"/>
      <c r="F11" s="7" t="s">
        <v>64</v>
      </c>
      <c r="G11" s="7" t="s">
        <v>62</v>
      </c>
      <c r="H11" s="7">
        <v>17.928000000000001</v>
      </c>
      <c r="I11" s="8">
        <v>27.89</v>
      </c>
      <c r="J11" s="9">
        <v>500</v>
      </c>
      <c r="K11" s="17">
        <f>SUM(J5:J11)</f>
        <v>7895.95</v>
      </c>
      <c r="L11" s="17"/>
    </row>
    <row r="12" spans="2:12" ht="30" customHeight="1" x14ac:dyDescent="0.3">
      <c r="B12" s="5">
        <v>399966</v>
      </c>
      <c r="C12" s="6">
        <v>46205</v>
      </c>
      <c r="D12" s="18" t="s">
        <v>21</v>
      </c>
      <c r="E12" s="7"/>
      <c r="F12" s="7" t="s">
        <v>45</v>
      </c>
      <c r="G12" s="7" t="s">
        <v>57</v>
      </c>
      <c r="H12" s="7">
        <v>87.373999999999995</v>
      </c>
      <c r="I12" s="8">
        <v>22.89</v>
      </c>
      <c r="J12" s="9">
        <v>2000</v>
      </c>
      <c r="K12" s="17"/>
    </row>
    <row r="13" spans="2:12" ht="30" customHeight="1" x14ac:dyDescent="0.3">
      <c r="B13" s="5">
        <v>399967</v>
      </c>
      <c r="C13" s="6">
        <v>46205</v>
      </c>
      <c r="D13" s="18" t="s">
        <v>90</v>
      </c>
      <c r="E13" s="7"/>
      <c r="F13" s="7" t="s">
        <v>45</v>
      </c>
      <c r="G13" s="7" t="s">
        <v>57</v>
      </c>
      <c r="H13" s="7">
        <v>21.844000000000001</v>
      </c>
      <c r="I13" s="8">
        <v>22.89</v>
      </c>
      <c r="J13" s="9">
        <v>500</v>
      </c>
    </row>
    <row r="14" spans="2:12" ht="30" customHeight="1" x14ac:dyDescent="0.3">
      <c r="B14" s="5">
        <v>399856</v>
      </c>
      <c r="C14" s="6">
        <v>46205</v>
      </c>
      <c r="D14" s="18" t="s">
        <v>14</v>
      </c>
      <c r="E14" s="7"/>
      <c r="F14" s="7" t="s">
        <v>46</v>
      </c>
      <c r="G14" s="7" t="s">
        <v>47</v>
      </c>
      <c r="H14" s="7">
        <v>45.521999999999998</v>
      </c>
      <c r="I14" s="8">
        <v>22.89</v>
      </c>
      <c r="J14" s="9">
        <v>1042</v>
      </c>
    </row>
    <row r="15" spans="2:12" ht="30" customHeight="1" x14ac:dyDescent="0.3">
      <c r="B15" s="5">
        <v>399945</v>
      </c>
      <c r="C15" s="6">
        <v>46205</v>
      </c>
      <c r="D15" s="18" t="s">
        <v>58</v>
      </c>
      <c r="E15" s="7"/>
      <c r="F15" s="7" t="s">
        <v>91</v>
      </c>
      <c r="G15" s="7" t="s">
        <v>47</v>
      </c>
      <c r="H15" s="7">
        <v>24.26</v>
      </c>
      <c r="I15" s="8">
        <v>22.89</v>
      </c>
      <c r="J15" s="9">
        <v>555.30999999999995</v>
      </c>
    </row>
    <row r="16" spans="2:12" ht="30" customHeight="1" x14ac:dyDescent="0.3">
      <c r="B16" s="5">
        <v>399940</v>
      </c>
      <c r="C16" s="6">
        <v>46205</v>
      </c>
      <c r="D16" s="18" t="s">
        <v>58</v>
      </c>
      <c r="E16" s="7"/>
      <c r="F16" s="7" t="s">
        <v>91</v>
      </c>
      <c r="G16" s="7" t="s">
        <v>47</v>
      </c>
      <c r="H16" s="7">
        <v>43.668700000000001</v>
      </c>
      <c r="I16" s="8">
        <v>22.89</v>
      </c>
      <c r="J16" s="9">
        <v>1000</v>
      </c>
    </row>
    <row r="17" spans="2:13" ht="30" customHeight="1" x14ac:dyDescent="0.3">
      <c r="B17" s="5">
        <v>400172</v>
      </c>
      <c r="C17" s="6">
        <v>46205</v>
      </c>
      <c r="D17" s="18" t="s">
        <v>16</v>
      </c>
      <c r="E17" s="7"/>
      <c r="F17" s="7" t="s">
        <v>17</v>
      </c>
      <c r="G17" s="7" t="s">
        <v>53</v>
      </c>
      <c r="H17" s="7">
        <v>34.950000000000003</v>
      </c>
      <c r="I17" s="8">
        <v>22.89</v>
      </c>
      <c r="J17" s="9">
        <v>800</v>
      </c>
      <c r="K17" s="17"/>
    </row>
    <row r="18" spans="2:13" ht="30" customHeight="1" x14ac:dyDescent="0.3">
      <c r="B18" s="5">
        <v>400178</v>
      </c>
      <c r="C18" s="6">
        <v>46205</v>
      </c>
      <c r="D18" s="18" t="s">
        <v>80</v>
      </c>
      <c r="E18" s="7"/>
      <c r="F18" s="7" t="s">
        <v>92</v>
      </c>
      <c r="G18" s="7" t="s">
        <v>114</v>
      </c>
      <c r="H18" s="7">
        <v>30.581</v>
      </c>
      <c r="I18" s="8">
        <v>22.89</v>
      </c>
      <c r="J18" s="9">
        <v>700</v>
      </c>
      <c r="K18" s="17"/>
    </row>
    <row r="19" spans="2:13" ht="30" customHeight="1" thickBot="1" x14ac:dyDescent="0.35">
      <c r="B19" s="62">
        <v>400189</v>
      </c>
      <c r="C19" s="63">
        <v>46205</v>
      </c>
      <c r="D19" s="64" t="s">
        <v>86</v>
      </c>
      <c r="E19" s="65"/>
      <c r="F19" s="65" t="s">
        <v>87</v>
      </c>
      <c r="G19" s="65" t="s">
        <v>62</v>
      </c>
      <c r="H19" s="65">
        <v>26.212</v>
      </c>
      <c r="I19" s="66">
        <v>22.89</v>
      </c>
      <c r="J19" s="67">
        <v>600</v>
      </c>
      <c r="K19" s="17">
        <f>SUM(J12:J19)</f>
        <v>7197.3099999999995</v>
      </c>
    </row>
    <row r="20" spans="2:13" ht="30" customHeight="1" thickBot="1" x14ac:dyDescent="0.35">
      <c r="B20" s="5">
        <v>400889</v>
      </c>
      <c r="C20" s="6">
        <v>46206</v>
      </c>
      <c r="D20" s="18" t="s">
        <v>15</v>
      </c>
      <c r="E20" s="7"/>
      <c r="F20" s="7" t="s">
        <v>48</v>
      </c>
      <c r="G20" s="7" t="s">
        <v>49</v>
      </c>
      <c r="H20" s="7">
        <v>8.7370000000000001</v>
      </c>
      <c r="I20" s="8">
        <v>22.89</v>
      </c>
      <c r="J20" s="9">
        <v>200</v>
      </c>
      <c r="K20" s="17"/>
      <c r="M20" s="28" t="s">
        <v>120</v>
      </c>
    </row>
    <row r="21" spans="2:13" ht="30" customHeight="1" thickBot="1" x14ac:dyDescent="0.35">
      <c r="B21" s="22">
        <v>400379</v>
      </c>
      <c r="C21" s="23">
        <v>46206</v>
      </c>
      <c r="D21" s="29" t="s">
        <v>15</v>
      </c>
      <c r="E21" s="24"/>
      <c r="F21" s="24" t="s">
        <v>48</v>
      </c>
      <c r="G21" s="24" t="s">
        <v>49</v>
      </c>
      <c r="H21" s="24">
        <v>21.844000000000001</v>
      </c>
      <c r="I21" s="25">
        <v>22.89</v>
      </c>
      <c r="J21" s="26">
        <v>500</v>
      </c>
      <c r="K21" s="17">
        <f>SUM(J20:J21)</f>
        <v>700</v>
      </c>
      <c r="M21" s="27">
        <f>(K11+K19+K21)</f>
        <v>15793.259999999998</v>
      </c>
    </row>
    <row r="22" spans="2:13" ht="30" customHeight="1" x14ac:dyDescent="0.3">
      <c r="B22" s="30">
        <v>401709</v>
      </c>
      <c r="C22" s="31">
        <v>46209</v>
      </c>
      <c r="D22" s="32" t="s">
        <v>70</v>
      </c>
      <c r="E22" s="33"/>
      <c r="F22" s="33" t="s">
        <v>93</v>
      </c>
      <c r="G22" s="33" t="s">
        <v>52</v>
      </c>
      <c r="H22" s="33">
        <v>48.661000000000001</v>
      </c>
      <c r="I22" s="34">
        <v>22.89</v>
      </c>
      <c r="J22" s="35">
        <v>1113.8499999999999</v>
      </c>
      <c r="K22" s="17"/>
    </row>
    <row r="23" spans="2:13" ht="30" customHeight="1" x14ac:dyDescent="0.3">
      <c r="B23" s="5">
        <v>401717</v>
      </c>
      <c r="C23" s="6">
        <v>46209</v>
      </c>
      <c r="D23" s="18" t="s">
        <v>94</v>
      </c>
      <c r="E23" s="7"/>
      <c r="F23" s="7" t="s">
        <v>83</v>
      </c>
      <c r="G23" s="7" t="s">
        <v>114</v>
      </c>
      <c r="H23" s="7">
        <v>25.097000000000001</v>
      </c>
      <c r="I23" s="8">
        <v>22.89</v>
      </c>
      <c r="J23" s="9">
        <v>574.47</v>
      </c>
      <c r="K23" s="17"/>
    </row>
    <row r="24" spans="2:13" ht="30" customHeight="1" x14ac:dyDescent="0.3">
      <c r="B24" s="5">
        <v>401723</v>
      </c>
      <c r="C24" s="6">
        <v>46209</v>
      </c>
      <c r="D24" s="18" t="s">
        <v>95</v>
      </c>
      <c r="E24" s="7"/>
      <c r="F24" s="7" t="s">
        <v>24</v>
      </c>
      <c r="G24" s="7" t="s">
        <v>47</v>
      </c>
      <c r="H24" s="7">
        <v>43.686999999999998</v>
      </c>
      <c r="I24" s="8">
        <v>22.89</v>
      </c>
      <c r="J24" s="9">
        <v>1000</v>
      </c>
      <c r="K24" s="17"/>
    </row>
    <row r="25" spans="2:13" ht="30" customHeight="1" x14ac:dyDescent="0.3">
      <c r="B25" s="5">
        <v>401722</v>
      </c>
      <c r="C25" s="6">
        <v>46209</v>
      </c>
      <c r="D25" s="18" t="s">
        <v>58</v>
      </c>
      <c r="E25" s="7"/>
      <c r="F25" s="7" t="s">
        <v>24</v>
      </c>
      <c r="G25" s="7" t="s">
        <v>47</v>
      </c>
      <c r="H25" s="7">
        <v>54.82</v>
      </c>
      <c r="I25" s="8">
        <v>22.89</v>
      </c>
      <c r="J25" s="9">
        <v>1254.83</v>
      </c>
      <c r="K25" s="17"/>
    </row>
    <row r="26" spans="2:13" ht="30" customHeight="1" x14ac:dyDescent="0.3">
      <c r="B26" s="5">
        <v>401733</v>
      </c>
      <c r="C26" s="6">
        <v>46209</v>
      </c>
      <c r="D26" s="18" t="s">
        <v>15</v>
      </c>
      <c r="E26" s="7"/>
      <c r="F26" s="7" t="s">
        <v>48</v>
      </c>
      <c r="G26" s="7" t="s">
        <v>49</v>
      </c>
      <c r="H26" s="7">
        <v>43.686999999999998</v>
      </c>
      <c r="I26" s="8">
        <v>22.89</v>
      </c>
      <c r="J26" s="9">
        <v>1000</v>
      </c>
      <c r="K26" s="17"/>
    </row>
    <row r="27" spans="2:13" ht="30" customHeight="1" x14ac:dyDescent="0.3">
      <c r="B27" s="5">
        <v>401740</v>
      </c>
      <c r="C27" s="6">
        <v>46209</v>
      </c>
      <c r="D27" s="18" t="s">
        <v>107</v>
      </c>
      <c r="E27" s="7"/>
      <c r="F27" s="7" t="s">
        <v>48</v>
      </c>
      <c r="G27" s="7" t="s">
        <v>49</v>
      </c>
      <c r="H27" s="7">
        <v>21.844000000000001</v>
      </c>
      <c r="I27" s="8">
        <v>22.89</v>
      </c>
      <c r="J27" s="9">
        <v>500</v>
      </c>
      <c r="K27" s="17"/>
    </row>
    <row r="28" spans="2:13" ht="30" customHeight="1" x14ac:dyDescent="0.3">
      <c r="B28" s="5">
        <v>401726</v>
      </c>
      <c r="C28" s="6">
        <v>46209</v>
      </c>
      <c r="D28" s="18" t="s">
        <v>31</v>
      </c>
      <c r="E28" s="7"/>
      <c r="F28" s="7" t="s">
        <v>64</v>
      </c>
      <c r="G28" s="7" t="s">
        <v>62</v>
      </c>
      <c r="H28" s="7">
        <v>80.686000000000007</v>
      </c>
      <c r="I28" s="8">
        <v>27.89</v>
      </c>
      <c r="J28" s="9">
        <v>2250.33</v>
      </c>
      <c r="K28" s="17"/>
    </row>
    <row r="29" spans="2:13" ht="30" customHeight="1" x14ac:dyDescent="0.3">
      <c r="B29" s="5">
        <v>401583</v>
      </c>
      <c r="C29" s="6">
        <v>46209</v>
      </c>
      <c r="D29" s="7" t="s">
        <v>71</v>
      </c>
      <c r="E29" s="7"/>
      <c r="F29" s="7" t="s">
        <v>96</v>
      </c>
      <c r="G29" s="7" t="s">
        <v>73</v>
      </c>
      <c r="H29" s="7">
        <v>60.353000000000002</v>
      </c>
      <c r="I29" s="8">
        <v>22.89</v>
      </c>
      <c r="J29" s="9">
        <v>1381.48</v>
      </c>
      <c r="K29" s="17"/>
    </row>
    <row r="30" spans="2:13" ht="30" customHeight="1" x14ac:dyDescent="0.3">
      <c r="B30" s="5">
        <v>401667</v>
      </c>
      <c r="C30" s="6">
        <v>46209</v>
      </c>
      <c r="D30" s="7" t="s">
        <v>25</v>
      </c>
      <c r="E30" s="7"/>
      <c r="F30" s="7" t="s">
        <v>26</v>
      </c>
      <c r="G30" s="7" t="s">
        <v>106</v>
      </c>
      <c r="H30" s="7">
        <v>65.552999999999997</v>
      </c>
      <c r="I30" s="8">
        <v>22.89</v>
      </c>
      <c r="J30" s="9">
        <v>1500.51</v>
      </c>
      <c r="K30" s="17"/>
    </row>
    <row r="31" spans="2:13" ht="30" customHeight="1" x14ac:dyDescent="0.3">
      <c r="B31" s="5">
        <v>401978</v>
      </c>
      <c r="C31" s="6">
        <v>46209</v>
      </c>
      <c r="D31" s="7" t="s">
        <v>14</v>
      </c>
      <c r="E31" s="7"/>
      <c r="F31" s="7" t="s">
        <v>46</v>
      </c>
      <c r="G31" s="7" t="s">
        <v>47</v>
      </c>
      <c r="H31" s="7">
        <v>56.774000000000001</v>
      </c>
      <c r="I31" s="8">
        <v>22.89</v>
      </c>
      <c r="J31" s="9">
        <v>1299.56</v>
      </c>
      <c r="K31" s="17"/>
    </row>
    <row r="32" spans="2:13" ht="30" customHeight="1" x14ac:dyDescent="0.3">
      <c r="B32" s="5">
        <v>401999</v>
      </c>
      <c r="C32" s="6">
        <v>46209</v>
      </c>
      <c r="D32" s="7" t="s">
        <v>80</v>
      </c>
      <c r="E32" s="7"/>
      <c r="F32" s="7" t="s">
        <v>97</v>
      </c>
      <c r="G32" s="7" t="s">
        <v>114</v>
      </c>
      <c r="H32" s="7">
        <v>25.606000000000002</v>
      </c>
      <c r="I32" s="8">
        <v>22.89</v>
      </c>
      <c r="J32" s="9">
        <v>586.12</v>
      </c>
      <c r="K32" s="17"/>
    </row>
    <row r="33" spans="1:22" ht="30" customHeight="1" x14ac:dyDescent="0.3">
      <c r="B33" s="5">
        <v>401972</v>
      </c>
      <c r="C33" s="6">
        <v>46209</v>
      </c>
      <c r="D33" s="7" t="s">
        <v>74</v>
      </c>
      <c r="E33" s="7"/>
      <c r="F33" s="7" t="s">
        <v>98</v>
      </c>
      <c r="G33" s="7" t="s">
        <v>49</v>
      </c>
      <c r="H33" s="7">
        <v>59.664999999999999</v>
      </c>
      <c r="I33" s="8">
        <v>27.89</v>
      </c>
      <c r="J33" s="9">
        <v>1664.06</v>
      </c>
      <c r="K33" s="17"/>
    </row>
    <row r="34" spans="1:22" ht="30" customHeight="1" x14ac:dyDescent="0.3">
      <c r="B34" s="5">
        <v>401984</v>
      </c>
      <c r="C34" s="6">
        <v>46209</v>
      </c>
      <c r="D34" s="7" t="s">
        <v>99</v>
      </c>
      <c r="E34" s="7"/>
      <c r="F34" s="7" t="s">
        <v>100</v>
      </c>
      <c r="G34" s="7" t="s">
        <v>111</v>
      </c>
      <c r="H34" s="7">
        <v>65.599999999999994</v>
      </c>
      <c r="I34" s="8">
        <v>22.89</v>
      </c>
      <c r="J34" s="9">
        <v>1501.58</v>
      </c>
      <c r="K34" s="17"/>
    </row>
    <row r="35" spans="1:22" ht="30" customHeight="1" x14ac:dyDescent="0.3">
      <c r="B35" s="5">
        <v>402012</v>
      </c>
      <c r="C35" s="6">
        <v>46209</v>
      </c>
      <c r="D35" s="7" t="s">
        <v>101</v>
      </c>
      <c r="E35" s="7"/>
      <c r="F35" s="7" t="s">
        <v>17</v>
      </c>
      <c r="G35" s="7" t="s">
        <v>102</v>
      </c>
      <c r="H35" s="7">
        <v>34.950000000000003</v>
      </c>
      <c r="I35" s="8">
        <v>22.89</v>
      </c>
      <c r="J35" s="9">
        <v>800</v>
      </c>
    </row>
    <row r="36" spans="1:22" ht="30" customHeight="1" x14ac:dyDescent="0.3">
      <c r="B36" s="62">
        <v>401584</v>
      </c>
      <c r="C36" s="63">
        <v>46209</v>
      </c>
      <c r="D36" s="65" t="s">
        <v>130</v>
      </c>
      <c r="E36" s="65"/>
      <c r="F36" s="65" t="s">
        <v>152</v>
      </c>
      <c r="G36" s="65" t="s">
        <v>141</v>
      </c>
      <c r="H36" s="65">
        <v>56.444000000000003</v>
      </c>
      <c r="I36" s="66">
        <v>22.89</v>
      </c>
      <c r="J36" s="67">
        <v>1292</v>
      </c>
      <c r="K36" s="17"/>
    </row>
    <row r="37" spans="1:22" ht="30" customHeight="1" x14ac:dyDescent="0.3">
      <c r="B37" s="62">
        <v>401582</v>
      </c>
      <c r="C37" s="63">
        <v>46209</v>
      </c>
      <c r="D37" s="65" t="s">
        <v>109</v>
      </c>
      <c r="E37" s="65"/>
      <c r="F37" s="65" t="s">
        <v>85</v>
      </c>
      <c r="G37" s="65" t="s">
        <v>110</v>
      </c>
      <c r="H37" s="65">
        <v>65.531000000000006</v>
      </c>
      <c r="I37" s="66">
        <v>22.89</v>
      </c>
      <c r="J37" s="67">
        <v>1500</v>
      </c>
      <c r="K37" s="17"/>
    </row>
    <row r="38" spans="1:22" ht="30" customHeight="1" x14ac:dyDescent="0.3">
      <c r="B38" s="62">
        <v>401629</v>
      </c>
      <c r="C38" s="63">
        <v>46209</v>
      </c>
      <c r="D38" s="65" t="s">
        <v>122</v>
      </c>
      <c r="E38" s="65"/>
      <c r="F38" s="65" t="s">
        <v>153</v>
      </c>
      <c r="G38" s="65" t="s">
        <v>110</v>
      </c>
      <c r="H38" s="65">
        <v>65.531000000000006</v>
      </c>
      <c r="I38" s="66">
        <v>22.89</v>
      </c>
      <c r="J38" s="67">
        <v>1500</v>
      </c>
      <c r="K38" s="17">
        <f>SUM(J22:J38)</f>
        <v>20718.79</v>
      </c>
    </row>
    <row r="39" spans="1:22" ht="30" customHeight="1" x14ac:dyDescent="0.3">
      <c r="B39" s="5">
        <v>402237</v>
      </c>
      <c r="C39" s="6">
        <v>46210</v>
      </c>
      <c r="D39" s="7" t="s">
        <v>59</v>
      </c>
      <c r="E39" s="7"/>
      <c r="F39" s="7" t="s">
        <v>60</v>
      </c>
      <c r="G39" s="7" t="s">
        <v>47</v>
      </c>
      <c r="H39" s="7">
        <v>131.06200000000001</v>
      </c>
      <c r="I39" s="8">
        <v>22.89</v>
      </c>
      <c r="J39" s="9">
        <v>3000</v>
      </c>
      <c r="K39" s="17"/>
    </row>
    <row r="40" spans="1:22" ht="30" customHeight="1" x14ac:dyDescent="0.3">
      <c r="B40" s="5">
        <v>402379</v>
      </c>
      <c r="C40" s="6">
        <v>46210</v>
      </c>
      <c r="D40" s="7" t="s">
        <v>103</v>
      </c>
      <c r="E40" s="7"/>
      <c r="F40" s="7" t="s">
        <v>63</v>
      </c>
      <c r="G40" s="7" t="s">
        <v>57</v>
      </c>
      <c r="H40" s="7">
        <v>65.531000000000006</v>
      </c>
      <c r="I40" s="8">
        <v>22.89</v>
      </c>
      <c r="J40" s="9">
        <v>1500</v>
      </c>
      <c r="K40" s="17"/>
    </row>
    <row r="41" spans="1:22" ht="30" customHeight="1" x14ac:dyDescent="0.3">
      <c r="B41" s="5">
        <v>402396</v>
      </c>
      <c r="C41" s="6">
        <v>46210</v>
      </c>
      <c r="D41" s="7" t="s">
        <v>21</v>
      </c>
      <c r="E41" s="7"/>
      <c r="F41" s="7" t="s">
        <v>45</v>
      </c>
      <c r="G41" s="7" t="s">
        <v>57</v>
      </c>
      <c r="H41" s="7">
        <v>65.531000000000006</v>
      </c>
      <c r="I41" s="8">
        <v>22.89</v>
      </c>
      <c r="J41" s="9">
        <v>1500</v>
      </c>
    </row>
    <row r="42" spans="1:22" ht="30" customHeight="1" x14ac:dyDescent="0.3">
      <c r="B42" s="5">
        <v>402395</v>
      </c>
      <c r="C42" s="6">
        <v>46210</v>
      </c>
      <c r="D42" s="7" t="s">
        <v>95</v>
      </c>
      <c r="E42" s="7"/>
      <c r="F42" s="7" t="s">
        <v>45</v>
      </c>
      <c r="G42" s="7" t="s">
        <v>57</v>
      </c>
      <c r="H42" s="7">
        <v>21.844000000000001</v>
      </c>
      <c r="I42" s="8">
        <v>22.89</v>
      </c>
      <c r="J42" s="9">
        <v>500</v>
      </c>
      <c r="K42" s="17"/>
    </row>
    <row r="43" spans="1:22" ht="30" customHeight="1" x14ac:dyDescent="0.3">
      <c r="B43" s="5">
        <v>402593</v>
      </c>
      <c r="C43" s="6">
        <v>46210</v>
      </c>
      <c r="D43" s="7" t="s">
        <v>50</v>
      </c>
      <c r="E43" s="7"/>
      <c r="F43" s="7" t="s">
        <v>104</v>
      </c>
      <c r="G43" s="7" t="s">
        <v>52</v>
      </c>
      <c r="H43" s="7">
        <v>65.531000000000006</v>
      </c>
      <c r="I43" s="8">
        <v>22.89</v>
      </c>
      <c r="J43" s="9">
        <v>1500</v>
      </c>
      <c r="K43" s="17"/>
    </row>
    <row r="44" spans="1:22" ht="30" customHeight="1" x14ac:dyDescent="0.3">
      <c r="B44" s="5">
        <v>402589</v>
      </c>
      <c r="C44" s="6">
        <v>46210</v>
      </c>
      <c r="D44" s="7" t="s">
        <v>27</v>
      </c>
      <c r="E44" s="7"/>
      <c r="F44" s="7" t="s">
        <v>28</v>
      </c>
      <c r="G44" s="7" t="s">
        <v>108</v>
      </c>
      <c r="H44" s="7">
        <v>65.531000000000006</v>
      </c>
      <c r="I44" s="8">
        <v>22.89</v>
      </c>
      <c r="J44" s="9">
        <v>1500</v>
      </c>
      <c r="K44" s="17">
        <f>SUM(J39:J44)</f>
        <v>9500</v>
      </c>
    </row>
    <row r="45" spans="1:22" ht="30" customHeight="1" x14ac:dyDescent="0.3">
      <c r="A45" s="15">
        <v>0</v>
      </c>
      <c r="B45" s="5">
        <v>402848</v>
      </c>
      <c r="C45" s="6">
        <v>46211</v>
      </c>
      <c r="D45" s="18" t="s">
        <v>66</v>
      </c>
      <c r="E45" s="7"/>
      <c r="F45" s="7" t="s">
        <v>89</v>
      </c>
      <c r="G45" s="7" t="s">
        <v>47</v>
      </c>
      <c r="H45" s="7">
        <v>51.006</v>
      </c>
      <c r="I45" s="8">
        <v>22.89</v>
      </c>
      <c r="J45" s="9">
        <v>1167.53</v>
      </c>
      <c r="K45" s="17"/>
    </row>
    <row r="46" spans="1:22" ht="30" customHeight="1" x14ac:dyDescent="0.3">
      <c r="B46" s="5">
        <v>403098</v>
      </c>
      <c r="C46" s="6">
        <v>46211</v>
      </c>
      <c r="D46" s="7" t="s">
        <v>79</v>
      </c>
      <c r="E46" s="7"/>
      <c r="F46" s="7" t="s">
        <v>115</v>
      </c>
      <c r="G46" s="7"/>
      <c r="H46" s="7">
        <v>54.433999999999997</v>
      </c>
      <c r="I46" s="8">
        <v>22.89</v>
      </c>
      <c r="J46" s="9">
        <v>1246</v>
      </c>
      <c r="K46" s="17">
        <f>SUM(J45:J46)</f>
        <v>2413.5299999999997</v>
      </c>
    </row>
    <row r="47" spans="1:22" ht="30" customHeight="1" x14ac:dyDescent="0.3">
      <c r="B47" s="5">
        <v>403704</v>
      </c>
      <c r="C47" s="6">
        <v>46212</v>
      </c>
      <c r="D47" s="7" t="s">
        <v>16</v>
      </c>
      <c r="E47" s="7"/>
      <c r="F47" s="7" t="s">
        <v>17</v>
      </c>
      <c r="G47" s="7" t="s">
        <v>102</v>
      </c>
      <c r="H47" s="7">
        <v>21.844000000000001</v>
      </c>
      <c r="I47" s="8">
        <v>22.89</v>
      </c>
      <c r="J47" s="9">
        <v>500</v>
      </c>
      <c r="M47" s="5">
        <v>256936</v>
      </c>
      <c r="N47" s="6">
        <v>46211</v>
      </c>
      <c r="O47" s="7" t="s">
        <v>122</v>
      </c>
      <c r="P47" s="7"/>
      <c r="Q47" s="7" t="s">
        <v>123</v>
      </c>
      <c r="R47" s="7"/>
      <c r="S47" s="7">
        <v>20.140999999999998</v>
      </c>
      <c r="T47" s="8">
        <v>22.89</v>
      </c>
      <c r="U47" s="46">
        <v>461.03</v>
      </c>
      <c r="V47" s="17" t="s">
        <v>124</v>
      </c>
    </row>
    <row r="48" spans="1:22" ht="30" customHeight="1" x14ac:dyDescent="0.3">
      <c r="B48" s="5">
        <v>403402</v>
      </c>
      <c r="C48" s="6">
        <v>46212</v>
      </c>
      <c r="D48" s="7" t="s">
        <v>25</v>
      </c>
      <c r="E48" s="7"/>
      <c r="F48" s="7" t="s">
        <v>26</v>
      </c>
      <c r="G48" s="7" t="s">
        <v>106</v>
      </c>
      <c r="H48" s="7">
        <v>43.686999999999998</v>
      </c>
      <c r="I48" s="8">
        <v>22.89</v>
      </c>
      <c r="J48" s="9">
        <v>1000</v>
      </c>
      <c r="K48" s="17"/>
    </row>
    <row r="49" spans="2:13" ht="30" customHeight="1" x14ac:dyDescent="0.3">
      <c r="B49" s="5">
        <v>403431</v>
      </c>
      <c r="C49" s="6">
        <v>46212</v>
      </c>
      <c r="D49" s="7" t="s">
        <v>116</v>
      </c>
      <c r="E49" s="7"/>
      <c r="F49" s="7" t="s">
        <v>117</v>
      </c>
      <c r="G49" s="7" t="s">
        <v>114</v>
      </c>
      <c r="H49" s="7">
        <v>34.950000000000003</v>
      </c>
      <c r="I49" s="8">
        <v>22.89</v>
      </c>
      <c r="J49" s="9">
        <v>800</v>
      </c>
    </row>
    <row r="50" spans="2:13" ht="30" customHeight="1" x14ac:dyDescent="0.3">
      <c r="B50" s="5">
        <v>403446</v>
      </c>
      <c r="C50" s="6">
        <v>46212</v>
      </c>
      <c r="D50" s="7" t="s">
        <v>15</v>
      </c>
      <c r="E50" s="7"/>
      <c r="F50" s="7" t="s">
        <v>48</v>
      </c>
      <c r="G50" s="7" t="s">
        <v>49</v>
      </c>
      <c r="H50" s="7">
        <v>17.475000000000001</v>
      </c>
      <c r="I50" s="8">
        <v>22.89</v>
      </c>
      <c r="J50" s="9">
        <v>400</v>
      </c>
      <c r="K50" s="17"/>
    </row>
    <row r="51" spans="2:13" ht="30" customHeight="1" x14ac:dyDescent="0.3">
      <c r="B51" s="5">
        <v>403453</v>
      </c>
      <c r="C51" s="6">
        <v>46212</v>
      </c>
      <c r="D51" s="7" t="s">
        <v>15</v>
      </c>
      <c r="E51" s="7"/>
      <c r="F51" s="7" t="s">
        <v>48</v>
      </c>
      <c r="G51" s="7" t="s">
        <v>49</v>
      </c>
      <c r="H51" s="7">
        <v>21.844000000000001</v>
      </c>
      <c r="I51" s="8">
        <v>22.89</v>
      </c>
      <c r="J51" s="9">
        <v>500</v>
      </c>
    </row>
    <row r="52" spans="2:13" ht="30" customHeight="1" x14ac:dyDescent="0.3">
      <c r="B52" s="5">
        <v>403454</v>
      </c>
      <c r="C52" s="6">
        <v>46212</v>
      </c>
      <c r="D52" s="7" t="s">
        <v>15</v>
      </c>
      <c r="E52" s="7"/>
      <c r="F52" s="7" t="s">
        <v>48</v>
      </c>
      <c r="G52" s="7" t="s">
        <v>49</v>
      </c>
      <c r="H52" s="7">
        <v>10</v>
      </c>
      <c r="I52" s="8">
        <v>22.89</v>
      </c>
      <c r="J52" s="9">
        <v>228.9</v>
      </c>
    </row>
    <row r="53" spans="2:13" ht="30" customHeight="1" x14ac:dyDescent="0.3">
      <c r="B53" s="5">
        <v>403700</v>
      </c>
      <c r="C53" s="6">
        <v>46212</v>
      </c>
      <c r="D53" s="7" t="s">
        <v>14</v>
      </c>
      <c r="E53" s="7"/>
      <c r="F53" s="7" t="s">
        <v>46</v>
      </c>
      <c r="G53" s="7" t="s">
        <v>47</v>
      </c>
      <c r="H53" s="7">
        <v>31.47</v>
      </c>
      <c r="I53" s="8">
        <v>22.89</v>
      </c>
      <c r="J53" s="9">
        <v>720.35</v>
      </c>
      <c r="K53" s="17"/>
    </row>
    <row r="54" spans="2:13" ht="30" customHeight="1" x14ac:dyDescent="0.3">
      <c r="B54" s="5">
        <v>403702</v>
      </c>
      <c r="C54" s="6">
        <v>46212</v>
      </c>
      <c r="D54" s="7" t="s">
        <v>118</v>
      </c>
      <c r="E54" s="7"/>
      <c r="F54" s="7" t="s">
        <v>88</v>
      </c>
      <c r="G54" s="7" t="s">
        <v>57</v>
      </c>
      <c r="H54" s="7">
        <v>43.686999999999998</v>
      </c>
      <c r="I54" s="8">
        <v>22.89</v>
      </c>
      <c r="J54" s="9">
        <v>1000</v>
      </c>
      <c r="K54" s="17"/>
    </row>
    <row r="55" spans="2:13" ht="30" customHeight="1" x14ac:dyDescent="0.3">
      <c r="B55" s="5">
        <v>403698</v>
      </c>
      <c r="C55" s="6">
        <v>46212</v>
      </c>
      <c r="D55" s="7" t="s">
        <v>80</v>
      </c>
      <c r="E55" s="7"/>
      <c r="F55" s="7" t="s">
        <v>92</v>
      </c>
      <c r="G55" s="7" t="s">
        <v>114</v>
      </c>
      <c r="H55" s="7">
        <v>32.22</v>
      </c>
      <c r="I55" s="8">
        <v>22.89</v>
      </c>
      <c r="J55" s="9">
        <v>737.52</v>
      </c>
      <c r="K55" s="17"/>
    </row>
    <row r="56" spans="2:13" ht="30" customHeight="1" x14ac:dyDescent="0.3">
      <c r="B56" s="5">
        <v>403696</v>
      </c>
      <c r="C56" s="6">
        <v>46212</v>
      </c>
      <c r="D56" s="7" t="s">
        <v>99</v>
      </c>
      <c r="E56" s="7"/>
      <c r="F56" s="7" t="s">
        <v>100</v>
      </c>
      <c r="G56" s="7" t="s">
        <v>111</v>
      </c>
      <c r="H56" s="7">
        <v>57.164000000000001</v>
      </c>
      <c r="I56" s="8">
        <v>22.89</v>
      </c>
      <c r="J56" s="9">
        <v>1308.94</v>
      </c>
      <c r="K56" s="17"/>
    </row>
    <row r="57" spans="2:13" ht="30" customHeight="1" x14ac:dyDescent="0.3">
      <c r="B57" s="5">
        <v>403694</v>
      </c>
      <c r="C57" s="6">
        <v>46212</v>
      </c>
      <c r="D57" s="7" t="s">
        <v>66</v>
      </c>
      <c r="E57" s="7"/>
      <c r="F57" s="7" t="s">
        <v>89</v>
      </c>
      <c r="G57" s="7" t="s">
        <v>47</v>
      </c>
      <c r="H57" s="7">
        <v>14.525</v>
      </c>
      <c r="I57" s="8">
        <v>22.89</v>
      </c>
      <c r="J57" s="9">
        <v>332.47</v>
      </c>
      <c r="K57" s="17"/>
    </row>
    <row r="58" spans="2:13" ht="30" customHeight="1" x14ac:dyDescent="0.3">
      <c r="B58" s="5">
        <v>403659</v>
      </c>
      <c r="C58" s="6">
        <v>46212</v>
      </c>
      <c r="D58" s="7" t="s">
        <v>59</v>
      </c>
      <c r="E58" s="7"/>
      <c r="F58" s="7" t="s">
        <v>60</v>
      </c>
      <c r="G58" s="7" t="s">
        <v>47</v>
      </c>
      <c r="H58" s="7">
        <v>43.686999999999998</v>
      </c>
      <c r="I58" s="8">
        <v>22.89</v>
      </c>
      <c r="J58" s="9">
        <v>1000</v>
      </c>
      <c r="K58" s="17">
        <f>SUM(J47:J58)</f>
        <v>8528.18</v>
      </c>
    </row>
    <row r="59" spans="2:13" ht="30" customHeight="1" thickBot="1" x14ac:dyDescent="0.35">
      <c r="B59" s="5">
        <v>403924</v>
      </c>
      <c r="C59" s="6">
        <v>46213</v>
      </c>
      <c r="D59" s="7" t="s">
        <v>82</v>
      </c>
      <c r="E59" s="7"/>
      <c r="F59" s="7" t="s">
        <v>83</v>
      </c>
      <c r="G59" s="7" t="s">
        <v>114</v>
      </c>
      <c r="H59" s="7">
        <v>34.950000000000003</v>
      </c>
      <c r="I59" s="8">
        <v>22.89</v>
      </c>
      <c r="J59" s="9">
        <v>800</v>
      </c>
      <c r="K59" s="17"/>
    </row>
    <row r="60" spans="2:13" ht="30" customHeight="1" thickBot="1" x14ac:dyDescent="0.35">
      <c r="B60" s="5">
        <v>403660</v>
      </c>
      <c r="C60" s="6">
        <v>46213</v>
      </c>
      <c r="D60" s="7" t="s">
        <v>21</v>
      </c>
      <c r="E60" s="7"/>
      <c r="F60" s="7" t="s">
        <v>45</v>
      </c>
      <c r="G60" s="7" t="s">
        <v>57</v>
      </c>
      <c r="H60" s="7">
        <v>87.373999999999995</v>
      </c>
      <c r="I60" s="8">
        <v>22.89</v>
      </c>
      <c r="J60" s="9">
        <v>2000</v>
      </c>
      <c r="K60" s="17">
        <f>SUM(J59:J60)</f>
        <v>2800</v>
      </c>
      <c r="M60" s="28" t="s">
        <v>121</v>
      </c>
    </row>
    <row r="61" spans="2:13" ht="30" customHeight="1" thickBot="1" x14ac:dyDescent="0.35">
      <c r="B61" s="22">
        <v>404906</v>
      </c>
      <c r="C61" s="23">
        <v>46215</v>
      </c>
      <c r="D61" s="24" t="s">
        <v>82</v>
      </c>
      <c r="E61" s="24"/>
      <c r="F61" s="24" t="s">
        <v>45</v>
      </c>
      <c r="G61" s="24" t="s">
        <v>119</v>
      </c>
      <c r="H61" s="24">
        <v>21.844000000000001</v>
      </c>
      <c r="I61" s="25">
        <v>22.89</v>
      </c>
      <c r="J61" s="26">
        <v>500</v>
      </c>
      <c r="K61" s="17">
        <f>SUM(J61)</f>
        <v>500</v>
      </c>
      <c r="M61" s="27">
        <f>(K61+K60+K58+K46+K44+K38)</f>
        <v>44460.5</v>
      </c>
    </row>
    <row r="62" spans="2:13" ht="30" customHeight="1" x14ac:dyDescent="0.3">
      <c r="B62" s="30">
        <v>405066</v>
      </c>
      <c r="C62" s="31">
        <v>46216</v>
      </c>
      <c r="D62" s="33" t="s">
        <v>109</v>
      </c>
      <c r="E62" s="33"/>
      <c r="F62" s="33" t="s">
        <v>85</v>
      </c>
      <c r="G62" s="33" t="s">
        <v>110</v>
      </c>
      <c r="H62" s="33">
        <v>65.531000000000006</v>
      </c>
      <c r="I62" s="34">
        <v>22.89</v>
      </c>
      <c r="J62" s="35">
        <v>1500</v>
      </c>
    </row>
    <row r="63" spans="2:13" ht="30" customHeight="1" x14ac:dyDescent="0.3">
      <c r="B63" s="5">
        <v>405067</v>
      </c>
      <c r="C63" s="6">
        <v>46216</v>
      </c>
      <c r="D63" s="7" t="s">
        <v>122</v>
      </c>
      <c r="E63" s="7"/>
      <c r="F63" s="7" t="s">
        <v>123</v>
      </c>
      <c r="G63" s="7" t="s">
        <v>110</v>
      </c>
      <c r="H63" s="7">
        <v>65.531000000000006</v>
      </c>
      <c r="I63" s="8">
        <v>22.89</v>
      </c>
      <c r="J63" s="9">
        <v>1500</v>
      </c>
      <c r="K63" s="17"/>
    </row>
    <row r="64" spans="2:13" ht="30" customHeight="1" x14ac:dyDescent="0.3">
      <c r="B64" s="5">
        <v>405205</v>
      </c>
      <c r="C64" s="6">
        <v>46216</v>
      </c>
      <c r="D64" s="7" t="s">
        <v>82</v>
      </c>
      <c r="E64" s="7"/>
      <c r="F64" s="7" t="s">
        <v>125</v>
      </c>
      <c r="G64" s="7"/>
      <c r="H64" s="7">
        <v>34.950000000000003</v>
      </c>
      <c r="I64" s="8">
        <v>22.89</v>
      </c>
      <c r="J64" s="9">
        <v>800</v>
      </c>
    </row>
    <row r="65" spans="2:14" ht="30" customHeight="1" x14ac:dyDescent="0.3">
      <c r="B65" s="5">
        <v>405177</v>
      </c>
      <c r="C65" s="6">
        <v>46216</v>
      </c>
      <c r="D65" s="7" t="s">
        <v>31</v>
      </c>
      <c r="E65" s="7"/>
      <c r="F65" s="7" t="s">
        <v>64</v>
      </c>
      <c r="G65" s="7" t="s">
        <v>62</v>
      </c>
      <c r="H65" s="7">
        <v>68.825999999999993</v>
      </c>
      <c r="I65" s="8">
        <v>27.89</v>
      </c>
      <c r="J65" s="9">
        <v>1919.56</v>
      </c>
      <c r="K65" s="17"/>
    </row>
    <row r="66" spans="2:14" ht="30" customHeight="1" x14ac:dyDescent="0.3">
      <c r="B66" s="5">
        <v>405190</v>
      </c>
      <c r="C66" s="6">
        <v>46216</v>
      </c>
      <c r="D66" s="7" t="s">
        <v>107</v>
      </c>
      <c r="E66" s="7"/>
      <c r="F66" s="7" t="s">
        <v>48</v>
      </c>
      <c r="G66" s="7" t="s">
        <v>126</v>
      </c>
      <c r="H66" s="7">
        <v>21.844000000000001</v>
      </c>
      <c r="I66" s="8">
        <v>22.89</v>
      </c>
      <c r="J66" s="9">
        <v>500</v>
      </c>
    </row>
    <row r="67" spans="2:14" ht="30" customHeight="1" x14ac:dyDescent="0.3">
      <c r="B67" s="5">
        <v>405189</v>
      </c>
      <c r="C67" s="6">
        <v>46216</v>
      </c>
      <c r="D67" s="7" t="s">
        <v>15</v>
      </c>
      <c r="E67" s="7"/>
      <c r="F67" s="7" t="s">
        <v>48</v>
      </c>
      <c r="G67" s="7" t="s">
        <v>126</v>
      </c>
      <c r="H67" s="7">
        <v>43.686999999999998</v>
      </c>
      <c r="I67" s="8">
        <v>22.89</v>
      </c>
      <c r="J67" s="9">
        <v>1000</v>
      </c>
    </row>
    <row r="68" spans="2:14" ht="30" customHeight="1" x14ac:dyDescent="0.3">
      <c r="B68" s="62">
        <v>405182</v>
      </c>
      <c r="C68" s="63">
        <v>46216</v>
      </c>
      <c r="D68" s="65" t="s">
        <v>79</v>
      </c>
      <c r="E68" s="65"/>
      <c r="F68" s="65" t="s">
        <v>24</v>
      </c>
      <c r="G68" s="65" t="s">
        <v>47</v>
      </c>
      <c r="H68" s="65">
        <v>40.750999999999998</v>
      </c>
      <c r="I68" s="66">
        <v>22.89</v>
      </c>
      <c r="J68" s="67">
        <v>932.79</v>
      </c>
      <c r="K68" s="17"/>
    </row>
    <row r="69" spans="2:14" ht="30" customHeight="1" x14ac:dyDescent="0.3">
      <c r="B69" s="62">
        <v>405184</v>
      </c>
      <c r="C69" s="63">
        <v>46216</v>
      </c>
      <c r="D69" s="65" t="s">
        <v>90</v>
      </c>
      <c r="E69" s="65"/>
      <c r="F69" s="65" t="s">
        <v>24</v>
      </c>
      <c r="G69" s="65" t="s">
        <v>47</v>
      </c>
      <c r="H69" s="65">
        <v>43.686999999999998</v>
      </c>
      <c r="I69" s="66">
        <v>22.89</v>
      </c>
      <c r="J69" s="67">
        <v>1000</v>
      </c>
      <c r="K69" s="17"/>
    </row>
    <row r="70" spans="2:14" ht="30" customHeight="1" x14ac:dyDescent="0.3">
      <c r="B70" s="5">
        <v>405172</v>
      </c>
      <c r="C70" s="6">
        <v>46216</v>
      </c>
      <c r="D70" s="7" t="s">
        <v>127</v>
      </c>
      <c r="E70" s="7"/>
      <c r="F70" s="7" t="s">
        <v>128</v>
      </c>
      <c r="G70" s="7" t="s">
        <v>129</v>
      </c>
      <c r="H70" s="7">
        <v>127.583</v>
      </c>
      <c r="I70" s="8">
        <v>22.89</v>
      </c>
      <c r="J70" s="9">
        <v>2920.37</v>
      </c>
      <c r="K70" s="17"/>
      <c r="N70" s="21"/>
    </row>
    <row r="71" spans="2:14" ht="30" customHeight="1" x14ac:dyDescent="0.3">
      <c r="B71" s="5">
        <v>405135</v>
      </c>
      <c r="C71" s="6">
        <v>46216</v>
      </c>
      <c r="D71" s="7"/>
      <c r="E71" s="7"/>
      <c r="F71" s="7" t="s">
        <v>155</v>
      </c>
      <c r="G71" s="7" t="s">
        <v>106</v>
      </c>
      <c r="H71" s="7">
        <v>54.612000000000002</v>
      </c>
      <c r="I71" s="8">
        <v>22.89</v>
      </c>
      <c r="J71" s="9">
        <v>1250.07</v>
      </c>
      <c r="K71" s="17"/>
      <c r="N71" s="21"/>
    </row>
    <row r="72" spans="2:14" ht="30" customHeight="1" x14ac:dyDescent="0.3">
      <c r="B72" s="5">
        <v>405074</v>
      </c>
      <c r="C72" s="6">
        <v>46216</v>
      </c>
      <c r="D72" s="7" t="s">
        <v>14</v>
      </c>
      <c r="E72" s="7"/>
      <c r="F72" s="7" t="s">
        <v>46</v>
      </c>
      <c r="G72" s="7" t="s">
        <v>47</v>
      </c>
      <c r="H72" s="7">
        <v>60.66</v>
      </c>
      <c r="I72" s="8">
        <v>22.89</v>
      </c>
      <c r="J72" s="9">
        <v>1388.51</v>
      </c>
      <c r="K72" s="17"/>
    </row>
    <row r="73" spans="2:14" ht="30" customHeight="1" x14ac:dyDescent="0.3">
      <c r="B73" s="62">
        <v>405060</v>
      </c>
      <c r="C73" s="63">
        <v>46216</v>
      </c>
      <c r="D73" s="65" t="s">
        <v>130</v>
      </c>
      <c r="E73" s="65"/>
      <c r="F73" s="65" t="s">
        <v>96</v>
      </c>
      <c r="G73" s="65" t="s">
        <v>141</v>
      </c>
      <c r="H73" s="65">
        <v>86.56</v>
      </c>
      <c r="I73" s="66">
        <v>22.89</v>
      </c>
      <c r="J73" s="67">
        <v>1981.36</v>
      </c>
      <c r="K73" s="17"/>
    </row>
    <row r="74" spans="2:14" ht="30" customHeight="1" x14ac:dyDescent="0.3">
      <c r="B74" s="5">
        <v>405395</v>
      </c>
      <c r="C74" s="6">
        <v>46216</v>
      </c>
      <c r="D74" s="7" t="s">
        <v>74</v>
      </c>
      <c r="E74" s="7"/>
      <c r="F74" s="7" t="s">
        <v>131</v>
      </c>
      <c r="G74" s="7" t="s">
        <v>49</v>
      </c>
      <c r="H74" s="7">
        <v>71.009</v>
      </c>
      <c r="I74" s="8">
        <v>27.89</v>
      </c>
      <c r="J74" s="9">
        <v>1980.44</v>
      </c>
      <c r="K74" s="17"/>
    </row>
    <row r="75" spans="2:14" ht="30" customHeight="1" x14ac:dyDescent="0.3">
      <c r="B75" s="5">
        <v>405444</v>
      </c>
      <c r="C75" s="6">
        <v>46216</v>
      </c>
      <c r="D75" s="7" t="s">
        <v>99</v>
      </c>
      <c r="E75" s="7"/>
      <c r="F75" s="7" t="s">
        <v>100</v>
      </c>
      <c r="G75" s="7" t="s">
        <v>132</v>
      </c>
      <c r="H75" s="7">
        <v>60.029000000000003</v>
      </c>
      <c r="I75" s="8">
        <v>22.89</v>
      </c>
      <c r="J75" s="9">
        <v>1374.06</v>
      </c>
      <c r="K75" s="17"/>
    </row>
    <row r="76" spans="2:14" ht="30" customHeight="1" x14ac:dyDescent="0.3">
      <c r="B76" s="5">
        <v>405442</v>
      </c>
      <c r="C76" s="6">
        <v>46216</v>
      </c>
      <c r="D76" s="7" t="s">
        <v>16</v>
      </c>
      <c r="E76" s="7"/>
      <c r="F76" s="7" t="s">
        <v>17</v>
      </c>
      <c r="G76" s="7" t="s">
        <v>102</v>
      </c>
      <c r="H76" s="7">
        <v>34.950000000000003</v>
      </c>
      <c r="I76" s="8">
        <v>22.89</v>
      </c>
      <c r="J76" s="9">
        <v>800</v>
      </c>
      <c r="K76" s="17"/>
    </row>
    <row r="77" spans="2:14" ht="30" customHeight="1" x14ac:dyDescent="0.3">
      <c r="B77" s="5">
        <v>405441</v>
      </c>
      <c r="C77" s="6">
        <v>46216</v>
      </c>
      <c r="D77" s="7" t="s">
        <v>103</v>
      </c>
      <c r="E77" s="7"/>
      <c r="F77" s="7" t="s">
        <v>63</v>
      </c>
      <c r="G77" s="7" t="s">
        <v>57</v>
      </c>
      <c r="H77" s="7">
        <v>65.531000000000006</v>
      </c>
      <c r="I77" s="8">
        <v>22.89</v>
      </c>
      <c r="J77" s="9">
        <v>1500</v>
      </c>
      <c r="K77" s="17">
        <f>SUM(J62:J77)</f>
        <v>22347.159999999996</v>
      </c>
    </row>
    <row r="78" spans="2:14" ht="30" customHeight="1" x14ac:dyDescent="0.3">
      <c r="B78" s="68">
        <v>405657</v>
      </c>
      <c r="C78" s="69">
        <v>46217</v>
      </c>
      <c r="D78" s="70" t="s">
        <v>25</v>
      </c>
      <c r="E78" s="70"/>
      <c r="F78" s="70" t="s">
        <v>26</v>
      </c>
      <c r="G78" s="70" t="s">
        <v>106</v>
      </c>
      <c r="H78" s="70">
        <v>74.304000000000002</v>
      </c>
      <c r="I78" s="71">
        <v>27.89</v>
      </c>
      <c r="J78" s="72">
        <v>2072.34</v>
      </c>
      <c r="K78" s="17"/>
    </row>
    <row r="79" spans="2:14" ht="30" customHeight="1" x14ac:dyDescent="0.3">
      <c r="B79" s="40">
        <v>405683</v>
      </c>
      <c r="C79" s="41">
        <v>46217</v>
      </c>
      <c r="D79" s="37" t="s">
        <v>66</v>
      </c>
      <c r="E79" s="37"/>
      <c r="F79" s="37" t="s">
        <v>89</v>
      </c>
      <c r="G79" s="37" t="s">
        <v>135</v>
      </c>
      <c r="H79" s="37">
        <v>65.531000000000006</v>
      </c>
      <c r="I79" s="38">
        <v>22.89</v>
      </c>
      <c r="J79" s="39">
        <v>1500</v>
      </c>
      <c r="K79" s="17"/>
    </row>
    <row r="80" spans="2:14" ht="30" customHeight="1" x14ac:dyDescent="0.3">
      <c r="B80" s="40">
        <v>405740</v>
      </c>
      <c r="C80" s="41">
        <v>46217</v>
      </c>
      <c r="D80" s="37" t="s">
        <v>136</v>
      </c>
      <c r="E80" s="37"/>
      <c r="F80" s="37" t="s">
        <v>117</v>
      </c>
      <c r="G80" s="37" t="s">
        <v>114</v>
      </c>
      <c r="H80" s="37">
        <v>53.783000000000001</v>
      </c>
      <c r="I80" s="38">
        <v>22.89</v>
      </c>
      <c r="J80" s="39">
        <v>1500</v>
      </c>
      <c r="K80" s="17"/>
    </row>
    <row r="81" spans="2:13" ht="30" customHeight="1" x14ac:dyDescent="0.3">
      <c r="B81" s="40">
        <v>405985</v>
      </c>
      <c r="C81" s="41">
        <v>46217</v>
      </c>
      <c r="D81" s="37" t="s">
        <v>86</v>
      </c>
      <c r="E81" s="37"/>
      <c r="F81" s="37" t="s">
        <v>87</v>
      </c>
      <c r="G81" s="37"/>
      <c r="H81" s="37">
        <v>57.521000000000001</v>
      </c>
      <c r="I81" s="38">
        <v>22.89</v>
      </c>
      <c r="J81" s="39">
        <v>1316.66</v>
      </c>
      <c r="K81" s="17"/>
    </row>
    <row r="82" spans="2:13" ht="30" customHeight="1" x14ac:dyDescent="0.3">
      <c r="B82" s="40">
        <v>405965</v>
      </c>
      <c r="C82" s="41">
        <v>46217</v>
      </c>
      <c r="D82" s="37" t="s">
        <v>109</v>
      </c>
      <c r="E82" s="37"/>
      <c r="F82" s="37" t="s">
        <v>85</v>
      </c>
      <c r="G82" s="37" t="s">
        <v>110</v>
      </c>
      <c r="H82" s="37">
        <v>13.106</v>
      </c>
      <c r="I82" s="38">
        <v>22.89</v>
      </c>
      <c r="J82" s="39">
        <v>300</v>
      </c>
      <c r="K82" s="17">
        <f>SUM(J78:J82)</f>
        <v>6689</v>
      </c>
    </row>
    <row r="83" spans="2:13" ht="30" customHeight="1" x14ac:dyDescent="0.3">
      <c r="B83" s="40">
        <v>406248</v>
      </c>
      <c r="C83" s="41">
        <v>46218</v>
      </c>
      <c r="D83" s="37" t="s">
        <v>74</v>
      </c>
      <c r="E83" s="37"/>
      <c r="F83" s="37" t="s">
        <v>75</v>
      </c>
      <c r="G83" s="37" t="s">
        <v>137</v>
      </c>
      <c r="H83" s="37">
        <v>10</v>
      </c>
      <c r="I83" s="38">
        <v>22.89</v>
      </c>
      <c r="J83" s="39">
        <v>228.9</v>
      </c>
      <c r="K83" s="17"/>
    </row>
    <row r="84" spans="2:13" ht="30" customHeight="1" x14ac:dyDescent="0.3">
      <c r="B84" s="68">
        <v>406217</v>
      </c>
      <c r="C84" s="69">
        <v>46218</v>
      </c>
      <c r="D84" s="70" t="s">
        <v>80</v>
      </c>
      <c r="E84" s="70"/>
      <c r="F84" s="70" t="s">
        <v>97</v>
      </c>
      <c r="G84" s="70" t="s">
        <v>138</v>
      </c>
      <c r="H84" s="70">
        <v>35.229999999999997</v>
      </c>
      <c r="I84" s="71">
        <v>22.89</v>
      </c>
      <c r="J84" s="72">
        <v>806.41</v>
      </c>
      <c r="K84" s="17"/>
    </row>
    <row r="85" spans="2:13" ht="30" customHeight="1" x14ac:dyDescent="0.3">
      <c r="B85" s="40">
        <v>406477</v>
      </c>
      <c r="C85" s="41">
        <v>46218</v>
      </c>
      <c r="D85" s="37" t="s">
        <v>27</v>
      </c>
      <c r="E85" s="37"/>
      <c r="F85" s="37" t="s">
        <v>28</v>
      </c>
      <c r="G85" s="37" t="s">
        <v>62</v>
      </c>
      <c r="H85" s="37">
        <v>65.531000000000006</v>
      </c>
      <c r="I85" s="38">
        <v>22.89</v>
      </c>
      <c r="J85" s="39">
        <v>1500</v>
      </c>
      <c r="K85" s="17">
        <f>SUM(J83:J85)</f>
        <v>2535.31</v>
      </c>
    </row>
    <row r="86" spans="2:13" ht="30" customHeight="1" x14ac:dyDescent="0.3">
      <c r="B86" s="5">
        <v>406728</v>
      </c>
      <c r="C86" s="6">
        <v>46219</v>
      </c>
      <c r="D86" s="7" t="s">
        <v>79</v>
      </c>
      <c r="E86" s="7"/>
      <c r="F86" s="7" t="s">
        <v>24</v>
      </c>
      <c r="G86" s="7" t="s">
        <v>47</v>
      </c>
      <c r="H86" s="7">
        <v>53.182000000000002</v>
      </c>
      <c r="I86" s="8">
        <v>22.89</v>
      </c>
      <c r="J86" s="9">
        <v>1217.3399999999999</v>
      </c>
    </row>
    <row r="87" spans="2:13" ht="30" customHeight="1" x14ac:dyDescent="0.3">
      <c r="B87" s="5">
        <v>407006</v>
      </c>
      <c r="C87" s="6">
        <v>46219</v>
      </c>
      <c r="D87" s="7" t="s">
        <v>99</v>
      </c>
      <c r="E87" s="7"/>
      <c r="F87" s="7" t="s">
        <v>100</v>
      </c>
      <c r="G87" s="7" t="s">
        <v>132</v>
      </c>
      <c r="H87" s="7">
        <v>69.909000000000006</v>
      </c>
      <c r="I87" s="8">
        <v>22.89</v>
      </c>
      <c r="J87" s="9">
        <v>1600.22</v>
      </c>
      <c r="K87" s="17"/>
    </row>
    <row r="88" spans="2:13" ht="30" customHeight="1" x14ac:dyDescent="0.3">
      <c r="B88" s="5">
        <v>407001</v>
      </c>
      <c r="C88" s="6">
        <v>46219</v>
      </c>
      <c r="D88" s="7" t="s">
        <v>14</v>
      </c>
      <c r="E88" s="7"/>
      <c r="F88" s="7" t="s">
        <v>46</v>
      </c>
      <c r="G88" s="7" t="s">
        <v>47</v>
      </c>
      <c r="H88" s="7">
        <v>48.536000000000001</v>
      </c>
      <c r="I88" s="8">
        <v>22.89</v>
      </c>
      <c r="J88" s="9">
        <v>1111</v>
      </c>
      <c r="K88" s="17"/>
    </row>
    <row r="89" spans="2:13" ht="30" customHeight="1" x14ac:dyDescent="0.3">
      <c r="B89" s="5">
        <v>407000</v>
      </c>
      <c r="C89" s="6">
        <v>46219</v>
      </c>
      <c r="D89" s="7" t="s">
        <v>59</v>
      </c>
      <c r="E89" s="7"/>
      <c r="F89" s="7" t="s">
        <v>60</v>
      </c>
      <c r="G89" s="7" t="s">
        <v>47</v>
      </c>
      <c r="H89" s="7">
        <v>30.581</v>
      </c>
      <c r="I89" s="8">
        <v>22.89</v>
      </c>
      <c r="J89" s="9">
        <v>700</v>
      </c>
      <c r="K89" s="17"/>
    </row>
    <row r="90" spans="2:13" ht="30" customHeight="1" x14ac:dyDescent="0.3">
      <c r="B90" s="5">
        <v>406999</v>
      </c>
      <c r="C90" s="6">
        <v>46219</v>
      </c>
      <c r="D90" s="7" t="s">
        <v>133</v>
      </c>
      <c r="E90" s="7"/>
      <c r="F90" s="7" t="s">
        <v>63</v>
      </c>
      <c r="G90" s="7" t="s">
        <v>57</v>
      </c>
      <c r="H90" s="7">
        <v>26.212</v>
      </c>
      <c r="I90" s="8">
        <v>22.89</v>
      </c>
      <c r="J90" s="9">
        <v>600</v>
      </c>
      <c r="K90" s="17"/>
    </row>
    <row r="91" spans="2:13" ht="30" customHeight="1" x14ac:dyDescent="0.3">
      <c r="B91" s="62">
        <v>407008</v>
      </c>
      <c r="C91" s="63">
        <v>46219</v>
      </c>
      <c r="D91" s="65" t="s">
        <v>90</v>
      </c>
      <c r="E91" s="65"/>
      <c r="F91" s="65" t="s">
        <v>63</v>
      </c>
      <c r="G91" s="65" t="s">
        <v>57</v>
      </c>
      <c r="H91" s="65">
        <v>13.909000000000001</v>
      </c>
      <c r="I91" s="66">
        <v>22.89</v>
      </c>
      <c r="J91" s="67">
        <v>318.38</v>
      </c>
    </row>
    <row r="92" spans="2:13" ht="30" customHeight="1" x14ac:dyDescent="0.3">
      <c r="B92" s="5">
        <v>406973</v>
      </c>
      <c r="C92" s="6">
        <v>46219</v>
      </c>
      <c r="D92" s="7" t="s">
        <v>15</v>
      </c>
      <c r="E92" s="7"/>
      <c r="F92" s="7" t="s">
        <v>48</v>
      </c>
      <c r="G92" s="7" t="s">
        <v>49</v>
      </c>
      <c r="H92" s="7">
        <v>8.7370000000000001</v>
      </c>
      <c r="I92" s="8">
        <v>22.89</v>
      </c>
      <c r="J92" s="9">
        <v>200</v>
      </c>
      <c r="K92" s="17"/>
    </row>
    <row r="93" spans="2:13" ht="30" customHeight="1" x14ac:dyDescent="0.3">
      <c r="B93" s="5">
        <v>406972</v>
      </c>
      <c r="C93" s="6">
        <v>46219</v>
      </c>
      <c r="D93" s="7" t="s">
        <v>15</v>
      </c>
      <c r="E93" s="7"/>
      <c r="F93" s="7" t="s">
        <v>48</v>
      </c>
      <c r="G93" s="7" t="s">
        <v>49</v>
      </c>
      <c r="H93" s="7">
        <v>21.844000000000001</v>
      </c>
      <c r="I93" s="8">
        <v>22.89</v>
      </c>
      <c r="J93" s="9">
        <v>500</v>
      </c>
      <c r="K93" s="17"/>
    </row>
    <row r="94" spans="2:13" ht="30" customHeight="1" x14ac:dyDescent="0.3">
      <c r="B94" s="5">
        <v>407002</v>
      </c>
      <c r="C94" s="6">
        <v>46219</v>
      </c>
      <c r="D94" s="7" t="s">
        <v>16</v>
      </c>
      <c r="E94" s="7"/>
      <c r="F94" s="7" t="s">
        <v>17</v>
      </c>
      <c r="G94" s="7" t="s">
        <v>102</v>
      </c>
      <c r="H94" s="7">
        <v>21.844000000000001</v>
      </c>
      <c r="I94" s="8">
        <v>22.89</v>
      </c>
      <c r="J94" s="9">
        <v>500</v>
      </c>
      <c r="K94" s="17">
        <f>SUM(J86:J94)</f>
        <v>6746.94</v>
      </c>
    </row>
    <row r="95" spans="2:13" ht="30" customHeight="1" thickBot="1" x14ac:dyDescent="0.35">
      <c r="B95" s="5">
        <v>407540</v>
      </c>
      <c r="C95" s="6">
        <v>46220</v>
      </c>
      <c r="D95" s="7" t="s">
        <v>79</v>
      </c>
      <c r="E95" s="7"/>
      <c r="F95" s="7" t="s">
        <v>115</v>
      </c>
      <c r="G95" s="7" t="s">
        <v>139</v>
      </c>
      <c r="H95" s="7">
        <v>21.844000000000001</v>
      </c>
      <c r="I95" s="8">
        <v>22.89</v>
      </c>
      <c r="J95" s="9">
        <v>500</v>
      </c>
    </row>
    <row r="96" spans="2:13" ht="30" customHeight="1" thickBot="1" x14ac:dyDescent="0.35">
      <c r="B96" s="5">
        <v>407262</v>
      </c>
      <c r="C96" s="6">
        <v>46220</v>
      </c>
      <c r="D96" s="7" t="s">
        <v>90</v>
      </c>
      <c r="E96" s="7"/>
      <c r="F96" s="7" t="s">
        <v>115</v>
      </c>
      <c r="G96" s="7" t="s">
        <v>47</v>
      </c>
      <c r="H96" s="7">
        <v>21.844000000000001</v>
      </c>
      <c r="I96" s="8">
        <v>22.89</v>
      </c>
      <c r="J96" s="9">
        <v>500</v>
      </c>
      <c r="K96" s="17">
        <f>SUM(J95:J96)</f>
        <v>1000</v>
      </c>
      <c r="M96" s="28" t="s">
        <v>134</v>
      </c>
    </row>
    <row r="97" spans="1:13" ht="30" customHeight="1" thickBot="1" x14ac:dyDescent="0.35">
      <c r="B97" s="73">
        <v>407795</v>
      </c>
      <c r="C97" s="74">
        <v>46221</v>
      </c>
      <c r="D97" s="75" t="s">
        <v>130</v>
      </c>
      <c r="E97" s="75"/>
      <c r="F97" s="75" t="s">
        <v>140</v>
      </c>
      <c r="G97" s="75" t="s">
        <v>141</v>
      </c>
      <c r="H97" s="75">
        <v>61.171999999999997</v>
      </c>
      <c r="I97" s="76">
        <v>22.89</v>
      </c>
      <c r="J97" s="77">
        <v>1400.23</v>
      </c>
      <c r="K97" s="17">
        <f>SUM(J97)</f>
        <v>1400.23</v>
      </c>
      <c r="M97" s="27">
        <f>(K94+K77+K82+K85+K97+K96)</f>
        <v>40718.639999999992</v>
      </c>
    </row>
    <row r="98" spans="1:13" ht="30" customHeight="1" x14ac:dyDescent="0.3">
      <c r="B98" s="30">
        <v>408271</v>
      </c>
      <c r="C98" s="31">
        <v>46223</v>
      </c>
      <c r="D98" s="33" t="s">
        <v>74</v>
      </c>
      <c r="E98" s="33"/>
      <c r="F98" s="33" t="s">
        <v>48</v>
      </c>
      <c r="G98" s="33" t="s">
        <v>106</v>
      </c>
      <c r="H98" s="33">
        <v>75.653000000000006</v>
      </c>
      <c r="I98" s="34">
        <v>27.89</v>
      </c>
      <c r="J98" s="35">
        <v>2109.96</v>
      </c>
      <c r="K98" s="17"/>
    </row>
    <row r="99" spans="1:13" ht="30" customHeight="1" x14ac:dyDescent="0.3">
      <c r="B99" s="5">
        <v>408250</v>
      </c>
      <c r="C99" s="6">
        <v>46223</v>
      </c>
      <c r="D99" s="7" t="s">
        <v>79</v>
      </c>
      <c r="E99" s="7"/>
      <c r="F99" s="7" t="s">
        <v>115</v>
      </c>
      <c r="G99" s="7" t="s">
        <v>47</v>
      </c>
      <c r="H99" s="7">
        <v>55.143000000000001</v>
      </c>
      <c r="I99" s="8">
        <v>22.89</v>
      </c>
      <c r="J99" s="9">
        <v>1262.22</v>
      </c>
      <c r="K99" s="17"/>
    </row>
    <row r="100" spans="1:13" ht="30" customHeight="1" x14ac:dyDescent="0.3">
      <c r="B100" s="5">
        <v>408272</v>
      </c>
      <c r="C100" s="6">
        <v>46223</v>
      </c>
      <c r="D100" s="7" t="s">
        <v>15</v>
      </c>
      <c r="E100" s="7"/>
      <c r="F100" s="7" t="s">
        <v>48</v>
      </c>
      <c r="G100" s="7" t="s">
        <v>49</v>
      </c>
      <c r="H100" s="7">
        <v>24.844000000000001</v>
      </c>
      <c r="I100" s="8">
        <v>22.89</v>
      </c>
      <c r="J100" s="9">
        <v>500</v>
      </c>
    </row>
    <row r="101" spans="1:13" ht="30" customHeight="1" x14ac:dyDescent="0.3">
      <c r="B101" s="5">
        <v>408221</v>
      </c>
      <c r="C101" s="6">
        <v>46223</v>
      </c>
      <c r="D101" s="7" t="s">
        <v>142</v>
      </c>
      <c r="E101" s="7"/>
      <c r="F101" s="7" t="s">
        <v>60</v>
      </c>
      <c r="G101" s="7" t="s">
        <v>47</v>
      </c>
      <c r="H101" s="7">
        <v>231.06200000000001</v>
      </c>
      <c r="I101" s="8">
        <v>22.89</v>
      </c>
      <c r="J101" s="9">
        <v>3000</v>
      </c>
      <c r="K101" s="17"/>
    </row>
    <row r="102" spans="1:13" ht="30" customHeight="1" x14ac:dyDescent="0.3">
      <c r="B102" s="5">
        <v>408255</v>
      </c>
      <c r="C102" s="6">
        <v>46223</v>
      </c>
      <c r="D102" s="7" t="s">
        <v>90</v>
      </c>
      <c r="E102" s="7"/>
      <c r="F102" s="7" t="s">
        <v>115</v>
      </c>
      <c r="G102" s="7" t="s">
        <v>47</v>
      </c>
      <c r="H102" s="7">
        <v>43.686999999999998</v>
      </c>
      <c r="I102" s="8">
        <v>22.89</v>
      </c>
      <c r="J102" s="9">
        <v>1000</v>
      </c>
      <c r="K102" s="17"/>
    </row>
    <row r="103" spans="1:13" ht="30" customHeight="1" x14ac:dyDescent="0.3">
      <c r="B103" s="5">
        <v>408244</v>
      </c>
      <c r="C103" s="6">
        <v>46223</v>
      </c>
      <c r="D103" s="7" t="s">
        <v>99</v>
      </c>
      <c r="E103" s="7"/>
      <c r="F103" s="7" t="s">
        <v>100</v>
      </c>
      <c r="G103" s="7" t="s">
        <v>132</v>
      </c>
      <c r="H103" s="37">
        <v>65.971000000000004</v>
      </c>
      <c r="I103" s="38">
        <v>22.89</v>
      </c>
      <c r="J103" s="39">
        <v>1510.08</v>
      </c>
      <c r="K103" s="17"/>
    </row>
    <row r="104" spans="1:13" ht="30" customHeight="1" x14ac:dyDescent="0.3">
      <c r="B104" s="5">
        <v>408380</v>
      </c>
      <c r="C104" s="6">
        <v>46223</v>
      </c>
      <c r="D104" s="7" t="s">
        <v>15</v>
      </c>
      <c r="E104" s="7"/>
      <c r="F104" s="7" t="s">
        <v>48</v>
      </c>
      <c r="G104" s="7" t="s">
        <v>49</v>
      </c>
      <c r="H104" s="37">
        <v>43.686999999999998</v>
      </c>
      <c r="I104" s="38">
        <v>22.89</v>
      </c>
      <c r="J104" s="39">
        <v>1000</v>
      </c>
      <c r="K104" s="17"/>
    </row>
    <row r="105" spans="1:13" ht="30" customHeight="1" x14ac:dyDescent="0.3">
      <c r="B105" s="5">
        <v>408380</v>
      </c>
      <c r="C105" s="6">
        <v>46223</v>
      </c>
      <c r="D105" s="7" t="s">
        <v>14</v>
      </c>
      <c r="E105" s="7"/>
      <c r="F105" s="7" t="s">
        <v>46</v>
      </c>
      <c r="G105" s="7" t="s">
        <v>151</v>
      </c>
      <c r="H105" s="37">
        <v>61.06</v>
      </c>
      <c r="I105" s="38">
        <v>22.89</v>
      </c>
      <c r="J105" s="39">
        <v>1397.66</v>
      </c>
      <c r="K105" s="17"/>
    </row>
    <row r="106" spans="1:13" ht="30" customHeight="1" x14ac:dyDescent="0.3">
      <c r="B106" s="5">
        <v>408397</v>
      </c>
      <c r="C106" s="6">
        <v>46223</v>
      </c>
      <c r="D106" s="7" t="s">
        <v>16</v>
      </c>
      <c r="E106" s="7"/>
      <c r="F106" s="7" t="s">
        <v>17</v>
      </c>
      <c r="G106" s="7" t="s">
        <v>102</v>
      </c>
      <c r="H106" s="37">
        <v>34.950000000000003</v>
      </c>
      <c r="I106" s="38">
        <v>22.89</v>
      </c>
      <c r="J106" s="39">
        <v>800</v>
      </c>
      <c r="K106" s="17"/>
    </row>
    <row r="107" spans="1:13" ht="30" customHeight="1" x14ac:dyDescent="0.3">
      <c r="B107" s="5">
        <v>408375</v>
      </c>
      <c r="C107" s="6">
        <v>46223</v>
      </c>
      <c r="D107" s="7" t="s">
        <v>103</v>
      </c>
      <c r="E107" s="7"/>
      <c r="F107" s="7" t="s">
        <v>63</v>
      </c>
      <c r="G107" s="7" t="s">
        <v>57</v>
      </c>
      <c r="H107" s="37">
        <v>65.531000000000006</v>
      </c>
      <c r="I107" s="38">
        <v>22.89</v>
      </c>
      <c r="J107" s="39">
        <v>1500</v>
      </c>
      <c r="K107" s="17"/>
    </row>
    <row r="108" spans="1:13" ht="30" customHeight="1" x14ac:dyDescent="0.3">
      <c r="B108" s="5">
        <v>408393</v>
      </c>
      <c r="C108" s="6">
        <v>46223</v>
      </c>
      <c r="D108" s="7" t="s">
        <v>66</v>
      </c>
      <c r="E108" s="7"/>
      <c r="F108" s="7" t="s">
        <v>89</v>
      </c>
      <c r="G108" s="7" t="s">
        <v>47</v>
      </c>
      <c r="H108" s="37">
        <v>64.995000000000005</v>
      </c>
      <c r="I108" s="38">
        <v>22.89</v>
      </c>
      <c r="J108" s="39">
        <v>1487.74</v>
      </c>
      <c r="K108" s="17"/>
    </row>
    <row r="109" spans="1:13" ht="30" customHeight="1" x14ac:dyDescent="0.3">
      <c r="B109" s="5">
        <v>408220</v>
      </c>
      <c r="C109" s="6">
        <v>46223</v>
      </c>
      <c r="D109" s="7" t="s">
        <v>109</v>
      </c>
      <c r="E109" s="7"/>
      <c r="F109" s="7" t="s">
        <v>85</v>
      </c>
      <c r="G109" s="7" t="s">
        <v>110</v>
      </c>
      <c r="H109" s="37">
        <v>65.543000000000006</v>
      </c>
      <c r="I109" s="38">
        <v>22.89</v>
      </c>
      <c r="J109" s="39">
        <v>1500.28</v>
      </c>
      <c r="K109" s="17"/>
    </row>
    <row r="110" spans="1:13" ht="30" customHeight="1" x14ac:dyDescent="0.3">
      <c r="A110" s="15" t="s">
        <v>160</v>
      </c>
      <c r="B110" s="5">
        <v>408249</v>
      </c>
      <c r="C110" s="6">
        <v>46223</v>
      </c>
      <c r="D110" s="7" t="s">
        <v>31</v>
      </c>
      <c r="E110" s="7"/>
      <c r="F110" s="7" t="s">
        <v>64</v>
      </c>
      <c r="G110" s="7" t="s">
        <v>143</v>
      </c>
      <c r="H110" s="37">
        <v>77.087000000000003</v>
      </c>
      <c r="I110" s="38">
        <v>27.89</v>
      </c>
      <c r="J110" s="39">
        <v>2149.96</v>
      </c>
      <c r="K110" s="17"/>
    </row>
    <row r="111" spans="1:13" ht="30" customHeight="1" x14ac:dyDescent="0.3">
      <c r="B111" s="5">
        <v>408382</v>
      </c>
      <c r="C111" s="6">
        <v>46223</v>
      </c>
      <c r="D111" s="7" t="s">
        <v>122</v>
      </c>
      <c r="E111" s="7"/>
      <c r="F111" s="7" t="s">
        <v>123</v>
      </c>
      <c r="G111" s="7" t="s">
        <v>110</v>
      </c>
      <c r="H111" s="37">
        <v>65.531000000000006</v>
      </c>
      <c r="I111" s="38">
        <v>22.89</v>
      </c>
      <c r="J111" s="39">
        <v>1500</v>
      </c>
      <c r="K111" s="17">
        <f>SUM(J98:J111)</f>
        <v>20717.899999999998</v>
      </c>
    </row>
    <row r="112" spans="1:13" ht="30" customHeight="1" x14ac:dyDescent="0.3">
      <c r="B112" s="5">
        <v>408636</v>
      </c>
      <c r="C112" s="6">
        <v>46224</v>
      </c>
      <c r="D112" s="7" t="s">
        <v>80</v>
      </c>
      <c r="E112" s="7"/>
      <c r="F112" s="7" t="s">
        <v>144</v>
      </c>
      <c r="G112" s="7" t="s">
        <v>138</v>
      </c>
      <c r="H112" s="37">
        <v>37.17</v>
      </c>
      <c r="I112" s="38">
        <v>22.89</v>
      </c>
      <c r="J112" s="39">
        <v>850.82</v>
      </c>
      <c r="K112" s="17"/>
    </row>
    <row r="113" spans="2:11" ht="30" customHeight="1" x14ac:dyDescent="0.3">
      <c r="B113" s="5">
        <v>408624</v>
      </c>
      <c r="C113" s="6">
        <v>46224</v>
      </c>
      <c r="D113" s="7" t="s">
        <v>18</v>
      </c>
      <c r="E113" s="7"/>
      <c r="F113" s="7" t="s">
        <v>87</v>
      </c>
      <c r="G113" s="7" t="s">
        <v>62</v>
      </c>
      <c r="H113" s="37">
        <v>10</v>
      </c>
      <c r="I113" s="38">
        <v>22.89</v>
      </c>
      <c r="J113" s="39">
        <v>228.9</v>
      </c>
      <c r="K113" s="17"/>
    </row>
    <row r="114" spans="2:11" ht="30" customHeight="1" x14ac:dyDescent="0.3">
      <c r="B114" s="5">
        <v>408539</v>
      </c>
      <c r="C114" s="6">
        <v>46224</v>
      </c>
      <c r="D114" s="7" t="s">
        <v>70</v>
      </c>
      <c r="E114" s="7"/>
      <c r="F114" s="7" t="s">
        <v>145</v>
      </c>
      <c r="G114" s="7" t="s">
        <v>106</v>
      </c>
      <c r="H114" s="37">
        <v>50.594999999999999</v>
      </c>
      <c r="I114" s="38">
        <v>22.89</v>
      </c>
      <c r="J114" s="39">
        <v>1158.1199999999999</v>
      </c>
      <c r="K114" s="17"/>
    </row>
    <row r="115" spans="2:11" ht="30" customHeight="1" x14ac:dyDescent="0.3">
      <c r="B115" s="5">
        <v>408553</v>
      </c>
      <c r="C115" s="6">
        <v>46224</v>
      </c>
      <c r="D115" s="7" t="s">
        <v>95</v>
      </c>
      <c r="E115" s="7"/>
      <c r="F115" s="7" t="s">
        <v>84</v>
      </c>
      <c r="G115" s="7" t="s">
        <v>106</v>
      </c>
      <c r="H115" s="37">
        <v>65.531000000000006</v>
      </c>
      <c r="I115" s="38">
        <v>22.89</v>
      </c>
      <c r="J115" s="39">
        <v>1500</v>
      </c>
      <c r="K115" s="17"/>
    </row>
    <row r="116" spans="2:11" ht="30" customHeight="1" x14ac:dyDescent="0.3">
      <c r="B116" s="5">
        <v>408623</v>
      </c>
      <c r="C116" s="6">
        <v>46224</v>
      </c>
      <c r="D116" s="7" t="s">
        <v>86</v>
      </c>
      <c r="E116" s="7"/>
      <c r="F116" s="7" t="s">
        <v>87</v>
      </c>
      <c r="G116" s="7" t="s">
        <v>62</v>
      </c>
      <c r="H116" s="37">
        <v>48.988</v>
      </c>
      <c r="I116" s="38">
        <v>22.89</v>
      </c>
      <c r="J116" s="39">
        <v>1121.3399999999999</v>
      </c>
      <c r="K116" s="17"/>
    </row>
    <row r="117" spans="2:11" ht="30" customHeight="1" x14ac:dyDescent="0.3">
      <c r="B117" s="5">
        <v>408549</v>
      </c>
      <c r="C117" s="6">
        <v>46224</v>
      </c>
      <c r="D117" s="7" t="s">
        <v>130</v>
      </c>
      <c r="E117" s="7"/>
      <c r="F117" s="7" t="s">
        <v>140</v>
      </c>
      <c r="G117" s="7" t="s">
        <v>141</v>
      </c>
      <c r="H117" s="37">
        <v>56.795999999999999</v>
      </c>
      <c r="I117" s="38">
        <v>22.89</v>
      </c>
      <c r="J117" s="39">
        <v>1300.06</v>
      </c>
      <c r="K117" s="17">
        <f>SUM(J112:J117)</f>
        <v>6159.24</v>
      </c>
    </row>
    <row r="118" spans="2:11" ht="30" customHeight="1" x14ac:dyDescent="0.3">
      <c r="B118" s="5">
        <v>408736</v>
      </c>
      <c r="C118" s="6">
        <v>46225</v>
      </c>
      <c r="D118" s="7" t="s">
        <v>146</v>
      </c>
      <c r="E118" s="7"/>
      <c r="F118" s="7" t="s">
        <v>147</v>
      </c>
      <c r="G118" s="7" t="s">
        <v>132</v>
      </c>
      <c r="H118" s="37">
        <v>37.582999999999998</v>
      </c>
      <c r="I118" s="38">
        <v>22.89</v>
      </c>
      <c r="J118" s="39">
        <v>860.27</v>
      </c>
      <c r="K118" s="17"/>
    </row>
    <row r="119" spans="2:11" ht="30" customHeight="1" x14ac:dyDescent="0.3">
      <c r="B119" s="5">
        <v>408738</v>
      </c>
      <c r="C119" s="6">
        <v>46225</v>
      </c>
      <c r="D119" s="7" t="s">
        <v>90</v>
      </c>
      <c r="E119" s="7"/>
      <c r="F119" s="7" t="s">
        <v>147</v>
      </c>
      <c r="G119" s="7" t="s">
        <v>132</v>
      </c>
      <c r="H119" s="37">
        <v>13.106</v>
      </c>
      <c r="I119" s="38">
        <v>22.89</v>
      </c>
      <c r="J119" s="39">
        <v>300</v>
      </c>
      <c r="K119" s="17"/>
    </row>
    <row r="120" spans="2:11" ht="30" customHeight="1" x14ac:dyDescent="0.3">
      <c r="B120" s="5">
        <v>408734</v>
      </c>
      <c r="C120" s="6">
        <v>46225</v>
      </c>
      <c r="D120" s="7" t="s">
        <v>82</v>
      </c>
      <c r="E120" s="7"/>
      <c r="F120" s="7" t="s">
        <v>83</v>
      </c>
      <c r="G120" s="7" t="s">
        <v>148</v>
      </c>
      <c r="H120" s="37">
        <v>30.581</v>
      </c>
      <c r="I120" s="38">
        <v>22.89</v>
      </c>
      <c r="J120" s="39">
        <v>700</v>
      </c>
      <c r="K120" s="17"/>
    </row>
    <row r="121" spans="2:11" ht="30" customHeight="1" x14ac:dyDescent="0.3">
      <c r="B121" s="5">
        <v>408744</v>
      </c>
      <c r="C121" s="6">
        <v>46225</v>
      </c>
      <c r="D121" s="7" t="s">
        <v>25</v>
      </c>
      <c r="E121" s="7"/>
      <c r="F121" s="7" t="s">
        <v>105</v>
      </c>
      <c r="G121" s="7" t="s">
        <v>106</v>
      </c>
      <c r="H121" s="37">
        <v>71.171999999999997</v>
      </c>
      <c r="I121" s="38">
        <v>27.89</v>
      </c>
      <c r="J121" s="39">
        <v>1984.99</v>
      </c>
      <c r="K121" s="17"/>
    </row>
    <row r="122" spans="2:11" ht="30" customHeight="1" x14ac:dyDescent="0.3">
      <c r="B122" s="5">
        <v>408827</v>
      </c>
      <c r="C122" s="6">
        <v>46225</v>
      </c>
      <c r="D122" s="7" t="s">
        <v>27</v>
      </c>
      <c r="E122" s="7"/>
      <c r="F122" s="7" t="s">
        <v>28</v>
      </c>
      <c r="G122" s="7" t="s">
        <v>62</v>
      </c>
      <c r="H122" s="37">
        <v>65.531000000000006</v>
      </c>
      <c r="I122" s="38">
        <v>22.89</v>
      </c>
      <c r="J122" s="39">
        <v>1500</v>
      </c>
      <c r="K122" s="17"/>
    </row>
    <row r="123" spans="2:11" ht="30" customHeight="1" x14ac:dyDescent="0.3">
      <c r="B123" s="5">
        <v>408806</v>
      </c>
      <c r="C123" s="6">
        <v>46225</v>
      </c>
      <c r="D123" s="7" t="s">
        <v>74</v>
      </c>
      <c r="E123" s="7"/>
      <c r="F123" s="7" t="s">
        <v>75</v>
      </c>
      <c r="G123" s="7" t="s">
        <v>49</v>
      </c>
      <c r="H123" s="37">
        <v>69.003</v>
      </c>
      <c r="I123" s="38">
        <v>27.89</v>
      </c>
      <c r="J123" s="39">
        <v>1924.49</v>
      </c>
      <c r="K123" s="17"/>
    </row>
    <row r="124" spans="2:11" ht="30" customHeight="1" x14ac:dyDescent="0.3">
      <c r="B124" s="5">
        <v>408818</v>
      </c>
      <c r="C124" s="6">
        <v>46225</v>
      </c>
      <c r="D124" s="7" t="s">
        <v>71</v>
      </c>
      <c r="E124" s="7"/>
      <c r="F124" s="7" t="s">
        <v>149</v>
      </c>
      <c r="G124" s="7" t="s">
        <v>150</v>
      </c>
      <c r="H124" s="37">
        <v>34.950000000000003</v>
      </c>
      <c r="I124" s="38">
        <v>22.89</v>
      </c>
      <c r="J124" s="39">
        <v>800</v>
      </c>
      <c r="K124" s="17"/>
    </row>
    <row r="125" spans="2:11" ht="30" customHeight="1" x14ac:dyDescent="0.3">
      <c r="B125" s="5">
        <v>408841</v>
      </c>
      <c r="C125" s="6">
        <v>46225</v>
      </c>
      <c r="D125" s="7" t="s">
        <v>99</v>
      </c>
      <c r="E125" s="7"/>
      <c r="F125" s="7" t="s">
        <v>100</v>
      </c>
      <c r="G125" s="7" t="s">
        <v>132</v>
      </c>
      <c r="H125" s="37">
        <v>47.357999999999997</v>
      </c>
      <c r="I125" s="38">
        <v>22.89</v>
      </c>
      <c r="J125" s="39">
        <v>1084.02</v>
      </c>
      <c r="K125" s="17">
        <f>SUM(J118:J125)</f>
        <v>9153.77</v>
      </c>
    </row>
    <row r="126" spans="2:11" ht="30" customHeight="1" x14ac:dyDescent="0.3">
      <c r="B126" s="5">
        <v>409014</v>
      </c>
      <c r="C126" s="6">
        <v>46226</v>
      </c>
      <c r="D126" s="7" t="s">
        <v>70</v>
      </c>
      <c r="E126" s="7"/>
      <c r="F126" s="7" t="s">
        <v>113</v>
      </c>
      <c r="G126" s="7" t="s">
        <v>106</v>
      </c>
      <c r="H126" s="37">
        <v>15.291</v>
      </c>
      <c r="I126" s="38">
        <v>22.89</v>
      </c>
      <c r="J126" s="39">
        <v>350</v>
      </c>
      <c r="K126" s="17"/>
    </row>
    <row r="127" spans="2:11" ht="30" customHeight="1" x14ac:dyDescent="0.3">
      <c r="B127" s="5">
        <v>409026</v>
      </c>
      <c r="C127" s="6">
        <v>46226</v>
      </c>
      <c r="D127" s="7" t="s">
        <v>79</v>
      </c>
      <c r="E127" s="7"/>
      <c r="F127" s="7" t="s">
        <v>115</v>
      </c>
      <c r="G127" s="7" t="s">
        <v>47</v>
      </c>
      <c r="H127" s="37">
        <v>37.005000000000003</v>
      </c>
      <c r="I127" s="38">
        <v>22.89</v>
      </c>
      <c r="J127" s="39">
        <v>847.04</v>
      </c>
      <c r="K127" s="17"/>
    </row>
    <row r="128" spans="2:11" ht="30" customHeight="1" x14ac:dyDescent="0.3">
      <c r="B128" s="5">
        <v>409025</v>
      </c>
      <c r="C128" s="6">
        <v>46226</v>
      </c>
      <c r="D128" s="7" t="s">
        <v>14</v>
      </c>
      <c r="E128" s="7"/>
      <c r="F128" s="7" t="s">
        <v>46</v>
      </c>
      <c r="G128" s="7" t="s">
        <v>47</v>
      </c>
      <c r="H128" s="37">
        <v>48.143000000000001</v>
      </c>
      <c r="I128" s="38">
        <v>22.89</v>
      </c>
      <c r="J128" s="39">
        <v>1102</v>
      </c>
      <c r="K128" s="17"/>
    </row>
    <row r="129" spans="2:15" ht="30" customHeight="1" x14ac:dyDescent="0.3">
      <c r="B129" s="5">
        <v>409027</v>
      </c>
      <c r="C129" s="6">
        <v>46226</v>
      </c>
      <c r="D129" s="7" t="s">
        <v>59</v>
      </c>
      <c r="E129" s="7"/>
      <c r="F129" s="7" t="s">
        <v>60</v>
      </c>
      <c r="G129" s="7" t="s">
        <v>47</v>
      </c>
      <c r="H129" s="37">
        <v>43.686999999999998</v>
      </c>
      <c r="I129" s="38">
        <v>22.89</v>
      </c>
      <c r="J129" s="39">
        <v>1000</v>
      </c>
      <c r="K129" s="17">
        <f>SUM(J126:J129)</f>
        <v>3299.04</v>
      </c>
    </row>
    <row r="130" spans="2:15" ht="30" customHeight="1" x14ac:dyDescent="0.3">
      <c r="B130" s="5">
        <v>409116</v>
      </c>
      <c r="C130" s="6">
        <v>46227</v>
      </c>
      <c r="D130" s="7" t="s">
        <v>31</v>
      </c>
      <c r="E130" s="7"/>
      <c r="F130" s="7" t="s">
        <v>64</v>
      </c>
      <c r="G130" s="7" t="s">
        <v>143</v>
      </c>
      <c r="H130" s="37">
        <v>13.864000000000001</v>
      </c>
      <c r="I130" s="38">
        <v>27.89</v>
      </c>
      <c r="J130" s="39">
        <v>386.67</v>
      </c>
      <c r="K130" s="17"/>
    </row>
    <row r="131" spans="2:15" ht="30" customHeight="1" x14ac:dyDescent="0.3">
      <c r="B131" s="5">
        <v>409194</v>
      </c>
      <c r="C131" s="6">
        <v>46227</v>
      </c>
      <c r="D131" s="7" t="s">
        <v>15</v>
      </c>
      <c r="E131" s="7"/>
      <c r="F131" s="7" t="s">
        <v>48</v>
      </c>
      <c r="G131" s="7" t="s">
        <v>49</v>
      </c>
      <c r="H131" s="37">
        <v>8.7370000000000001</v>
      </c>
      <c r="I131" s="38">
        <v>22.89</v>
      </c>
      <c r="J131" s="39">
        <v>200</v>
      </c>
      <c r="K131" s="17"/>
    </row>
    <row r="132" spans="2:15" ht="30" customHeight="1" x14ac:dyDescent="0.3">
      <c r="B132" s="5">
        <v>409185</v>
      </c>
      <c r="C132" s="6">
        <v>46227</v>
      </c>
      <c r="D132" s="7" t="s">
        <v>25</v>
      </c>
      <c r="E132" s="7"/>
      <c r="F132" s="7" t="s">
        <v>26</v>
      </c>
      <c r="G132" s="7" t="s">
        <v>106</v>
      </c>
      <c r="H132" s="37">
        <v>21.844000000000001</v>
      </c>
      <c r="I132" s="38">
        <v>22.89</v>
      </c>
      <c r="J132" s="39">
        <v>500</v>
      </c>
      <c r="K132" s="17">
        <f>SUM(J130:J132)</f>
        <v>1086.67</v>
      </c>
    </row>
    <row r="133" spans="2:15" ht="30" customHeight="1" x14ac:dyDescent="0.3">
      <c r="B133" s="5">
        <v>409223</v>
      </c>
      <c r="C133" s="6">
        <v>46228</v>
      </c>
      <c r="D133" s="7" t="s">
        <v>21</v>
      </c>
      <c r="E133" s="7"/>
      <c r="F133" s="7" t="s">
        <v>45</v>
      </c>
      <c r="G133" s="7" t="s">
        <v>57</v>
      </c>
      <c r="H133" s="37">
        <v>65.531000000000006</v>
      </c>
      <c r="I133" s="38">
        <v>22.89</v>
      </c>
      <c r="J133" s="39">
        <v>1500</v>
      </c>
      <c r="K133" s="17"/>
    </row>
    <row r="134" spans="2:15" ht="30" customHeight="1" thickBot="1" x14ac:dyDescent="0.35">
      <c r="B134" s="5">
        <v>409238</v>
      </c>
      <c r="C134" s="6">
        <v>46228</v>
      </c>
      <c r="D134" s="7" t="s">
        <v>80</v>
      </c>
      <c r="E134" s="7"/>
      <c r="F134" s="7" t="s">
        <v>144</v>
      </c>
      <c r="G134" s="7" t="s">
        <v>138</v>
      </c>
      <c r="H134" s="37">
        <v>23.306000000000001</v>
      </c>
      <c r="I134" s="38">
        <v>27.89</v>
      </c>
      <c r="J134" s="39">
        <v>650</v>
      </c>
      <c r="K134" s="17"/>
    </row>
    <row r="135" spans="2:15" ht="30" customHeight="1" thickBot="1" x14ac:dyDescent="0.35">
      <c r="B135" s="5">
        <v>409235</v>
      </c>
      <c r="C135" s="6">
        <v>46228</v>
      </c>
      <c r="D135" s="7" t="s">
        <v>146</v>
      </c>
      <c r="E135" s="7"/>
      <c r="F135" s="7" t="s">
        <v>100</v>
      </c>
      <c r="G135" s="7" t="s">
        <v>132</v>
      </c>
      <c r="H135" s="37">
        <v>21.844000000000001</v>
      </c>
      <c r="I135" s="38">
        <v>22.89</v>
      </c>
      <c r="J135" s="39">
        <v>500</v>
      </c>
      <c r="K135" s="17"/>
      <c r="M135" s="28" t="s">
        <v>154</v>
      </c>
    </row>
    <row r="136" spans="2:15" ht="30" customHeight="1" thickBot="1" x14ac:dyDescent="0.35">
      <c r="B136" s="22">
        <v>409222</v>
      </c>
      <c r="C136" s="23">
        <v>46228</v>
      </c>
      <c r="D136" s="24" t="s">
        <v>103</v>
      </c>
      <c r="E136" s="24"/>
      <c r="F136" s="24" t="s">
        <v>63</v>
      </c>
      <c r="G136" s="24" t="s">
        <v>57</v>
      </c>
      <c r="H136" s="24">
        <v>40.311999999999998</v>
      </c>
      <c r="I136" s="25">
        <v>22.89</v>
      </c>
      <c r="J136" s="26">
        <v>922.74</v>
      </c>
      <c r="K136" s="17">
        <f>SUM(J133:J136)</f>
        <v>3572.74</v>
      </c>
      <c r="M136" s="27">
        <f>(K125+K117+K111+K129+K132+K136)</f>
        <v>43989.359999999993</v>
      </c>
    </row>
    <row r="137" spans="2:15" ht="30" customHeight="1" x14ac:dyDescent="0.3">
      <c r="B137" s="47">
        <v>409583</v>
      </c>
      <c r="C137" s="48">
        <v>46230</v>
      </c>
      <c r="D137" s="49" t="s">
        <v>146</v>
      </c>
      <c r="E137" s="49"/>
      <c r="F137" s="49" t="s">
        <v>100</v>
      </c>
      <c r="G137" s="49" t="s">
        <v>132</v>
      </c>
      <c r="H137" s="49">
        <v>65.531000000000006</v>
      </c>
      <c r="I137" s="50">
        <v>22.89</v>
      </c>
      <c r="J137" s="51">
        <v>1500</v>
      </c>
      <c r="K137" s="17"/>
      <c r="M137" s="42"/>
    </row>
    <row r="138" spans="2:15" ht="30" customHeight="1" x14ac:dyDescent="0.3">
      <c r="B138" s="5">
        <v>409584</v>
      </c>
      <c r="C138" s="6">
        <v>46230</v>
      </c>
      <c r="D138" s="7" t="s">
        <v>99</v>
      </c>
      <c r="E138" s="7"/>
      <c r="F138" s="7" t="s">
        <v>156</v>
      </c>
      <c r="G138" s="7" t="s">
        <v>132</v>
      </c>
      <c r="H138" s="7">
        <v>65.546000000000006</v>
      </c>
      <c r="I138" s="8">
        <v>22.89</v>
      </c>
      <c r="J138" s="9">
        <v>1500.35</v>
      </c>
      <c r="K138" s="17"/>
      <c r="M138" s="42"/>
    </row>
    <row r="139" spans="2:15" ht="30" customHeight="1" x14ac:dyDescent="0.3">
      <c r="B139" s="5">
        <v>409421</v>
      </c>
      <c r="C139" s="6">
        <v>46230</v>
      </c>
      <c r="D139" s="7" t="s">
        <v>130</v>
      </c>
      <c r="E139" s="7"/>
      <c r="F139" s="7" t="s">
        <v>140</v>
      </c>
      <c r="G139" s="7" t="s">
        <v>141</v>
      </c>
      <c r="H139" s="7">
        <v>87.373999999999995</v>
      </c>
      <c r="I139" s="8">
        <v>22.89</v>
      </c>
      <c r="J139" s="9">
        <v>2000</v>
      </c>
      <c r="K139" s="17"/>
      <c r="M139" s="42"/>
    </row>
    <row r="140" spans="2:15" ht="30" customHeight="1" x14ac:dyDescent="0.3">
      <c r="B140" s="5">
        <v>409374</v>
      </c>
      <c r="C140" s="6">
        <v>46230</v>
      </c>
      <c r="D140" s="7" t="s">
        <v>109</v>
      </c>
      <c r="E140" s="7"/>
      <c r="F140" s="7" t="s">
        <v>85</v>
      </c>
      <c r="G140" s="7" t="s">
        <v>110</v>
      </c>
      <c r="H140" s="7">
        <v>65.531000000000006</v>
      </c>
      <c r="I140" s="8">
        <v>22.89</v>
      </c>
      <c r="J140" s="9">
        <v>1500</v>
      </c>
      <c r="K140" s="17"/>
      <c r="M140" s="42"/>
    </row>
    <row r="141" spans="2:15" ht="30" customHeight="1" x14ac:dyDescent="0.3">
      <c r="B141" s="5">
        <v>409398</v>
      </c>
      <c r="C141" s="6">
        <v>46230</v>
      </c>
      <c r="D141" s="7" t="s">
        <v>109</v>
      </c>
      <c r="E141" s="7"/>
      <c r="F141" s="7" t="s">
        <v>85</v>
      </c>
      <c r="G141" s="7" t="s">
        <v>110</v>
      </c>
      <c r="H141" s="7">
        <v>20</v>
      </c>
      <c r="I141" s="8">
        <v>22.89</v>
      </c>
      <c r="J141" s="9">
        <v>457.8</v>
      </c>
      <c r="K141" s="17"/>
      <c r="M141" s="42"/>
    </row>
    <row r="142" spans="2:15" ht="30" customHeight="1" x14ac:dyDescent="0.3">
      <c r="B142" s="5">
        <v>409378</v>
      </c>
      <c r="C142" s="6">
        <v>46230</v>
      </c>
      <c r="D142" s="7" t="s">
        <v>122</v>
      </c>
      <c r="E142" s="7"/>
      <c r="F142" s="7" t="s">
        <v>123</v>
      </c>
      <c r="G142" s="7" t="s">
        <v>110</v>
      </c>
      <c r="H142" s="7">
        <v>64.596999999999994</v>
      </c>
      <c r="I142" s="8">
        <v>22.89</v>
      </c>
      <c r="J142" s="9">
        <v>1478.63</v>
      </c>
      <c r="K142" s="17"/>
      <c r="M142" s="42"/>
    </row>
    <row r="143" spans="2:15" ht="30" customHeight="1" x14ac:dyDescent="0.3">
      <c r="B143" s="5">
        <v>409469</v>
      </c>
      <c r="C143" s="6">
        <v>46230</v>
      </c>
      <c r="D143" s="7" t="s">
        <v>82</v>
      </c>
      <c r="E143" s="7"/>
      <c r="F143" s="7" t="s">
        <v>83</v>
      </c>
      <c r="G143" s="7" t="s">
        <v>148</v>
      </c>
      <c r="H143" s="7">
        <v>30.581</v>
      </c>
      <c r="I143" s="8">
        <v>22.89</v>
      </c>
      <c r="J143" s="9">
        <v>700</v>
      </c>
      <c r="K143" s="17"/>
      <c r="M143" s="42"/>
    </row>
    <row r="144" spans="2:15" ht="30" customHeight="1" x14ac:dyDescent="0.3">
      <c r="B144" s="5">
        <v>409496</v>
      </c>
      <c r="C144" s="6">
        <v>46230</v>
      </c>
      <c r="D144" s="7" t="s">
        <v>90</v>
      </c>
      <c r="E144" s="7"/>
      <c r="F144" s="7" t="s">
        <v>24</v>
      </c>
      <c r="G144" s="7" t="s">
        <v>151</v>
      </c>
      <c r="H144" s="7">
        <v>43.686999999999998</v>
      </c>
      <c r="I144" s="8">
        <v>22.89</v>
      </c>
      <c r="J144" s="9">
        <v>1000</v>
      </c>
      <c r="K144" s="17"/>
      <c r="M144" s="42"/>
      <c r="O144" s="21"/>
    </row>
    <row r="145" spans="2:15" ht="30" customHeight="1" x14ac:dyDescent="0.3">
      <c r="B145" s="5">
        <v>409553</v>
      </c>
      <c r="C145" s="6">
        <v>46230</v>
      </c>
      <c r="D145" s="7" t="s">
        <v>157</v>
      </c>
      <c r="E145" s="7"/>
      <c r="F145" s="7" t="s">
        <v>75</v>
      </c>
      <c r="G145" s="7" t="s">
        <v>49</v>
      </c>
      <c r="H145" s="7">
        <v>74.412999999999997</v>
      </c>
      <c r="I145" s="8">
        <v>27.89</v>
      </c>
      <c r="J145" s="9">
        <v>2075.38</v>
      </c>
      <c r="K145" s="17"/>
      <c r="M145" s="42"/>
      <c r="O145" s="21"/>
    </row>
    <row r="146" spans="2:15" ht="30" customHeight="1" x14ac:dyDescent="0.3">
      <c r="B146" s="5">
        <v>409556</v>
      </c>
      <c r="C146" s="6">
        <v>46230</v>
      </c>
      <c r="D146" s="7" t="s">
        <v>71</v>
      </c>
      <c r="E146" s="7"/>
      <c r="F146" s="7" t="s">
        <v>149</v>
      </c>
      <c r="G146" s="7" t="s">
        <v>150</v>
      </c>
      <c r="H146" s="7">
        <v>34.950000000000003</v>
      </c>
      <c r="I146" s="8">
        <v>22.89</v>
      </c>
      <c r="J146" s="9">
        <v>800</v>
      </c>
      <c r="K146" s="17"/>
      <c r="M146" s="42"/>
      <c r="O146" s="21"/>
    </row>
    <row r="147" spans="2:15" ht="30" customHeight="1" x14ac:dyDescent="0.3">
      <c r="B147" s="5">
        <v>409563</v>
      </c>
      <c r="C147" s="6">
        <v>46230</v>
      </c>
      <c r="D147" s="7" t="s">
        <v>158</v>
      </c>
      <c r="E147" s="7"/>
      <c r="F147" s="7" t="s">
        <v>48</v>
      </c>
      <c r="G147" s="7" t="s">
        <v>49</v>
      </c>
      <c r="H147" s="7">
        <v>43.686999999999998</v>
      </c>
      <c r="I147" s="8">
        <v>22.89</v>
      </c>
      <c r="J147" s="9">
        <v>1000</v>
      </c>
      <c r="K147" s="17"/>
      <c r="M147" s="42"/>
      <c r="O147" s="21"/>
    </row>
    <row r="148" spans="2:15" ht="30" customHeight="1" x14ac:dyDescent="0.3">
      <c r="B148" s="5">
        <v>409562</v>
      </c>
      <c r="C148" s="6">
        <v>46230</v>
      </c>
      <c r="D148" s="7" t="s">
        <v>158</v>
      </c>
      <c r="E148" s="7"/>
      <c r="F148" s="7" t="s">
        <v>48</v>
      </c>
      <c r="G148" s="7" t="s">
        <v>49</v>
      </c>
      <c r="H148" s="7">
        <v>21.844000000000001</v>
      </c>
      <c r="I148" s="8">
        <v>22.89</v>
      </c>
      <c r="J148" s="9">
        <v>500</v>
      </c>
      <c r="K148" s="17"/>
      <c r="M148" s="42"/>
      <c r="O148" s="21"/>
    </row>
    <row r="149" spans="2:15" ht="30" customHeight="1" x14ac:dyDescent="0.3">
      <c r="B149" s="5">
        <v>409580</v>
      </c>
      <c r="C149" s="6">
        <v>46230</v>
      </c>
      <c r="D149" s="7" t="s">
        <v>16</v>
      </c>
      <c r="E149" s="7"/>
      <c r="F149" s="7" t="s">
        <v>17</v>
      </c>
      <c r="G149" s="7" t="s">
        <v>102</v>
      </c>
      <c r="H149" s="7">
        <v>34.950000000000003</v>
      </c>
      <c r="I149" s="8">
        <v>22.89</v>
      </c>
      <c r="J149" s="9">
        <v>800</v>
      </c>
      <c r="K149" s="17"/>
      <c r="M149" s="42"/>
      <c r="O149" s="21"/>
    </row>
    <row r="150" spans="2:15" ht="30" customHeight="1" x14ac:dyDescent="0.3">
      <c r="B150" s="5">
        <v>409513</v>
      </c>
      <c r="C150" s="6">
        <v>46230</v>
      </c>
      <c r="D150" s="7" t="s">
        <v>31</v>
      </c>
      <c r="E150" s="7"/>
      <c r="F150" s="7" t="s">
        <v>64</v>
      </c>
      <c r="G150" s="7" t="s">
        <v>62</v>
      </c>
      <c r="H150" s="7">
        <v>46.610999999999997</v>
      </c>
      <c r="I150" s="8">
        <v>27.89</v>
      </c>
      <c r="J150" s="9">
        <v>1299.98</v>
      </c>
      <c r="K150" s="17">
        <f>SUM(J137:J150)</f>
        <v>16612.14</v>
      </c>
      <c r="M150" s="42"/>
      <c r="O150" s="21"/>
    </row>
    <row r="151" spans="2:15" ht="30" customHeight="1" x14ac:dyDescent="0.3">
      <c r="B151" s="5">
        <v>409665</v>
      </c>
      <c r="C151" s="6">
        <v>46231</v>
      </c>
      <c r="D151" s="7" t="s">
        <v>59</v>
      </c>
      <c r="E151" s="7"/>
      <c r="F151" s="7" t="s">
        <v>60</v>
      </c>
      <c r="G151" s="7" t="s">
        <v>47</v>
      </c>
      <c r="H151" s="7">
        <v>131.06200000000001</v>
      </c>
      <c r="I151" s="8">
        <v>22.89</v>
      </c>
      <c r="J151" s="9">
        <v>3000</v>
      </c>
      <c r="K151" s="17"/>
      <c r="M151" s="42"/>
      <c r="O151" s="21"/>
    </row>
    <row r="152" spans="2:15" ht="30" customHeight="1" x14ac:dyDescent="0.3">
      <c r="B152" s="5">
        <v>409651</v>
      </c>
      <c r="C152" s="6">
        <v>46231</v>
      </c>
      <c r="D152" s="7" t="s">
        <v>21</v>
      </c>
      <c r="E152" s="7"/>
      <c r="F152" s="7" t="s">
        <v>45</v>
      </c>
      <c r="G152" s="7" t="s">
        <v>119</v>
      </c>
      <c r="H152" s="7">
        <v>65.531000000000006</v>
      </c>
      <c r="I152" s="8">
        <v>22.89</v>
      </c>
      <c r="J152" s="9">
        <v>1500</v>
      </c>
      <c r="K152" s="17"/>
      <c r="M152" s="42"/>
      <c r="O152" s="21"/>
    </row>
    <row r="153" spans="2:15" ht="30" customHeight="1" x14ac:dyDescent="0.3">
      <c r="B153" s="5">
        <v>409662</v>
      </c>
      <c r="C153" s="6">
        <v>46231</v>
      </c>
      <c r="D153" s="7" t="s">
        <v>70</v>
      </c>
      <c r="E153" s="7"/>
      <c r="F153" s="7" t="s">
        <v>159</v>
      </c>
      <c r="G153" s="7" t="s">
        <v>106</v>
      </c>
      <c r="H153" s="7">
        <v>51.02</v>
      </c>
      <c r="I153" s="8">
        <v>22.89</v>
      </c>
      <c r="J153" s="9">
        <v>1167.6500000000001</v>
      </c>
      <c r="K153" s="17"/>
      <c r="M153" s="42"/>
      <c r="O153" s="21"/>
    </row>
    <row r="154" spans="2:15" ht="30" customHeight="1" x14ac:dyDescent="0.3">
      <c r="B154" s="5">
        <v>409610</v>
      </c>
      <c r="C154" s="6">
        <v>46231</v>
      </c>
      <c r="D154" s="7" t="s">
        <v>66</v>
      </c>
      <c r="E154" s="7"/>
      <c r="F154" s="7" t="s">
        <v>89</v>
      </c>
      <c r="G154" s="7" t="s">
        <v>135</v>
      </c>
      <c r="H154" s="7">
        <v>63.813000000000002</v>
      </c>
      <c r="I154" s="8">
        <v>22.89</v>
      </c>
      <c r="J154" s="9">
        <v>1460.68</v>
      </c>
      <c r="K154" s="17"/>
      <c r="M154" s="42"/>
      <c r="O154" s="21"/>
    </row>
    <row r="155" spans="2:15" ht="30" customHeight="1" x14ac:dyDescent="0.3">
      <c r="B155" s="5">
        <v>409666</v>
      </c>
      <c r="C155" s="6">
        <v>46231</v>
      </c>
      <c r="D155" s="7" t="s">
        <v>27</v>
      </c>
      <c r="E155" s="7"/>
      <c r="F155" s="7" t="s">
        <v>28</v>
      </c>
      <c r="G155" s="7" t="s">
        <v>62</v>
      </c>
      <c r="H155" s="7">
        <v>65.531000000000006</v>
      </c>
      <c r="I155" s="8">
        <v>22.89</v>
      </c>
      <c r="J155" s="9">
        <v>1500</v>
      </c>
      <c r="K155" s="17"/>
      <c r="M155" s="42"/>
      <c r="O155" s="21"/>
    </row>
    <row r="156" spans="2:15" ht="30" customHeight="1" x14ac:dyDescent="0.3">
      <c r="B156" s="5">
        <v>409681</v>
      </c>
      <c r="C156" s="6">
        <v>46231</v>
      </c>
      <c r="D156" s="7" t="s">
        <v>14</v>
      </c>
      <c r="E156" s="7"/>
      <c r="F156" s="7" t="s">
        <v>46</v>
      </c>
      <c r="G156" s="7" t="s">
        <v>151</v>
      </c>
      <c r="H156" s="7">
        <v>65.64</v>
      </c>
      <c r="I156" s="8">
        <v>22.89</v>
      </c>
      <c r="J156" s="9">
        <v>1502.5</v>
      </c>
      <c r="K156" s="17"/>
      <c r="M156" s="42"/>
      <c r="O156" s="21"/>
    </row>
    <row r="157" spans="2:15" ht="30" customHeight="1" x14ac:dyDescent="0.3">
      <c r="B157" s="5">
        <v>409739</v>
      </c>
      <c r="C157" s="6">
        <v>46231</v>
      </c>
      <c r="D157" s="7" t="s">
        <v>80</v>
      </c>
      <c r="E157" s="7"/>
      <c r="F157" s="7" t="s">
        <v>161</v>
      </c>
      <c r="G157" s="7" t="s">
        <v>138</v>
      </c>
      <c r="H157" s="7">
        <v>29.492000000000001</v>
      </c>
      <c r="I157" s="8">
        <v>22.89</v>
      </c>
      <c r="J157" s="9">
        <v>675.07</v>
      </c>
      <c r="K157" s="17">
        <f>SUM(J151:J157)</f>
        <v>10805.9</v>
      </c>
      <c r="M157" s="42"/>
      <c r="O157" s="21"/>
    </row>
    <row r="158" spans="2:15" ht="30" customHeight="1" x14ac:dyDescent="0.3">
      <c r="B158" s="5">
        <v>409879</v>
      </c>
      <c r="C158" s="6">
        <v>46232</v>
      </c>
      <c r="D158" s="7" t="s">
        <v>130</v>
      </c>
      <c r="E158" s="7"/>
      <c r="F158" s="7" t="s">
        <v>152</v>
      </c>
      <c r="G158" s="7" t="s">
        <v>141</v>
      </c>
      <c r="H158" s="7">
        <v>53.445</v>
      </c>
      <c r="I158" s="8">
        <v>22.89</v>
      </c>
      <c r="J158" s="9">
        <v>1223.3599999999999</v>
      </c>
      <c r="K158" s="17"/>
      <c r="M158" s="42"/>
      <c r="O158" s="21"/>
    </row>
    <row r="159" spans="2:15" ht="30" customHeight="1" x14ac:dyDescent="0.3">
      <c r="B159" s="5">
        <v>409772</v>
      </c>
      <c r="C159" s="6">
        <v>46232</v>
      </c>
      <c r="D159" s="7" t="s">
        <v>90</v>
      </c>
      <c r="E159" s="7"/>
      <c r="F159" s="7" t="s">
        <v>100</v>
      </c>
      <c r="G159" s="7" t="s">
        <v>132</v>
      </c>
      <c r="H159" s="7">
        <v>13.106</v>
      </c>
      <c r="I159" s="8">
        <v>22.89</v>
      </c>
      <c r="J159" s="9">
        <v>300</v>
      </c>
      <c r="K159" s="17"/>
      <c r="M159" s="42"/>
      <c r="O159" s="21"/>
    </row>
    <row r="160" spans="2:15" ht="30" customHeight="1" x14ac:dyDescent="0.3">
      <c r="B160" s="5">
        <v>409824</v>
      </c>
      <c r="C160" s="6">
        <v>46232</v>
      </c>
      <c r="D160" s="7" t="s">
        <v>79</v>
      </c>
      <c r="E160" s="7"/>
      <c r="F160" s="7" t="s">
        <v>24</v>
      </c>
      <c r="G160" s="7" t="s">
        <v>151</v>
      </c>
      <c r="H160" s="7">
        <v>51.780999999999999</v>
      </c>
      <c r="I160" s="8">
        <v>22.89</v>
      </c>
      <c r="J160" s="9">
        <v>1185.27</v>
      </c>
      <c r="K160" s="17">
        <f>SUM(J158:J160)</f>
        <v>2708.63</v>
      </c>
      <c r="M160" s="42"/>
      <c r="O160" s="21"/>
    </row>
    <row r="161" spans="2:15" ht="30" customHeight="1" x14ac:dyDescent="0.3">
      <c r="B161" s="5">
        <v>410084</v>
      </c>
      <c r="C161" s="6">
        <v>46233</v>
      </c>
      <c r="D161" s="7" t="s">
        <v>74</v>
      </c>
      <c r="E161" s="7"/>
      <c r="F161" s="7" t="s">
        <v>75</v>
      </c>
      <c r="G161" s="7" t="s">
        <v>49</v>
      </c>
      <c r="H161" s="7">
        <v>65.531000000000006</v>
      </c>
      <c r="I161" s="8">
        <v>22.89</v>
      </c>
      <c r="J161" s="9">
        <v>1500</v>
      </c>
      <c r="K161" s="17"/>
      <c r="M161" s="42"/>
      <c r="O161" s="21"/>
    </row>
    <row r="162" spans="2:15" ht="30" customHeight="1" x14ac:dyDescent="0.3">
      <c r="B162" s="5">
        <v>410057</v>
      </c>
      <c r="C162" s="6">
        <v>46233</v>
      </c>
      <c r="D162" s="7" t="s">
        <v>90</v>
      </c>
      <c r="E162" s="7"/>
      <c r="F162" s="7" t="s">
        <v>87</v>
      </c>
      <c r="G162" s="7" t="s">
        <v>62</v>
      </c>
      <c r="H162" s="7">
        <v>10</v>
      </c>
      <c r="I162" s="8">
        <v>22.89</v>
      </c>
      <c r="J162" s="9">
        <v>228.9</v>
      </c>
      <c r="K162" s="17"/>
      <c r="M162" s="42"/>
      <c r="O162" s="21"/>
    </row>
    <row r="163" spans="2:15" ht="30" customHeight="1" x14ac:dyDescent="0.3">
      <c r="B163" s="5">
        <v>410058</v>
      </c>
      <c r="C163" s="6">
        <v>46233</v>
      </c>
      <c r="D163" s="7" t="s">
        <v>86</v>
      </c>
      <c r="E163" s="7"/>
      <c r="F163" s="7" t="s">
        <v>87</v>
      </c>
      <c r="G163" s="7" t="s">
        <v>62</v>
      </c>
      <c r="H163" s="7">
        <v>43.697000000000003</v>
      </c>
      <c r="I163" s="8">
        <v>22.89</v>
      </c>
      <c r="J163" s="9">
        <v>1000.22</v>
      </c>
      <c r="K163" s="17"/>
      <c r="M163" s="42"/>
      <c r="O163" s="21"/>
    </row>
    <row r="164" spans="2:15" ht="30" customHeight="1" x14ac:dyDescent="0.3">
      <c r="B164" s="5">
        <v>410063</v>
      </c>
      <c r="C164" s="6">
        <v>46233</v>
      </c>
      <c r="D164" s="7" t="s">
        <v>14</v>
      </c>
      <c r="E164" s="7"/>
      <c r="F164" s="7" t="s">
        <v>46</v>
      </c>
      <c r="G164" s="7" t="s">
        <v>47</v>
      </c>
      <c r="H164" s="7">
        <v>35.277999999999999</v>
      </c>
      <c r="I164" s="8">
        <v>22.89</v>
      </c>
      <c r="J164" s="9">
        <v>807.51</v>
      </c>
      <c r="K164" s="17"/>
      <c r="M164" s="42"/>
      <c r="O164" s="21"/>
    </row>
    <row r="165" spans="2:15" ht="30" customHeight="1" x14ac:dyDescent="0.3">
      <c r="B165" s="5">
        <v>410078</v>
      </c>
      <c r="C165" s="6">
        <v>46233</v>
      </c>
      <c r="D165" s="7" t="s">
        <v>79</v>
      </c>
      <c r="E165" s="7"/>
      <c r="F165" s="7" t="s">
        <v>24</v>
      </c>
      <c r="G165" s="7" t="s">
        <v>151</v>
      </c>
      <c r="H165" s="7">
        <v>26.843</v>
      </c>
      <c r="I165" s="8">
        <v>22.89</v>
      </c>
      <c r="J165" s="9">
        <v>614.44000000000005</v>
      </c>
      <c r="K165" s="17"/>
      <c r="M165" s="42"/>
      <c r="O165" s="21"/>
    </row>
    <row r="166" spans="2:15" ht="30" customHeight="1" x14ac:dyDescent="0.3">
      <c r="B166" s="5">
        <v>410030</v>
      </c>
      <c r="C166" s="6">
        <v>46233</v>
      </c>
      <c r="D166" s="7" t="s">
        <v>103</v>
      </c>
      <c r="E166" s="7"/>
      <c r="F166" s="7" t="s">
        <v>63</v>
      </c>
      <c r="G166" s="7" t="s">
        <v>57</v>
      </c>
      <c r="H166" s="7">
        <v>65.022000000000006</v>
      </c>
      <c r="I166" s="8">
        <v>22.89</v>
      </c>
      <c r="J166" s="9">
        <v>1488.35</v>
      </c>
      <c r="K166" s="17"/>
      <c r="M166" s="42"/>
      <c r="O166" s="21"/>
    </row>
    <row r="167" spans="2:15" ht="30" customHeight="1" x14ac:dyDescent="0.3">
      <c r="B167" s="5">
        <v>410018</v>
      </c>
      <c r="C167" s="6">
        <v>46233</v>
      </c>
      <c r="D167" s="7" t="s">
        <v>99</v>
      </c>
      <c r="E167" s="7"/>
      <c r="F167" s="7" t="s">
        <v>147</v>
      </c>
      <c r="G167" s="7" t="s">
        <v>132</v>
      </c>
      <c r="H167" s="7">
        <v>43.686999999999998</v>
      </c>
      <c r="I167" s="8">
        <v>22.89</v>
      </c>
      <c r="J167" s="9">
        <v>1000</v>
      </c>
      <c r="K167" s="17"/>
      <c r="M167" s="42"/>
      <c r="O167" s="21"/>
    </row>
    <row r="168" spans="2:15" ht="30" customHeight="1" x14ac:dyDescent="0.3">
      <c r="B168" s="5">
        <v>410019</v>
      </c>
      <c r="C168" s="6">
        <v>46233</v>
      </c>
      <c r="D168" s="7" t="s">
        <v>31</v>
      </c>
      <c r="E168" s="7"/>
      <c r="F168" s="7" t="s">
        <v>64</v>
      </c>
      <c r="G168" s="7" t="s">
        <v>62</v>
      </c>
      <c r="H168" s="7">
        <v>43.686999999999998</v>
      </c>
      <c r="I168" s="8">
        <v>22.89</v>
      </c>
      <c r="J168" s="9">
        <v>1000</v>
      </c>
      <c r="K168" s="17"/>
      <c r="M168" s="42"/>
      <c r="O168" s="21"/>
    </row>
    <row r="169" spans="2:15" ht="30" customHeight="1" x14ac:dyDescent="0.3">
      <c r="B169" s="5">
        <v>410085</v>
      </c>
      <c r="C169" s="6">
        <v>46233</v>
      </c>
      <c r="D169" s="7" t="s">
        <v>146</v>
      </c>
      <c r="E169" s="7"/>
      <c r="F169" s="7" t="s">
        <v>100</v>
      </c>
      <c r="G169" s="7" t="s">
        <v>132</v>
      </c>
      <c r="H169" s="7">
        <v>52.564999999999998</v>
      </c>
      <c r="I169" s="8">
        <v>22.89</v>
      </c>
      <c r="J169" s="9">
        <v>1203.21</v>
      </c>
      <c r="K169" s="17">
        <f>SUM(J161:J169)</f>
        <v>8842.630000000001</v>
      </c>
      <c r="M169" s="42"/>
      <c r="O169" s="21"/>
    </row>
    <row r="170" spans="2:15" ht="30" customHeight="1" thickBot="1" x14ac:dyDescent="0.35">
      <c r="B170" s="5">
        <v>410092</v>
      </c>
      <c r="C170" s="6">
        <v>46234</v>
      </c>
      <c r="D170" s="7" t="s">
        <v>21</v>
      </c>
      <c r="E170" s="7"/>
      <c r="F170" s="7" t="s">
        <v>45</v>
      </c>
      <c r="G170" s="7" t="s">
        <v>119</v>
      </c>
      <c r="H170" s="7">
        <v>65.531000000000006</v>
      </c>
      <c r="I170" s="8">
        <v>22.89</v>
      </c>
      <c r="J170" s="9">
        <v>1500</v>
      </c>
      <c r="K170" s="17"/>
      <c r="M170" s="42"/>
      <c r="O170" s="21"/>
    </row>
    <row r="171" spans="2:15" ht="30" customHeight="1" thickBot="1" x14ac:dyDescent="0.35">
      <c r="B171" s="5">
        <v>412885</v>
      </c>
      <c r="C171" s="6">
        <v>46234</v>
      </c>
      <c r="D171" s="7" t="s">
        <v>59</v>
      </c>
      <c r="E171" s="7"/>
      <c r="F171" s="7" t="s">
        <v>60</v>
      </c>
      <c r="G171" s="7" t="s">
        <v>47</v>
      </c>
      <c r="H171" s="7">
        <v>21.844000000000001</v>
      </c>
      <c r="I171" s="8">
        <v>22.89</v>
      </c>
      <c r="J171" s="9">
        <v>500</v>
      </c>
      <c r="K171" s="17"/>
      <c r="M171" s="28" t="s">
        <v>164</v>
      </c>
      <c r="O171" s="21"/>
    </row>
    <row r="172" spans="2:15" ht="30" customHeight="1" thickBot="1" x14ac:dyDescent="0.35">
      <c r="B172" s="22">
        <v>412862</v>
      </c>
      <c r="C172" s="23">
        <v>46234</v>
      </c>
      <c r="D172" s="24" t="s">
        <v>15</v>
      </c>
      <c r="E172" s="24"/>
      <c r="F172" s="24" t="s">
        <v>48</v>
      </c>
      <c r="G172" s="24" t="s">
        <v>49</v>
      </c>
      <c r="H172" s="24">
        <v>21.844000000000001</v>
      </c>
      <c r="I172" s="25">
        <v>22.89</v>
      </c>
      <c r="J172" s="26">
        <v>500</v>
      </c>
      <c r="K172" s="17">
        <f>SUM(J170:J172)</f>
        <v>2500</v>
      </c>
      <c r="M172" s="27">
        <f>(K172+K169+K160+K157+K150)</f>
        <v>41469.300000000003</v>
      </c>
    </row>
    <row r="173" spans="2:15" ht="30" customHeight="1" thickBot="1" x14ac:dyDescent="0.35">
      <c r="B173" s="4"/>
      <c r="C173" s="4"/>
      <c r="D173" s="4"/>
      <c r="E173" s="4"/>
      <c r="F173" s="4"/>
      <c r="G173" s="4"/>
      <c r="H173" s="43" t="s">
        <v>10</v>
      </c>
      <c r="I173" s="44"/>
      <c r="J173" s="45">
        <f>SUM(J5:J172)</f>
        <v>186431.06</v>
      </c>
      <c r="K173" s="17"/>
    </row>
    <row r="174" spans="2:15" ht="30" customHeight="1" x14ac:dyDescent="0.3">
      <c r="B174" s="4" t="s">
        <v>11</v>
      </c>
      <c r="C174" s="13">
        <v>13197.87</v>
      </c>
      <c r="D174" s="4"/>
      <c r="E174" s="4"/>
      <c r="F174" s="4"/>
      <c r="G174" s="4"/>
      <c r="K174" s="17"/>
    </row>
    <row r="175" spans="2:15" ht="30" customHeight="1" thickBot="1" x14ac:dyDescent="0.35">
      <c r="B175" s="4" t="s">
        <v>12</v>
      </c>
      <c r="C175" s="13"/>
      <c r="D175" s="4"/>
      <c r="E175" s="4"/>
      <c r="F175" s="4"/>
      <c r="G175" s="4"/>
      <c r="H175" s="4"/>
      <c r="I175" s="4"/>
      <c r="J175" s="4"/>
      <c r="K175" s="17"/>
    </row>
    <row r="176" spans="2:15" ht="30" customHeight="1" thickBot="1" x14ac:dyDescent="0.35">
      <c r="B176" s="4" t="s">
        <v>12</v>
      </c>
      <c r="C176" s="13"/>
      <c r="D176" s="4"/>
      <c r="E176" s="4"/>
      <c r="F176" s="4"/>
      <c r="G176" s="4"/>
      <c r="H176" s="58" t="s">
        <v>13</v>
      </c>
      <c r="I176" s="59"/>
      <c r="J176" s="36">
        <f>J173-C184</f>
        <v>173233.19</v>
      </c>
      <c r="K176" s="17"/>
    </row>
    <row r="177" spans="2:11" ht="30" customHeight="1" x14ac:dyDescent="0.3">
      <c r="B177" s="4" t="s">
        <v>12</v>
      </c>
      <c r="C177" s="13"/>
      <c r="D177" s="4"/>
      <c r="E177" s="4"/>
      <c r="F177" s="4"/>
      <c r="G177" s="4"/>
      <c r="H177" s="4"/>
      <c r="I177" s="4"/>
      <c r="J177" s="4"/>
      <c r="K177" s="17"/>
    </row>
    <row r="178" spans="2:11" x14ac:dyDescent="0.3">
      <c r="B178" s="4" t="s">
        <v>12</v>
      </c>
      <c r="C178" s="13"/>
      <c r="D178" s="4"/>
      <c r="E178" s="4"/>
      <c r="F178" s="4"/>
      <c r="G178" s="4"/>
      <c r="H178" s="4"/>
      <c r="I178" s="4"/>
      <c r="J178" s="4"/>
      <c r="K178" s="17"/>
    </row>
    <row r="179" spans="2:11" x14ac:dyDescent="0.3">
      <c r="B179" s="4" t="s">
        <v>12</v>
      </c>
      <c r="C179" s="13"/>
      <c r="D179" s="4"/>
      <c r="E179" s="4"/>
      <c r="F179" s="4"/>
      <c r="G179" s="4"/>
      <c r="H179" s="4"/>
      <c r="I179" s="4"/>
      <c r="J179" s="14"/>
    </row>
    <row r="180" spans="2:11" x14ac:dyDescent="0.3">
      <c r="B180" s="4" t="s">
        <v>12</v>
      </c>
      <c r="C180" s="13"/>
      <c r="D180" s="4"/>
      <c r="E180" s="4"/>
      <c r="F180" s="4"/>
      <c r="G180" s="4"/>
      <c r="H180" s="4"/>
      <c r="I180" s="4"/>
      <c r="J180" s="14"/>
    </row>
    <row r="181" spans="2:11" x14ac:dyDescent="0.3">
      <c r="B181" s="4" t="s">
        <v>12</v>
      </c>
      <c r="C181" s="13"/>
      <c r="D181" s="4"/>
      <c r="E181" s="4"/>
      <c r="F181" s="4"/>
      <c r="G181" s="4"/>
      <c r="H181" s="4"/>
      <c r="I181" s="4"/>
      <c r="J181" s="14"/>
    </row>
    <row r="182" spans="2:11" x14ac:dyDescent="0.3">
      <c r="B182" s="4" t="s">
        <v>12</v>
      </c>
      <c r="C182" s="13"/>
      <c r="D182" s="4"/>
      <c r="E182" s="4"/>
      <c r="F182" s="4"/>
      <c r="G182" s="4"/>
      <c r="H182" s="4"/>
      <c r="I182" s="4"/>
      <c r="J182" s="14"/>
    </row>
    <row r="183" spans="2:11" x14ac:dyDescent="0.3">
      <c r="B183" s="4"/>
      <c r="C183" s="4"/>
      <c r="D183" s="4"/>
      <c r="E183" s="4"/>
      <c r="F183" s="4"/>
      <c r="G183" s="4"/>
      <c r="H183" s="4"/>
      <c r="I183" s="4"/>
      <c r="J183" s="4"/>
    </row>
    <row r="184" spans="2:11" x14ac:dyDescent="0.3">
      <c r="B184" s="4"/>
      <c r="C184" s="14">
        <f>SUM(C174:C183)</f>
        <v>13197.87</v>
      </c>
      <c r="D184" s="4"/>
      <c r="E184" s="4"/>
      <c r="F184" s="4"/>
      <c r="G184" s="4"/>
      <c r="H184" s="4"/>
      <c r="I184" s="4"/>
      <c r="J184" s="4"/>
    </row>
    <row r="185" spans="2:11" x14ac:dyDescent="0.3">
      <c r="B185" s="4"/>
      <c r="C185" s="4"/>
      <c r="D185" s="4"/>
      <c r="E185" s="4"/>
      <c r="F185" s="4"/>
      <c r="G185" s="4"/>
      <c r="H185" s="4"/>
      <c r="I185" s="4"/>
      <c r="J185" s="4"/>
    </row>
    <row r="186" spans="2:11" x14ac:dyDescent="0.3">
      <c r="B186" s="4"/>
      <c r="C186" s="4"/>
      <c r="D186" s="4"/>
      <c r="E186" s="4"/>
      <c r="F186" s="4"/>
      <c r="G186" s="4"/>
    </row>
    <row r="188" spans="2:11" x14ac:dyDescent="0.3">
      <c r="B188" s="4" t="s">
        <v>162</v>
      </c>
      <c r="C188" s="14">
        <v>16426.79</v>
      </c>
    </row>
    <row r="189" spans="2:11" x14ac:dyDescent="0.3">
      <c r="C189" s="14">
        <v>2413.5300000000002</v>
      </c>
    </row>
    <row r="190" spans="2:11" x14ac:dyDescent="0.3">
      <c r="C190" s="14">
        <v>37121.440000000002</v>
      </c>
    </row>
    <row r="191" spans="2:11" x14ac:dyDescent="0.3">
      <c r="B191" s="4" t="s">
        <v>163</v>
      </c>
      <c r="C191" s="14">
        <v>130469.5</v>
      </c>
    </row>
  </sheetData>
  <autoFilter ref="B4:J182" xr:uid="{91CA0CFB-1CE1-46C4-BC4D-ACE3246243A8}">
    <sortState xmlns:xlrd2="http://schemas.microsoft.com/office/spreadsheetml/2017/richdata2" ref="B5:J182">
      <sortCondition ref="C4:C44"/>
    </sortState>
  </autoFilter>
  <mergeCells count="4">
    <mergeCell ref="B1:J1"/>
    <mergeCell ref="B2:J2"/>
    <mergeCell ref="B3:J3"/>
    <mergeCell ref="H176:I176"/>
  </mergeCells>
  <printOptions horizontalCentered="1" verticalCentered="1"/>
  <pageMargins left="0.70866141732283472" right="0.70866141732283472" top="0.55118110236220474" bottom="0.55118110236220474" header="0.31496062992125984" footer="0.31496062992125984"/>
  <pageSetup scale="2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JUNIO 2026</vt:lpstr>
      <vt:lpstr>JULIO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Levet</dc:creator>
  <cp:lastModifiedBy>GRUPO TRUJANO 03</cp:lastModifiedBy>
  <cp:lastPrinted>2026-07-21T17:10:12Z</cp:lastPrinted>
  <dcterms:created xsi:type="dcterms:W3CDTF">2026-06-23T19:30:51Z</dcterms:created>
  <dcterms:modified xsi:type="dcterms:W3CDTF">2026-08-04T19:38:55Z</dcterms:modified>
</cp:coreProperties>
</file>