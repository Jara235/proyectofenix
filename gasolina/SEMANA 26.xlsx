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cdb0716c683fc/Documentos/CONCILIACIÓN COMBUSTIBLE/"/>
    </mc:Choice>
  </mc:AlternateContent>
  <xr:revisionPtr revIDLastSave="1" documentId="8_{CE4D42F7-1206-4F10-859B-DDB721495A35}" xr6:coauthVersionLast="47" xr6:coauthVersionMax="47" xr10:uidLastSave="{39E7B734-8B90-4E80-AA57-3BEF32941D14}"/>
  <bookViews>
    <workbookView xWindow="-108" yWindow="-108" windowWidth="23256" windowHeight="12456" xr2:uid="{A278BC1B-14E8-46F6-B887-5BE3C947255B}"/>
  </bookViews>
  <sheets>
    <sheet name="SEMANA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2" i="1" l="1"/>
  <c r="S73" i="1" s="1"/>
  <c r="Q72" i="1"/>
  <c r="Q73" i="1" s="1"/>
  <c r="O72" i="1"/>
  <c r="O73" i="1" s="1"/>
  <c r="M72" i="1"/>
  <c r="M73" i="1" s="1"/>
  <c r="K72" i="1"/>
  <c r="K73" i="1" s="1"/>
  <c r="I72" i="1"/>
  <c r="I73" i="1" s="1"/>
  <c r="G72" i="1"/>
  <c r="G73" i="1" s="1"/>
  <c r="V71" i="1"/>
  <c r="V70" i="1"/>
  <c r="V69" i="1"/>
  <c r="V68" i="1"/>
  <c r="U68" i="1" s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Z61" i="1"/>
  <c r="Z60" i="1"/>
  <c r="Z59" i="1"/>
  <c r="Z58" i="1"/>
  <c r="AF57" i="1"/>
  <c r="Z57" i="1"/>
  <c r="Z56" i="1"/>
  <c r="Z55" i="1"/>
  <c r="W48" i="1"/>
  <c r="V48" i="1"/>
  <c r="T48" i="1"/>
  <c r="S48" i="1"/>
  <c r="R48" i="1"/>
  <c r="Q48" i="1"/>
  <c r="P48" i="1"/>
  <c r="N48" i="1"/>
  <c r="M48" i="1"/>
  <c r="K48" i="1"/>
  <c r="J48" i="1"/>
  <c r="H48" i="1"/>
  <c r="AF45" i="1" s="1"/>
  <c r="G48" i="1"/>
  <c r="F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Y48" i="1" s="1"/>
  <c r="X35" i="1"/>
  <c r="W35" i="1"/>
  <c r="V35" i="1"/>
  <c r="U35" i="1"/>
  <c r="T35" i="1"/>
  <c r="S35" i="1"/>
  <c r="R35" i="1"/>
  <c r="AF10" i="1" s="1"/>
  <c r="Q35" i="1"/>
  <c r="P35" i="1"/>
  <c r="O35" i="1"/>
  <c r="N35" i="1"/>
  <c r="M35" i="1"/>
  <c r="L35" i="1"/>
  <c r="K35" i="1"/>
  <c r="J35" i="1"/>
  <c r="AF8" i="1" s="1"/>
  <c r="AD8" i="1" s="1"/>
  <c r="I35" i="1"/>
  <c r="H35" i="1"/>
  <c r="G35" i="1"/>
  <c r="F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AH7" i="1"/>
  <c r="Z7" i="1"/>
  <c r="Y7" i="1"/>
  <c r="Z6" i="1"/>
  <c r="Y6" i="1"/>
  <c r="Z5" i="1"/>
  <c r="Y5" i="1"/>
  <c r="Z4" i="1"/>
  <c r="Y4" i="1"/>
  <c r="AF59" i="1" l="1"/>
  <c r="Z62" i="1"/>
  <c r="Z35" i="1"/>
  <c r="Y36" i="1" s="1"/>
  <c r="AF58" i="1"/>
  <c r="Y35" i="1"/>
  <c r="AF9" i="1"/>
  <c r="AD9" i="1" s="1"/>
  <c r="Z48" i="1"/>
  <c r="AF44" i="1"/>
  <c r="V72" i="1"/>
  <c r="U69" i="1"/>
  <c r="U70" i="1" s="1"/>
  <c r="U71" i="1" s="1"/>
  <c r="U72" i="1" s="1"/>
  <c r="Z36" i="1"/>
  <c r="V73" i="1"/>
  <c r="U73" i="1" l="1"/>
</calcChain>
</file>

<file path=xl/sharedStrings.xml><?xml version="1.0" encoding="utf-8"?>
<sst xmlns="http://schemas.openxmlformats.org/spreadsheetml/2006/main" count="269" uniqueCount="135">
  <si>
    <t xml:space="preserve">J.D.J. EQUIPO Y CONSTRUCCIONES S.A. DE C.V. </t>
  </si>
  <si>
    <t>RESONSABLE</t>
  </si>
  <si>
    <t>CENTRO DE TRABAJO</t>
  </si>
  <si>
    <t>UNIDAD / EQUIPO</t>
  </si>
  <si>
    <t>PLACAS</t>
  </si>
  <si>
    <t xml:space="preserve">IMPORTE SEMANAL AUTORIZADO </t>
  </si>
  <si>
    <t>REMANENTE</t>
  </si>
  <si>
    <t>CONSUMO SEMANAL</t>
  </si>
  <si>
    <t>LEVET</t>
  </si>
  <si>
    <t>MOBILE</t>
  </si>
  <si>
    <t xml:space="preserve">SI VALE </t>
  </si>
  <si>
    <t>SI VALE</t>
  </si>
  <si>
    <t xml:space="preserve">ING.ARMANDO  COLIN       </t>
  </si>
  <si>
    <t xml:space="preserve">BACHEO TOLUCA </t>
  </si>
  <si>
    <t>CHEVROLET S10</t>
  </si>
  <si>
    <t>PAT8298</t>
  </si>
  <si>
    <t xml:space="preserve">EQUIPO MENOR </t>
  </si>
  <si>
    <t>ING. ANTONIO IBAÑEZ</t>
  </si>
  <si>
    <t xml:space="preserve">MAQUINARIA </t>
  </si>
  <si>
    <t>RAM 1200</t>
  </si>
  <si>
    <t>LHB188D</t>
  </si>
  <si>
    <t>CONCILIACIÓN J.D.J.GASOLINA DEL 22 AL 26 DE JUNIO 2026</t>
  </si>
  <si>
    <t>GASOLINERA</t>
  </si>
  <si>
    <t>LITROS</t>
  </si>
  <si>
    <t xml:space="preserve">COSTO UNITARIO </t>
  </si>
  <si>
    <t xml:space="preserve">TOTAL </t>
  </si>
  <si>
    <t>ALBERTO HERNANDEZ DE JESUS</t>
  </si>
  <si>
    <t>DODGE RAM 700</t>
  </si>
  <si>
    <t>NXP4918</t>
  </si>
  <si>
    <t>JUAN CARLOS NAZAR</t>
  </si>
  <si>
    <t>PCW9391</t>
  </si>
  <si>
    <t xml:space="preserve">EDGAR VELAZQUEZ ESQUIVEL </t>
  </si>
  <si>
    <t xml:space="preserve">ROBERTO CARLOS GARCÍA </t>
  </si>
  <si>
    <t xml:space="preserve">H. COLEGIO MILITAR </t>
  </si>
  <si>
    <t>CHANGAN ALSVIN</t>
  </si>
  <si>
    <t>LMH893A</t>
  </si>
  <si>
    <t>OSCAR ESTRADA LINARES</t>
  </si>
  <si>
    <t>EXPLANADA DAMIAN CARMONA</t>
  </si>
  <si>
    <t>NISSAN NP-300</t>
  </si>
  <si>
    <t>MAH844C</t>
  </si>
  <si>
    <t>DIEGO CARREOLA</t>
  </si>
  <si>
    <t>BACHEO TOLUCA Y C. VICENTE LOMBARDO</t>
  </si>
  <si>
    <t xml:space="preserve"> MITSUBISHI L1200</t>
  </si>
  <si>
    <t>NYZ829C</t>
  </si>
  <si>
    <r>
      <rPr>
        <b/>
        <sz val="11"/>
        <color theme="1"/>
        <rFont val="Aptos Narrow"/>
        <family val="2"/>
        <scheme val="minor"/>
      </rPr>
      <t>OBSERVACIONES</t>
    </r>
    <r>
      <rPr>
        <sz val="11"/>
        <color theme="1"/>
        <rFont val="Aptos Narrow"/>
        <family val="2"/>
        <scheme val="minor"/>
      </rPr>
      <t xml:space="preserve">:  </t>
    </r>
  </si>
  <si>
    <t>BACHEO TOLUCA</t>
  </si>
  <si>
    <t>TOMAS ARANDA PROSPERO</t>
  </si>
  <si>
    <t>DODGE RAM 4000 (3/2)</t>
  </si>
  <si>
    <t>LF05470</t>
  </si>
  <si>
    <t>JAVIER PEREZ DÍAZ</t>
  </si>
  <si>
    <t>OBRA MÉXICO TOLUCA</t>
  </si>
  <si>
    <t>MITSUBISHI 1200</t>
  </si>
  <si>
    <t>MHL758A</t>
  </si>
  <si>
    <t xml:space="preserve">ALEXIS SAMUEL RENDON DOMINGUEZ </t>
  </si>
  <si>
    <t>TOYOTA HIACE (URBAN)</t>
  </si>
  <si>
    <t>PBT1230</t>
  </si>
  <si>
    <t>CRISTIAN REYES GAMORA</t>
  </si>
  <si>
    <t>LH49730</t>
  </si>
  <si>
    <t>APOLINAR REYES BOLAINA</t>
  </si>
  <si>
    <t xml:space="preserve">LERMA TENANGO </t>
  </si>
  <si>
    <t>NYZ971C</t>
  </si>
  <si>
    <t xml:space="preserve">CORTADORA DE CONCRETO </t>
  </si>
  <si>
    <t>MOTOR AUXILIAR PETROLIZADORA</t>
  </si>
  <si>
    <t>MOTOR AUXILIAR PIPA DE AGUA</t>
  </si>
  <si>
    <t>LEONCIO MARTINEZ PASCACIO</t>
  </si>
  <si>
    <t>NYZ790C</t>
  </si>
  <si>
    <t>CARMELO ALVAREZ ANICETO</t>
  </si>
  <si>
    <t>LH49746</t>
  </si>
  <si>
    <t>DIEGO FERNANDEZ SANTIAGO</t>
  </si>
  <si>
    <t>PBT1229</t>
  </si>
  <si>
    <t>DAMIAN ANTONIO PUINI</t>
  </si>
  <si>
    <t>P. ASFALTO HUIXQUILUCAN</t>
  </si>
  <si>
    <t>FORD RANGER</t>
  </si>
  <si>
    <t>PCU7482</t>
  </si>
  <si>
    <t>LUIS VALDEZ</t>
  </si>
  <si>
    <t>CLEMENTE SANABRIA</t>
  </si>
  <si>
    <t xml:space="preserve">TRANSPORTES FLOTILLA </t>
  </si>
  <si>
    <t>LHB184D</t>
  </si>
  <si>
    <t>BRYAN GABRIEL CHAVEZ ALVAREZ</t>
  </si>
  <si>
    <t>CHEVROLET TORNADO</t>
  </si>
  <si>
    <t>NUZ948C</t>
  </si>
  <si>
    <t>MOTORES LOWBOY</t>
  </si>
  <si>
    <t>ROBERTO ORTEGA</t>
  </si>
  <si>
    <t>MNX601B</t>
  </si>
  <si>
    <t>SAMUEL ORTEGA SILVA</t>
  </si>
  <si>
    <t>MITSUBISHI L200</t>
  </si>
  <si>
    <t>NZT266B</t>
  </si>
  <si>
    <t>TOTALES</t>
  </si>
  <si>
    <t xml:space="preserve">TRITURADORA ROCA DURA SAN MIGUEL </t>
  </si>
  <si>
    <t>IMPORTE SEMANAL</t>
  </si>
  <si>
    <t>CARLOS REYES TRUJANO</t>
  </si>
  <si>
    <t>MINA TABERNILLAS</t>
  </si>
  <si>
    <t>TOYOTA TACOMA</t>
  </si>
  <si>
    <t>33K849</t>
  </si>
  <si>
    <t xml:space="preserve">LAZARO PINAL RIOS </t>
  </si>
  <si>
    <t>MHL757A</t>
  </si>
  <si>
    <t>ARMANDO COLIN MORENO</t>
  </si>
  <si>
    <t>CHEVORLET</t>
  </si>
  <si>
    <t>ABNER OSORIO BARTOLO</t>
  </si>
  <si>
    <t>MINA ZUMPAHUACAN</t>
  </si>
  <si>
    <t>NYZ828C</t>
  </si>
  <si>
    <t>ISAAC GONZALEZ GONZALEZ</t>
  </si>
  <si>
    <t>NYZ839C</t>
  </si>
  <si>
    <t>JESUS MARIN GARCIA</t>
  </si>
  <si>
    <t>MINA CUAJOMAC</t>
  </si>
  <si>
    <t>PCU8771</t>
  </si>
  <si>
    <t>J.D.J. EQUIPO Y CONSTRUCCIONES S.A. DE C.V.  (OTROS / DIESEL) SUMINISTRO : LEVET</t>
  </si>
  <si>
    <t>ENRIQUE COLIN</t>
  </si>
  <si>
    <t xml:space="preserve">SINDICATO COSUM TOLUCA </t>
  </si>
  <si>
    <t>HG6103D</t>
  </si>
  <si>
    <t>CONCILIACIÓN J.D.J.DIESEL DEL 22 AL 26 DE JUNIO 2026</t>
  </si>
  <si>
    <t>JORGE GARCIA</t>
  </si>
  <si>
    <t>MY7968B</t>
  </si>
  <si>
    <t>ARTURO HDZ</t>
  </si>
  <si>
    <t>LD57526</t>
  </si>
  <si>
    <t>SANTOS SOTERO</t>
  </si>
  <si>
    <t>NB1258D</t>
  </si>
  <si>
    <t>ALEJANDRO FLORES</t>
  </si>
  <si>
    <t>NR0950C</t>
  </si>
  <si>
    <t>JULIO CESAR</t>
  </si>
  <si>
    <t>LH16062</t>
  </si>
  <si>
    <t xml:space="preserve">DISEL - MOBILE HUIXQUILUCAN  J.D.J. EQUIPO Y CONSTRUCCIONES S.A. DE C.V.  </t>
  </si>
  <si>
    <t xml:space="preserve">CENTRO DE TRABAJO / FRENTE </t>
  </si>
  <si>
    <t>PRECIO</t>
  </si>
  <si>
    <t xml:space="preserve">LIRTROS TOTAL </t>
  </si>
  <si>
    <t xml:space="preserve">#FACTURA </t>
  </si>
  <si>
    <t xml:space="preserve">FRANCISCO JAVIER </t>
  </si>
  <si>
    <t>MÉXICO- TOLUCA</t>
  </si>
  <si>
    <t>A-10148</t>
  </si>
  <si>
    <t>A-10198</t>
  </si>
  <si>
    <t>A-10211</t>
  </si>
  <si>
    <t>LUIS</t>
  </si>
  <si>
    <t>PLANTA DE ASFALTO HUIXQUILUCAN</t>
  </si>
  <si>
    <t>DAYAN</t>
  </si>
  <si>
    <t xml:space="preserve">TANQUE MAQUINARIA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</si>
</sst>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4" fontId="2" fillId="3" borderId="4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" fillId="3" borderId="7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44" fontId="0" fillId="4" borderId="1" xfId="1" applyFont="1" applyFill="1" applyBorder="1"/>
    <xf numFmtId="44" fontId="0" fillId="4" borderId="1" xfId="0" applyNumberFormat="1" applyFill="1" applyBorder="1"/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3" fontId="0" fillId="0" borderId="0" xfId="0" applyNumberFormat="1"/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1" applyFont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4" fontId="2" fillId="7" borderId="1" xfId="1" applyFont="1" applyFill="1" applyBorder="1" applyAlignment="1">
      <alignment horizontal="center" vertical="center"/>
    </xf>
    <xf numFmtId="44" fontId="2" fillId="7" borderId="1" xfId="0" applyNumberFormat="1" applyFont="1" applyFill="1" applyBorder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44" fontId="0" fillId="8" borderId="1" xfId="1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/>
    <xf numFmtId="44" fontId="0" fillId="0" borderId="1" xfId="0" applyNumberFormat="1" applyBorder="1"/>
    <xf numFmtId="44" fontId="0" fillId="7" borderId="1" xfId="1" applyFont="1" applyFill="1" applyBorder="1"/>
    <xf numFmtId="44" fontId="2" fillId="7" borderId="1" xfId="1" applyFont="1" applyFill="1" applyBorder="1"/>
    <xf numFmtId="0" fontId="2" fillId="3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justify" vertical="center" wrapText="1"/>
    </xf>
    <xf numFmtId="44" fontId="7" fillId="0" borderId="1" xfId="1" applyFont="1" applyFill="1" applyBorder="1" applyAlignment="1">
      <alignment horizontal="justify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 wrapText="1"/>
    </xf>
    <xf numFmtId="6" fontId="0" fillId="9" borderId="1" xfId="0" applyNumberFormat="1" applyFill="1" applyBorder="1"/>
    <xf numFmtId="14" fontId="2" fillId="2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6" fontId="0" fillId="0" borderId="1" xfId="0" applyNumberFormat="1" applyBorder="1"/>
    <xf numFmtId="0" fontId="2" fillId="10" borderId="1" xfId="0" applyFont="1" applyFill="1" applyBorder="1"/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10" borderId="1" xfId="0" applyNumberFormat="1" applyFill="1" applyBorder="1"/>
    <xf numFmtId="0" fontId="0" fillId="10" borderId="1" xfId="0" applyFill="1" applyBorder="1"/>
  </cellXfs>
  <cellStyles count="3">
    <cellStyle name="Moneda" xfId="1" builtinId="4"/>
    <cellStyle name="Normal" xfId="0" builtinId="0"/>
    <cellStyle name="Normal 2" xfId="2" xr:uid="{9F2DDE31-FFE7-4AA0-BD19-1C38DCAC5208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E333-3864-469D-B8D3-7897675EFFF4}">
  <sheetPr>
    <pageSetUpPr fitToPage="1"/>
  </sheetPr>
  <dimension ref="A1:BA73"/>
  <sheetViews>
    <sheetView tabSelected="1" zoomScale="67" workbookViewId="0">
      <selection activeCell="C77" sqref="C77"/>
    </sheetView>
  </sheetViews>
  <sheetFormatPr baseColWidth="10" defaultRowHeight="14.4"/>
  <cols>
    <col min="1" max="1" width="3.6640625" style="43" customWidth="1"/>
    <col min="2" max="2" width="34.77734375" style="43" customWidth="1"/>
    <col min="3" max="3" width="36.88671875" style="43" customWidth="1"/>
    <col min="4" max="4" width="32.33203125" style="43" customWidth="1"/>
    <col min="5" max="5" width="19.77734375" style="43" customWidth="1"/>
    <col min="6" max="6" width="21.5546875" style="44" customWidth="1"/>
    <col min="7" max="7" width="13.6640625" customWidth="1"/>
    <col min="8" max="8" width="17" customWidth="1"/>
    <col min="10" max="10" width="14.21875" customWidth="1"/>
    <col min="13" max="13" width="14.5546875" customWidth="1"/>
    <col min="14" max="14" width="14.33203125" customWidth="1"/>
    <col min="15" max="15" width="14.5546875" customWidth="1"/>
    <col min="16" max="16" width="14.21875" customWidth="1"/>
    <col min="17" max="17" width="15.6640625" customWidth="1"/>
    <col min="18" max="18" width="14.88671875" customWidth="1"/>
    <col min="19" max="19" width="13.6640625" customWidth="1"/>
    <col min="20" max="20" width="14" customWidth="1"/>
    <col min="23" max="23" width="14.21875" customWidth="1"/>
    <col min="25" max="25" width="19.109375" bestFit="1" customWidth="1"/>
    <col min="26" max="26" width="13" customWidth="1"/>
    <col min="29" max="29" width="21.33203125" customWidth="1"/>
    <col min="31" max="31" width="21" customWidth="1"/>
    <col min="32" max="32" width="18.21875" customWidth="1"/>
  </cols>
  <sheetData>
    <row r="1" spans="1:47" ht="24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47" ht="28.8" customHeight="1">
      <c r="A2" s="3" t="s">
        <v>1</v>
      </c>
      <c r="B2" s="4"/>
      <c r="C2" s="5" t="s">
        <v>2</v>
      </c>
      <c r="D2" s="5" t="s">
        <v>3</v>
      </c>
      <c r="E2" s="5" t="s">
        <v>4</v>
      </c>
      <c r="F2" s="6" t="s">
        <v>5</v>
      </c>
      <c r="G2" s="7">
        <v>46195</v>
      </c>
      <c r="H2" s="7"/>
      <c r="I2" s="7"/>
      <c r="J2" s="7">
        <v>46196</v>
      </c>
      <c r="K2" s="7"/>
      <c r="L2" s="7"/>
      <c r="M2" s="7">
        <v>46197</v>
      </c>
      <c r="N2" s="7"/>
      <c r="O2" s="7"/>
      <c r="P2" s="7">
        <v>46198</v>
      </c>
      <c r="Q2" s="7"/>
      <c r="R2" s="7"/>
      <c r="S2" s="7">
        <v>46199</v>
      </c>
      <c r="T2" s="7"/>
      <c r="U2" s="7"/>
      <c r="V2" s="7">
        <v>46200</v>
      </c>
      <c r="W2" s="7"/>
      <c r="X2" s="7"/>
      <c r="Y2" s="7" t="s">
        <v>6</v>
      </c>
      <c r="Z2" s="8" t="s">
        <v>7</v>
      </c>
    </row>
    <row r="3" spans="1:47">
      <c r="A3" s="9"/>
      <c r="B3" s="10"/>
      <c r="C3" s="11"/>
      <c r="D3" s="11"/>
      <c r="E3" s="11"/>
      <c r="F3" s="12"/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11</v>
      </c>
      <c r="M3" s="13" t="s">
        <v>8</v>
      </c>
      <c r="N3" s="13" t="s">
        <v>9</v>
      </c>
      <c r="O3" s="13" t="s">
        <v>11</v>
      </c>
      <c r="P3" s="13" t="s">
        <v>8</v>
      </c>
      <c r="Q3" s="13" t="s">
        <v>9</v>
      </c>
      <c r="R3" s="13" t="s">
        <v>11</v>
      </c>
      <c r="S3" s="13" t="s">
        <v>8</v>
      </c>
      <c r="T3" s="13" t="s">
        <v>9</v>
      </c>
      <c r="U3" s="13" t="s">
        <v>10</v>
      </c>
      <c r="V3" s="13" t="s">
        <v>8</v>
      </c>
      <c r="W3" s="13" t="s">
        <v>9</v>
      </c>
      <c r="X3" s="13" t="s">
        <v>10</v>
      </c>
      <c r="Y3" s="7"/>
      <c r="Z3" s="8"/>
    </row>
    <row r="4" spans="1:47" s="20" customFormat="1">
      <c r="A4" s="14">
        <v>1</v>
      </c>
      <c r="B4" s="15" t="s">
        <v>12</v>
      </c>
      <c r="C4" s="15" t="s">
        <v>13</v>
      </c>
      <c r="D4" s="16" t="s">
        <v>14</v>
      </c>
      <c r="E4" s="16" t="s">
        <v>15</v>
      </c>
      <c r="F4" s="17">
        <v>1200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9">
        <f>F4-(G4+H4+J4+K4+M4+N4+P4+Q4+S4+T4+V4+W4+U4+O4+I4+L4+R4+X4)</f>
        <v>1200</v>
      </c>
      <c r="Z4" s="19">
        <f>SUM(G4:X4)</f>
        <v>0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20" customFormat="1">
      <c r="A5" s="14">
        <v>2</v>
      </c>
      <c r="B5" s="15"/>
      <c r="C5" s="15"/>
      <c r="D5" s="21" t="s">
        <v>16</v>
      </c>
      <c r="E5" s="21"/>
      <c r="F5" s="22">
        <v>500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9">
        <f t="shared" ref="Y5:Y22" si="0">F5-(G5+H5+J5+K5+M5+N5+P5+Q5+S5+T5+V5+W5+U5+O5+I5+L5+R5+X5)</f>
        <v>500</v>
      </c>
      <c r="Z5" s="19">
        <f>SUM(G5:X5)</f>
        <v>0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>
      <c r="A6" s="23">
        <v>3</v>
      </c>
      <c r="B6" s="24" t="s">
        <v>17</v>
      </c>
      <c r="C6" s="24" t="s">
        <v>18</v>
      </c>
      <c r="D6" s="25" t="s">
        <v>19</v>
      </c>
      <c r="E6" s="25" t="s">
        <v>20</v>
      </c>
      <c r="F6" s="26">
        <v>2500</v>
      </c>
      <c r="G6" s="27"/>
      <c r="H6" s="27"/>
      <c r="I6" s="27"/>
      <c r="J6" s="27">
        <v>1850.22</v>
      </c>
      <c r="K6" s="27"/>
      <c r="L6" s="27"/>
      <c r="M6" s="27"/>
      <c r="N6" s="27"/>
      <c r="O6" s="27"/>
      <c r="P6" s="27"/>
      <c r="Q6" s="27"/>
      <c r="R6" s="27">
        <v>2000</v>
      </c>
      <c r="S6" s="27"/>
      <c r="T6" s="27"/>
      <c r="U6" s="27"/>
      <c r="V6" s="27"/>
      <c r="W6" s="27"/>
      <c r="X6" s="27"/>
      <c r="Y6" s="19">
        <f t="shared" si="0"/>
        <v>-1350.2200000000003</v>
      </c>
      <c r="Z6" s="19">
        <f t="shared" ref="Z6:Z34" si="1">SUM(G6:X6)</f>
        <v>3850.2200000000003</v>
      </c>
      <c r="AC6" s="28" t="s">
        <v>21</v>
      </c>
      <c r="AD6" s="29"/>
      <c r="AE6" s="29"/>
      <c r="AF6" s="29"/>
      <c r="AH6" s="30"/>
    </row>
    <row r="7" spans="1:47">
      <c r="A7" s="23">
        <v>4</v>
      </c>
      <c r="B7" s="24"/>
      <c r="C7" s="24"/>
      <c r="D7" s="25" t="s">
        <v>16</v>
      </c>
      <c r="E7" s="25"/>
      <c r="F7" s="26">
        <v>500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>
        <v>300</v>
      </c>
      <c r="T7" s="27"/>
      <c r="U7" s="27"/>
      <c r="V7" s="27"/>
      <c r="W7" s="27"/>
      <c r="X7" s="27"/>
      <c r="Y7" s="19">
        <f t="shared" si="0"/>
        <v>200</v>
      </c>
      <c r="Z7" s="19">
        <f t="shared" si="1"/>
        <v>300</v>
      </c>
      <c r="AC7" s="31" t="s">
        <v>22</v>
      </c>
      <c r="AD7" s="31" t="s">
        <v>23</v>
      </c>
      <c r="AE7" s="31" t="s">
        <v>24</v>
      </c>
      <c r="AF7" s="31" t="s">
        <v>25</v>
      </c>
      <c r="AH7" s="30">
        <f>(AE22+AE23+AE24+AE25+AE26+AE27+AE28)</f>
        <v>0</v>
      </c>
    </row>
    <row r="8" spans="1:47">
      <c r="A8" s="23">
        <v>5</v>
      </c>
      <c r="B8" s="25" t="s">
        <v>26</v>
      </c>
      <c r="C8" s="25" t="s">
        <v>18</v>
      </c>
      <c r="D8" s="25" t="s">
        <v>27</v>
      </c>
      <c r="E8" s="25" t="s">
        <v>28</v>
      </c>
      <c r="F8" s="26">
        <v>2500</v>
      </c>
      <c r="G8" s="27"/>
      <c r="H8" s="27">
        <v>1000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19">
        <f t="shared" si="0"/>
        <v>1500</v>
      </c>
      <c r="Z8" s="19">
        <f t="shared" si="1"/>
        <v>1000</v>
      </c>
      <c r="AC8" s="32" t="s">
        <v>8</v>
      </c>
      <c r="AD8" s="33">
        <f>AF8/AE8</f>
        <v>1050.5329838357361</v>
      </c>
      <c r="AE8" s="34">
        <v>22.89</v>
      </c>
      <c r="AF8" s="35">
        <f>G35+J35+M35+P35+S35+V35</f>
        <v>24046.7</v>
      </c>
    </row>
    <row r="9" spans="1:47">
      <c r="A9" s="23">
        <v>6</v>
      </c>
      <c r="B9" s="25" t="s">
        <v>29</v>
      </c>
      <c r="C9" s="25" t="s">
        <v>18</v>
      </c>
      <c r="D9" s="25" t="s">
        <v>27</v>
      </c>
      <c r="E9" s="25" t="s">
        <v>30</v>
      </c>
      <c r="F9" s="26">
        <v>1500</v>
      </c>
      <c r="G9" s="27">
        <v>500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19">
        <f t="shared" si="0"/>
        <v>1000</v>
      </c>
      <c r="Z9" s="19">
        <f t="shared" si="1"/>
        <v>500</v>
      </c>
      <c r="AC9" s="32" t="s">
        <v>9</v>
      </c>
      <c r="AD9" s="33">
        <f>AF9/AE9</f>
        <v>502.40279598077763</v>
      </c>
      <c r="AE9" s="34">
        <v>22.89</v>
      </c>
      <c r="AF9" s="35">
        <f>H35+K35+N35+Q35+T35</f>
        <v>11500</v>
      </c>
    </row>
    <row r="10" spans="1:47">
      <c r="A10" s="23">
        <v>7</v>
      </c>
      <c r="B10" s="25" t="s">
        <v>31</v>
      </c>
      <c r="C10" s="25" t="s">
        <v>18</v>
      </c>
      <c r="D10" s="25"/>
      <c r="E10" s="25"/>
      <c r="F10" s="26">
        <v>1500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19">
        <f t="shared" si="0"/>
        <v>1500</v>
      </c>
      <c r="Z10" s="19">
        <f t="shared" si="1"/>
        <v>0</v>
      </c>
      <c r="AC10" s="32" t="s">
        <v>10</v>
      </c>
      <c r="AD10" s="34"/>
      <c r="AE10" s="34"/>
      <c r="AF10" s="35">
        <f>R35+U35+O35</f>
        <v>3500</v>
      </c>
    </row>
    <row r="11" spans="1:47" s="20" customFormat="1">
      <c r="A11" s="14">
        <v>8</v>
      </c>
      <c r="B11" s="21" t="s">
        <v>32</v>
      </c>
      <c r="C11" s="21" t="s">
        <v>33</v>
      </c>
      <c r="D11" s="21" t="s">
        <v>34</v>
      </c>
      <c r="E11" s="21" t="s">
        <v>35</v>
      </c>
      <c r="F11" s="22">
        <v>700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9">
        <f t="shared" si="0"/>
        <v>700</v>
      </c>
      <c r="Z11" s="19">
        <f t="shared" si="1"/>
        <v>0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7" s="20" customFormat="1">
      <c r="A12" s="14">
        <v>9</v>
      </c>
      <c r="B12" s="21" t="s">
        <v>36</v>
      </c>
      <c r="C12" s="21" t="s">
        <v>37</v>
      </c>
      <c r="D12" s="21" t="s">
        <v>38</v>
      </c>
      <c r="E12" s="21" t="s">
        <v>39</v>
      </c>
      <c r="F12" s="22">
        <v>1500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9">
        <f t="shared" si="0"/>
        <v>1500</v>
      </c>
      <c r="Z12" s="19">
        <f t="shared" si="1"/>
        <v>0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7">
      <c r="A13" s="23">
        <v>10</v>
      </c>
      <c r="B13" s="24" t="s">
        <v>40</v>
      </c>
      <c r="C13" s="25" t="s">
        <v>41</v>
      </c>
      <c r="D13" s="25" t="s">
        <v>42</v>
      </c>
      <c r="E13" s="25" t="s">
        <v>43</v>
      </c>
      <c r="F13" s="26">
        <v>1500</v>
      </c>
      <c r="G13" s="27"/>
      <c r="H13" s="27"/>
      <c r="I13" s="27"/>
      <c r="J13" s="27"/>
      <c r="K13" s="27"/>
      <c r="L13" s="27"/>
      <c r="M13" s="27">
        <v>1532.1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19">
        <f t="shared" si="0"/>
        <v>-32.099999999999909</v>
      </c>
      <c r="Z13" s="19">
        <f t="shared" si="1"/>
        <v>1532.1</v>
      </c>
      <c r="AC13" s="36" t="s">
        <v>44</v>
      </c>
      <c r="AD13" s="36"/>
      <c r="AE13" s="36"/>
      <c r="AF13" s="36"/>
    </row>
    <row r="14" spans="1:47">
      <c r="A14" s="23">
        <v>11</v>
      </c>
      <c r="B14" s="24"/>
      <c r="C14" s="25" t="s">
        <v>45</v>
      </c>
      <c r="D14" s="25" t="s">
        <v>16</v>
      </c>
      <c r="E14" s="25"/>
      <c r="F14" s="26">
        <v>500</v>
      </c>
      <c r="G14" s="27"/>
      <c r="H14" s="27"/>
      <c r="I14" s="27"/>
      <c r="J14" s="27"/>
      <c r="K14" s="27"/>
      <c r="L14" s="27"/>
      <c r="M14" s="27"/>
      <c r="N14" s="27"/>
      <c r="O14" s="27"/>
      <c r="P14" s="27">
        <v>500</v>
      </c>
      <c r="Q14" s="27"/>
      <c r="R14" s="27"/>
      <c r="S14" s="27"/>
      <c r="T14" s="27"/>
      <c r="U14" s="27"/>
      <c r="V14" s="27"/>
      <c r="W14" s="27"/>
      <c r="X14" s="27"/>
      <c r="Y14" s="19">
        <f t="shared" si="0"/>
        <v>0</v>
      </c>
      <c r="Z14" s="19">
        <f t="shared" si="1"/>
        <v>500</v>
      </c>
      <c r="AC14" s="36"/>
      <c r="AD14" s="36"/>
      <c r="AE14" s="36"/>
      <c r="AF14" s="36"/>
    </row>
    <row r="15" spans="1:47">
      <c r="A15" s="23">
        <v>12</v>
      </c>
      <c r="B15" s="25" t="s">
        <v>46</v>
      </c>
      <c r="C15" s="25" t="s">
        <v>41</v>
      </c>
      <c r="D15" s="25" t="s">
        <v>47</v>
      </c>
      <c r="E15" s="25" t="s">
        <v>48</v>
      </c>
      <c r="F15" s="26">
        <v>1500</v>
      </c>
      <c r="G15" s="27">
        <v>1500</v>
      </c>
      <c r="H15" s="27"/>
      <c r="I15" s="27"/>
      <c r="J15" s="27"/>
      <c r="K15" s="27"/>
      <c r="L15" s="27"/>
      <c r="M15" s="27">
        <v>1500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19">
        <f t="shared" si="0"/>
        <v>-1500</v>
      </c>
      <c r="Z15" s="19">
        <f t="shared" si="1"/>
        <v>3000</v>
      </c>
      <c r="AC15" s="36"/>
      <c r="AD15" s="36"/>
      <c r="AE15" s="36"/>
      <c r="AF15" s="36"/>
    </row>
    <row r="16" spans="1:47" s="20" customFormat="1">
      <c r="A16" s="14">
        <v>13</v>
      </c>
      <c r="B16" s="21" t="s">
        <v>49</v>
      </c>
      <c r="C16" s="21" t="s">
        <v>50</v>
      </c>
      <c r="D16" s="21" t="s">
        <v>51</v>
      </c>
      <c r="E16" s="21" t="s">
        <v>52</v>
      </c>
      <c r="F16" s="22">
        <v>2500</v>
      </c>
      <c r="G16" s="18"/>
      <c r="H16" s="18">
        <v>1500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9">
        <f t="shared" si="0"/>
        <v>1000</v>
      </c>
      <c r="Z16" s="19">
        <f t="shared" si="1"/>
        <v>1500</v>
      </c>
      <c r="AA16"/>
      <c r="AB16"/>
      <c r="AC16" s="36"/>
      <c r="AD16" s="36"/>
      <c r="AE16" s="36"/>
      <c r="AF16" s="3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53" s="20" customFormat="1">
      <c r="A17" s="14">
        <v>14</v>
      </c>
      <c r="B17" s="21" t="s">
        <v>53</v>
      </c>
      <c r="C17" s="21" t="s">
        <v>50</v>
      </c>
      <c r="D17" s="21" t="s">
        <v>54</v>
      </c>
      <c r="E17" s="21" t="s">
        <v>55</v>
      </c>
      <c r="F17" s="22">
        <v>2500</v>
      </c>
      <c r="G17" s="18"/>
      <c r="H17" s="18"/>
      <c r="I17" s="18"/>
      <c r="J17" s="18"/>
      <c r="K17" s="18"/>
      <c r="L17" s="18"/>
      <c r="M17" s="18"/>
      <c r="N17" s="18">
        <v>1500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9">
        <f t="shared" si="0"/>
        <v>1000</v>
      </c>
      <c r="Z17" s="19">
        <f t="shared" si="1"/>
        <v>1500</v>
      </c>
      <c r="AA17"/>
      <c r="AB17"/>
      <c r="AC17" s="36"/>
      <c r="AD17" s="36"/>
      <c r="AE17" s="36"/>
      <c r="AF17" s="36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 spans="1:53" s="20" customFormat="1">
      <c r="A18" s="14">
        <v>15</v>
      </c>
      <c r="B18" s="21" t="s">
        <v>56</v>
      </c>
      <c r="C18" s="21" t="s">
        <v>50</v>
      </c>
      <c r="D18" s="21" t="s">
        <v>47</v>
      </c>
      <c r="E18" s="21" t="s">
        <v>57</v>
      </c>
      <c r="F18" s="22">
        <v>4000</v>
      </c>
      <c r="G18" s="18"/>
      <c r="H18" s="18">
        <v>1500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9">
        <f t="shared" si="0"/>
        <v>2500</v>
      </c>
      <c r="Z18" s="19">
        <f t="shared" si="1"/>
        <v>1500</v>
      </c>
      <c r="AA18"/>
      <c r="AB18"/>
      <c r="AC18" s="36"/>
      <c r="AD18" s="36"/>
      <c r="AE18" s="36"/>
      <c r="AF18" s="36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 spans="1:53">
      <c r="A19" s="23">
        <v>16</v>
      </c>
      <c r="B19" s="24" t="s">
        <v>58</v>
      </c>
      <c r="C19" s="24" t="s">
        <v>59</v>
      </c>
      <c r="D19" s="25" t="s">
        <v>51</v>
      </c>
      <c r="E19" s="25" t="s">
        <v>60</v>
      </c>
      <c r="F19" s="26">
        <v>2500</v>
      </c>
      <c r="G19" s="27">
        <v>1473.84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19">
        <f t="shared" si="0"/>
        <v>1026.1600000000001</v>
      </c>
      <c r="Z19" s="19">
        <f t="shared" si="1"/>
        <v>1473.84</v>
      </c>
      <c r="AC19" s="36"/>
      <c r="AD19" s="36"/>
      <c r="AE19" s="36"/>
      <c r="AF19" s="36"/>
    </row>
    <row r="20" spans="1:53">
      <c r="A20" s="23">
        <v>17</v>
      </c>
      <c r="B20" s="24"/>
      <c r="C20" s="24"/>
      <c r="D20" s="25" t="s">
        <v>61</v>
      </c>
      <c r="E20" s="25"/>
      <c r="F20" s="37">
        <v>1000</v>
      </c>
      <c r="G20" s="27"/>
      <c r="H20" s="27"/>
      <c r="I20" s="27"/>
      <c r="J20" s="27">
        <v>1000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19">
        <f t="shared" si="0"/>
        <v>0</v>
      </c>
      <c r="Z20" s="19">
        <f t="shared" si="1"/>
        <v>1000</v>
      </c>
      <c r="AC20" s="36"/>
      <c r="AD20" s="36"/>
      <c r="AE20" s="36"/>
      <c r="AF20" s="36"/>
    </row>
    <row r="21" spans="1:53">
      <c r="A21" s="23">
        <v>18</v>
      </c>
      <c r="B21" s="24"/>
      <c r="C21" s="24"/>
      <c r="D21" s="25" t="s">
        <v>62</v>
      </c>
      <c r="E21" s="25"/>
      <c r="F21" s="3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19">
        <f t="shared" si="0"/>
        <v>0</v>
      </c>
      <c r="Z21" s="19">
        <f t="shared" si="1"/>
        <v>0</v>
      </c>
      <c r="AC21" s="36"/>
      <c r="AD21" s="36"/>
      <c r="AE21" s="36"/>
      <c r="AF21" s="36"/>
    </row>
    <row r="22" spans="1:53">
      <c r="A22" s="23">
        <v>19</v>
      </c>
      <c r="B22" s="24"/>
      <c r="C22" s="24"/>
      <c r="D22" s="25" t="s">
        <v>63</v>
      </c>
      <c r="E22" s="25"/>
      <c r="F22" s="3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19">
        <f t="shared" si="0"/>
        <v>0</v>
      </c>
      <c r="Z22" s="19">
        <f t="shared" si="1"/>
        <v>0</v>
      </c>
      <c r="AC22" s="36"/>
      <c r="AD22" s="36"/>
      <c r="AE22" s="36"/>
      <c r="AF22" s="36"/>
    </row>
    <row r="23" spans="1:53">
      <c r="A23" s="23">
        <v>20</v>
      </c>
      <c r="B23" s="25" t="s">
        <v>64</v>
      </c>
      <c r="C23" s="25" t="s">
        <v>59</v>
      </c>
      <c r="D23" s="25" t="s">
        <v>51</v>
      </c>
      <c r="E23" s="25" t="s">
        <v>65</v>
      </c>
      <c r="F23" s="26">
        <v>1500</v>
      </c>
      <c r="G23" s="27"/>
      <c r="H23" s="27"/>
      <c r="I23" s="27"/>
      <c r="J23" s="27"/>
      <c r="K23" s="27"/>
      <c r="L23" s="27"/>
      <c r="M23" s="27">
        <v>1500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19">
        <f>F23-(G23+H23+J23+K23+M23+N23+P23+Q23+S23+T23+V23+W23+O23+R23+U23+I23+L23+X23)</f>
        <v>0</v>
      </c>
      <c r="Z23" s="19">
        <f t="shared" si="1"/>
        <v>1500</v>
      </c>
      <c r="AC23" s="36"/>
      <c r="AD23" s="36"/>
      <c r="AE23" s="36"/>
      <c r="AF23" s="36"/>
    </row>
    <row r="24" spans="1:53">
      <c r="A24" s="23">
        <v>21</v>
      </c>
      <c r="B24" s="25" t="s">
        <v>66</v>
      </c>
      <c r="C24" s="25" t="s">
        <v>59</v>
      </c>
      <c r="D24" s="25" t="s">
        <v>47</v>
      </c>
      <c r="E24" s="25" t="s">
        <v>67</v>
      </c>
      <c r="F24" s="26">
        <v>3000</v>
      </c>
      <c r="G24" s="27"/>
      <c r="H24" s="27"/>
      <c r="I24" s="27"/>
      <c r="J24" s="27">
        <v>3000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19">
        <f t="shared" ref="Y24:Y34" si="2">F24-(G24+H24+J24+K24+M24+N24+P24+Q24+S24+T24+V24+W24+O24+R24+U24+I24+L24+X24)</f>
        <v>0</v>
      </c>
      <c r="Z24" s="19">
        <f t="shared" si="1"/>
        <v>3000</v>
      </c>
      <c r="AC24" s="36"/>
      <c r="AD24" s="36"/>
      <c r="AE24" s="36"/>
      <c r="AF24" s="36"/>
    </row>
    <row r="25" spans="1:53">
      <c r="A25" s="23">
        <v>22</v>
      </c>
      <c r="B25" s="25" t="s">
        <v>68</v>
      </c>
      <c r="C25" s="25" t="s">
        <v>59</v>
      </c>
      <c r="D25" s="25" t="s">
        <v>54</v>
      </c>
      <c r="E25" s="25" t="s">
        <v>69</v>
      </c>
      <c r="F25" s="26">
        <v>2500</v>
      </c>
      <c r="G25" s="27"/>
      <c r="H25" s="27"/>
      <c r="I25" s="27"/>
      <c r="J25" s="27">
        <v>1290.54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19">
        <f t="shared" si="2"/>
        <v>1209.46</v>
      </c>
      <c r="Z25" s="19">
        <f t="shared" si="1"/>
        <v>1290.54</v>
      </c>
      <c r="AC25" s="36"/>
      <c r="AD25" s="36"/>
      <c r="AE25" s="36"/>
      <c r="AF25" s="36"/>
    </row>
    <row r="26" spans="1:53" s="20" customFormat="1">
      <c r="A26" s="14">
        <v>23</v>
      </c>
      <c r="B26" s="21" t="s">
        <v>70</v>
      </c>
      <c r="C26" s="38" t="s">
        <v>71</v>
      </c>
      <c r="D26" s="21" t="s">
        <v>72</v>
      </c>
      <c r="E26" s="21" t="s">
        <v>73</v>
      </c>
      <c r="F26" s="22">
        <v>2500</v>
      </c>
      <c r="G26" s="18">
        <v>1000</v>
      </c>
      <c r="H26" s="18"/>
      <c r="I26" s="18"/>
      <c r="J26" s="18"/>
      <c r="K26" s="18"/>
      <c r="L26" s="18"/>
      <c r="M26" s="18"/>
      <c r="N26" s="18"/>
      <c r="O26" s="18"/>
      <c r="P26" s="18"/>
      <c r="Q26" s="18">
        <v>1500</v>
      </c>
      <c r="R26" s="18"/>
      <c r="S26" s="18"/>
      <c r="T26" s="18">
        <v>500</v>
      </c>
      <c r="U26" s="18"/>
      <c r="V26" s="18"/>
      <c r="W26" s="18"/>
      <c r="X26" s="18"/>
      <c r="Y26" s="19">
        <f t="shared" si="2"/>
        <v>-500</v>
      </c>
      <c r="Z26" s="19">
        <f t="shared" si="1"/>
        <v>3000</v>
      </c>
      <c r="AA26"/>
      <c r="AB26"/>
      <c r="AC26" s="36"/>
      <c r="AD26" s="36"/>
      <c r="AE26" s="36"/>
      <c r="AF26" s="3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:53" s="20" customFormat="1">
      <c r="A27" s="14">
        <v>24</v>
      </c>
      <c r="B27" s="21" t="s">
        <v>74</v>
      </c>
      <c r="C27" s="38"/>
      <c r="D27" s="21" t="s">
        <v>16</v>
      </c>
      <c r="E27" s="21"/>
      <c r="F27" s="22">
        <v>500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9">
        <f t="shared" si="2"/>
        <v>500</v>
      </c>
      <c r="Z27" s="19">
        <f t="shared" si="1"/>
        <v>0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3">
      <c r="A28" s="23">
        <v>25</v>
      </c>
      <c r="B28" s="25" t="s">
        <v>75</v>
      </c>
      <c r="C28" s="25" t="s">
        <v>76</v>
      </c>
      <c r="D28" s="25" t="s">
        <v>19</v>
      </c>
      <c r="E28" s="25" t="s">
        <v>77</v>
      </c>
      <c r="F28" s="26">
        <v>2500</v>
      </c>
      <c r="G28" s="27">
        <v>1000</v>
      </c>
      <c r="H28" s="27"/>
      <c r="I28" s="27"/>
      <c r="J28" s="27">
        <v>1400</v>
      </c>
      <c r="K28" s="27"/>
      <c r="L28" s="27"/>
      <c r="M28" s="27"/>
      <c r="N28" s="27"/>
      <c r="O28" s="27">
        <v>1500</v>
      </c>
      <c r="P28" s="27">
        <v>1300</v>
      </c>
      <c r="Q28" s="27"/>
      <c r="R28" s="27"/>
      <c r="S28" s="27"/>
      <c r="T28" s="27">
        <v>1000</v>
      </c>
      <c r="U28" s="27"/>
      <c r="V28" s="27"/>
      <c r="W28" s="27"/>
      <c r="X28" s="27"/>
      <c r="Y28" s="19">
        <f t="shared" si="2"/>
        <v>-3700</v>
      </c>
      <c r="Z28" s="19">
        <f t="shared" si="1"/>
        <v>6200</v>
      </c>
    </row>
    <row r="29" spans="1:53">
      <c r="A29" s="23">
        <v>26</v>
      </c>
      <c r="B29" s="24" t="s">
        <v>78</v>
      </c>
      <c r="C29" s="24" t="s">
        <v>76</v>
      </c>
      <c r="D29" s="25" t="s">
        <v>79</v>
      </c>
      <c r="E29" s="25" t="s">
        <v>80</v>
      </c>
      <c r="F29" s="26">
        <v>1000</v>
      </c>
      <c r="G29" s="27">
        <v>800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19">
        <f t="shared" si="2"/>
        <v>200</v>
      </c>
      <c r="Z29" s="19">
        <f t="shared" si="1"/>
        <v>800</v>
      </c>
    </row>
    <row r="30" spans="1:53">
      <c r="A30" s="23">
        <v>27</v>
      </c>
      <c r="B30" s="24"/>
      <c r="C30" s="24"/>
      <c r="D30" s="25" t="s">
        <v>81</v>
      </c>
      <c r="E30" s="25"/>
      <c r="F30" s="26">
        <v>500</v>
      </c>
      <c r="G30" s="27">
        <v>500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19">
        <f t="shared" si="2"/>
        <v>0</v>
      </c>
      <c r="Z30" s="19">
        <f t="shared" si="1"/>
        <v>500</v>
      </c>
    </row>
    <row r="31" spans="1:53">
      <c r="A31" s="23">
        <v>28</v>
      </c>
      <c r="B31" s="24"/>
      <c r="C31" s="24"/>
      <c r="D31" s="25" t="s">
        <v>81</v>
      </c>
      <c r="E31" s="25"/>
      <c r="F31" s="26">
        <v>500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19">
        <f t="shared" si="2"/>
        <v>500</v>
      </c>
      <c r="Z31" s="19">
        <f t="shared" si="1"/>
        <v>0</v>
      </c>
    </row>
    <row r="32" spans="1:53">
      <c r="A32" s="23">
        <v>29</v>
      </c>
      <c r="B32" s="24" t="s">
        <v>82</v>
      </c>
      <c r="C32" s="25"/>
      <c r="D32" s="25"/>
      <c r="E32" s="25" t="s">
        <v>83</v>
      </c>
      <c r="F32" s="26">
        <v>800</v>
      </c>
      <c r="G32" s="27">
        <v>800</v>
      </c>
      <c r="H32" s="27"/>
      <c r="I32" s="27"/>
      <c r="J32" s="27"/>
      <c r="K32" s="27"/>
      <c r="L32" s="27"/>
      <c r="M32" s="27"/>
      <c r="N32" s="27"/>
      <c r="O32" s="27"/>
      <c r="P32" s="27">
        <v>1000</v>
      </c>
      <c r="Q32" s="27"/>
      <c r="R32" s="27"/>
      <c r="S32" s="27"/>
      <c r="T32" s="27"/>
      <c r="U32" s="27"/>
      <c r="V32" s="27"/>
      <c r="W32" s="27"/>
      <c r="X32" s="27"/>
      <c r="Y32" s="19">
        <f t="shared" si="2"/>
        <v>-1000</v>
      </c>
      <c r="Z32" s="19">
        <f t="shared" si="1"/>
        <v>1800</v>
      </c>
    </row>
    <row r="33" spans="1:32">
      <c r="A33" s="23">
        <v>30</v>
      </c>
      <c r="B33" s="24"/>
      <c r="C33" s="25"/>
      <c r="D33" s="25" t="s">
        <v>16</v>
      </c>
      <c r="E33" s="25"/>
      <c r="F33" s="26"/>
      <c r="G33" s="27"/>
      <c r="H33" s="27"/>
      <c r="I33" s="27"/>
      <c r="J33" s="27"/>
      <c r="K33" s="27"/>
      <c r="L33" s="27"/>
      <c r="M33" s="27"/>
      <c r="N33" s="27"/>
      <c r="O33" s="27"/>
      <c r="P33" s="27">
        <v>300</v>
      </c>
      <c r="Q33" s="27"/>
      <c r="R33" s="27"/>
      <c r="S33" s="27"/>
      <c r="T33" s="27"/>
      <c r="U33" s="27"/>
      <c r="V33" s="27"/>
      <c r="W33" s="27"/>
      <c r="X33" s="27"/>
      <c r="Y33" s="19">
        <f t="shared" si="2"/>
        <v>-300</v>
      </c>
      <c r="Z33" s="19">
        <f t="shared" si="1"/>
        <v>300</v>
      </c>
    </row>
    <row r="34" spans="1:32">
      <c r="A34" s="23">
        <v>31</v>
      </c>
      <c r="B34" s="25" t="s">
        <v>84</v>
      </c>
      <c r="C34" s="25"/>
      <c r="D34" s="25" t="s">
        <v>85</v>
      </c>
      <c r="E34" s="25" t="s">
        <v>86</v>
      </c>
      <c r="F34" s="26">
        <v>3000</v>
      </c>
      <c r="G34" s="27"/>
      <c r="H34" s="27">
        <v>1000</v>
      </c>
      <c r="I34" s="27"/>
      <c r="J34" s="27"/>
      <c r="K34" s="27"/>
      <c r="L34" s="27"/>
      <c r="M34" s="27"/>
      <c r="N34" s="27">
        <v>1000</v>
      </c>
      <c r="O34" s="27"/>
      <c r="P34" s="27"/>
      <c r="Q34" s="27"/>
      <c r="R34" s="27"/>
      <c r="S34" s="27"/>
      <c r="T34" s="27">
        <v>1000</v>
      </c>
      <c r="U34" s="27"/>
      <c r="V34" s="27"/>
      <c r="W34" s="27"/>
      <c r="X34" s="27"/>
      <c r="Y34" s="19">
        <f t="shared" si="2"/>
        <v>0</v>
      </c>
      <c r="Z34" s="19">
        <f t="shared" si="1"/>
        <v>3000</v>
      </c>
    </row>
    <row r="35" spans="1:32">
      <c r="A35" s="39" t="s">
        <v>87</v>
      </c>
      <c r="B35" s="40"/>
      <c r="C35" s="40"/>
      <c r="D35" s="40"/>
      <c r="E35" s="40"/>
      <c r="F35" s="41">
        <f>SUM(F4:F34)</f>
        <v>46700</v>
      </c>
      <c r="G35" s="42">
        <f>SUM(G4:G34)</f>
        <v>7573.84</v>
      </c>
      <c r="H35" s="42">
        <f>SUM(H4:H34)</f>
        <v>5000</v>
      </c>
      <c r="I35" s="42">
        <f t="shared" ref="I35:X35" si="3">SUM(I4:I34)</f>
        <v>0</v>
      </c>
      <c r="J35" s="42">
        <f>SUM(J4:J34)</f>
        <v>8540.76</v>
      </c>
      <c r="K35" s="42">
        <f t="shared" si="3"/>
        <v>0</v>
      </c>
      <c r="L35" s="42">
        <f t="shared" si="3"/>
        <v>0</v>
      </c>
      <c r="M35" s="42">
        <f>SUM(M4:M34)</f>
        <v>4532.1000000000004</v>
      </c>
      <c r="N35" s="42">
        <f t="shared" si="3"/>
        <v>2500</v>
      </c>
      <c r="O35" s="42">
        <f t="shared" si="3"/>
        <v>1500</v>
      </c>
      <c r="P35" s="42">
        <f>SUM(P4:P34)</f>
        <v>3100</v>
      </c>
      <c r="Q35" s="42">
        <f t="shared" si="3"/>
        <v>1500</v>
      </c>
      <c r="R35" s="42">
        <f t="shared" si="3"/>
        <v>2000</v>
      </c>
      <c r="S35" s="42">
        <f>SUM(S4:S34)</f>
        <v>300</v>
      </c>
      <c r="T35" s="42">
        <f t="shared" si="3"/>
        <v>2500</v>
      </c>
      <c r="U35" s="42">
        <f t="shared" si="3"/>
        <v>0</v>
      </c>
      <c r="V35" s="42">
        <f t="shared" si="3"/>
        <v>0</v>
      </c>
      <c r="W35" s="42">
        <f t="shared" si="3"/>
        <v>0</v>
      </c>
      <c r="X35" s="42">
        <f t="shared" si="3"/>
        <v>0</v>
      </c>
      <c r="Y35" s="42">
        <f>SUM(Y4:Y34)</f>
        <v>7653.2999999999993</v>
      </c>
      <c r="Z35" s="42">
        <f>SUM(Z4:Z34)</f>
        <v>39046.699999999997</v>
      </c>
    </row>
    <row r="36" spans="1:32">
      <c r="Y36" s="45">
        <f>F35-Z35</f>
        <v>7653.3000000000029</v>
      </c>
      <c r="Z36" s="45">
        <f>G35+H35+J35+K35+M35+N35+O35+P35+Q35+R35+S35+T35+U35+V35+W35</f>
        <v>39046.699999999997</v>
      </c>
    </row>
    <row r="38" spans="1:32" ht="24.6">
      <c r="A38" s="46" t="s">
        <v>88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32" ht="28.8" customHeight="1">
      <c r="A39" s="48" t="s">
        <v>1</v>
      </c>
      <c r="B39" s="48"/>
      <c r="C39" s="48" t="s">
        <v>2</v>
      </c>
      <c r="D39" s="48" t="s">
        <v>3</v>
      </c>
      <c r="E39" s="48" t="s">
        <v>4</v>
      </c>
      <c r="F39" s="8" t="s">
        <v>89</v>
      </c>
      <c r="G39" s="49">
        <v>46195</v>
      </c>
      <c r="H39" s="50"/>
      <c r="I39" s="51"/>
      <c r="J39" s="49">
        <v>46196</v>
      </c>
      <c r="K39" s="50"/>
      <c r="L39" s="51"/>
      <c r="M39" s="49">
        <v>46197</v>
      </c>
      <c r="N39" s="50"/>
      <c r="O39" s="51"/>
      <c r="P39" s="7">
        <v>46198</v>
      </c>
      <c r="Q39" s="7"/>
      <c r="R39" s="7"/>
      <c r="S39" s="49">
        <v>46199</v>
      </c>
      <c r="T39" s="50"/>
      <c r="U39" s="51"/>
      <c r="V39" s="49">
        <v>46200</v>
      </c>
      <c r="W39" s="50"/>
      <c r="X39" s="51"/>
      <c r="Y39" s="52" t="s">
        <v>6</v>
      </c>
      <c r="Z39" s="6" t="s">
        <v>7</v>
      </c>
    </row>
    <row r="40" spans="1:32">
      <c r="A40" s="48"/>
      <c r="B40" s="48"/>
      <c r="C40" s="48"/>
      <c r="D40" s="48"/>
      <c r="E40" s="48"/>
      <c r="F40" s="8"/>
      <c r="G40" s="13" t="s">
        <v>8</v>
      </c>
      <c r="H40" s="13" t="s">
        <v>9</v>
      </c>
      <c r="I40" s="13" t="s">
        <v>11</v>
      </c>
      <c r="J40" s="13" t="s">
        <v>8</v>
      </c>
      <c r="K40" s="13" t="s">
        <v>9</v>
      </c>
      <c r="L40" s="13" t="s">
        <v>11</v>
      </c>
      <c r="M40" s="13" t="s">
        <v>8</v>
      </c>
      <c r="N40" s="13" t="s">
        <v>9</v>
      </c>
      <c r="O40" s="13" t="s">
        <v>11</v>
      </c>
      <c r="P40" s="13" t="s">
        <v>8</v>
      </c>
      <c r="Q40" s="13" t="s">
        <v>9</v>
      </c>
      <c r="R40" s="13" t="s">
        <v>11</v>
      </c>
      <c r="S40" s="13" t="s">
        <v>8</v>
      </c>
      <c r="T40" s="13" t="s">
        <v>9</v>
      </c>
      <c r="U40" s="13" t="s">
        <v>11</v>
      </c>
      <c r="V40" s="13" t="s">
        <v>8</v>
      </c>
      <c r="W40" s="13" t="s">
        <v>9</v>
      </c>
      <c r="X40" s="13" t="s">
        <v>11</v>
      </c>
      <c r="Y40" s="53"/>
      <c r="Z40" s="12"/>
    </row>
    <row r="41" spans="1:32">
      <c r="A41" s="23">
        <v>1</v>
      </c>
      <c r="B41" s="25" t="s">
        <v>90</v>
      </c>
      <c r="C41" s="25" t="s">
        <v>91</v>
      </c>
      <c r="D41" s="25" t="s">
        <v>92</v>
      </c>
      <c r="E41" s="25" t="s">
        <v>93</v>
      </c>
      <c r="F41" s="26">
        <v>2500</v>
      </c>
      <c r="G41" s="27"/>
      <c r="H41" s="27"/>
      <c r="I41" s="27"/>
      <c r="J41" s="27"/>
      <c r="K41" s="27"/>
      <c r="L41" s="27"/>
      <c r="M41" s="27">
        <v>2010.26</v>
      </c>
      <c r="N41" s="27"/>
      <c r="O41" s="27"/>
      <c r="P41" s="27"/>
      <c r="Q41" s="27"/>
      <c r="R41" s="27"/>
      <c r="S41" s="27">
        <v>386.67</v>
      </c>
      <c r="T41" s="27"/>
      <c r="U41" s="27"/>
      <c r="V41" s="27"/>
      <c r="W41" s="27"/>
      <c r="X41" s="27"/>
      <c r="Y41" s="27">
        <f>F41-(G41+H41+J41+K41+M41+N41+P41+Q41+R41+S41+T41+V41+W41)</f>
        <v>103.07000000000016</v>
      </c>
      <c r="Z41" s="27">
        <f>(G41+H41+J41+K41+M41+N41+P41+Q41+R41+S41+T41+V41+W41)</f>
        <v>2396.9299999999998</v>
      </c>
    </row>
    <row r="42" spans="1:32">
      <c r="A42" s="23">
        <v>2</v>
      </c>
      <c r="B42" s="25" t="s">
        <v>94</v>
      </c>
      <c r="C42" s="25" t="s">
        <v>91</v>
      </c>
      <c r="D42" s="25" t="s">
        <v>85</v>
      </c>
      <c r="E42" s="25" t="s">
        <v>95</v>
      </c>
      <c r="F42" s="26">
        <v>1500</v>
      </c>
      <c r="G42" s="27"/>
      <c r="H42" s="27"/>
      <c r="I42" s="27"/>
      <c r="J42" s="27">
        <v>1700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54">
        <f t="shared" ref="Y42:Y47" si="4">F42-(G42+H42+J42+K42+M42+N42+P42+Q42+R42+S42+T42+V42+W42)</f>
        <v>-200</v>
      </c>
      <c r="Z42" s="27">
        <f t="shared" ref="Z42:Z47" si="5">(G42+H42+J42+K42+M42+N42+P42+Q42+R42+S42+T42+V42+W42)</f>
        <v>1700</v>
      </c>
      <c r="AC42" s="28" t="s">
        <v>21</v>
      </c>
      <c r="AD42" s="29"/>
      <c r="AE42" s="29"/>
      <c r="AF42" s="29"/>
    </row>
    <row r="43" spans="1:32">
      <c r="A43" s="55">
        <v>3</v>
      </c>
      <c r="B43" s="24" t="s">
        <v>96</v>
      </c>
      <c r="C43" s="24" t="s">
        <v>91</v>
      </c>
      <c r="D43" s="25" t="s">
        <v>97</v>
      </c>
      <c r="E43" s="25" t="s">
        <v>15</v>
      </c>
      <c r="F43" s="26">
        <v>2000</v>
      </c>
      <c r="G43" s="27">
        <v>300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f t="shared" si="4"/>
        <v>1700</v>
      </c>
      <c r="Z43" s="27">
        <f t="shared" si="5"/>
        <v>300</v>
      </c>
      <c r="AC43" s="31" t="s">
        <v>22</v>
      </c>
      <c r="AD43" s="31" t="s">
        <v>23</v>
      </c>
      <c r="AE43" s="31" t="s">
        <v>24</v>
      </c>
      <c r="AF43" s="31" t="s">
        <v>25</v>
      </c>
    </row>
    <row r="44" spans="1:32">
      <c r="A44" s="56"/>
      <c r="B44" s="24"/>
      <c r="C44" s="24"/>
      <c r="D44" s="25" t="s">
        <v>16</v>
      </c>
      <c r="E44" s="25"/>
      <c r="F44" s="26"/>
      <c r="G44" s="27">
        <v>200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54">
        <f t="shared" si="4"/>
        <v>-200</v>
      </c>
      <c r="Z44" s="27">
        <f t="shared" si="5"/>
        <v>200</v>
      </c>
      <c r="AC44" s="32" t="s">
        <v>8</v>
      </c>
      <c r="AD44" s="57"/>
      <c r="AE44" s="57"/>
      <c r="AF44" s="58">
        <f>(G48+J48+M48+P48+S48+V48)</f>
        <v>4596.93</v>
      </c>
    </row>
    <row r="45" spans="1:32">
      <c r="A45" s="23">
        <v>4</v>
      </c>
      <c r="B45" s="25" t="s">
        <v>98</v>
      </c>
      <c r="C45" s="25" t="s">
        <v>99</v>
      </c>
      <c r="D45" s="25" t="s">
        <v>85</v>
      </c>
      <c r="E45" s="25" t="s">
        <v>100</v>
      </c>
      <c r="F45" s="26">
        <v>1500</v>
      </c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>
        <f t="shared" si="4"/>
        <v>1500</v>
      </c>
      <c r="Z45" s="27">
        <f t="shared" si="5"/>
        <v>0</v>
      </c>
      <c r="AC45" s="32" t="s">
        <v>9</v>
      </c>
      <c r="AD45" s="57"/>
      <c r="AE45" s="57"/>
      <c r="AF45" s="58">
        <f>H48+K48+N48+Q48+T48+W48</f>
        <v>0</v>
      </c>
    </row>
    <row r="46" spans="1:32">
      <c r="A46" s="23">
        <v>5</v>
      </c>
      <c r="B46" s="25" t="s">
        <v>101</v>
      </c>
      <c r="C46" s="25" t="s">
        <v>99</v>
      </c>
      <c r="D46" s="25" t="s">
        <v>85</v>
      </c>
      <c r="E46" s="25" t="s">
        <v>102</v>
      </c>
      <c r="F46" s="26">
        <v>1500</v>
      </c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>
        <f t="shared" si="4"/>
        <v>1500</v>
      </c>
      <c r="Z46" s="27">
        <f t="shared" si="5"/>
        <v>0</v>
      </c>
      <c r="AC46" s="32" t="s">
        <v>11</v>
      </c>
      <c r="AD46" s="57"/>
      <c r="AE46" s="57"/>
      <c r="AF46" s="57"/>
    </row>
    <row r="47" spans="1:32">
      <c r="A47" s="23">
        <v>6</v>
      </c>
      <c r="B47" s="25" t="s">
        <v>103</v>
      </c>
      <c r="C47" s="25" t="s">
        <v>104</v>
      </c>
      <c r="D47" s="25" t="s">
        <v>97</v>
      </c>
      <c r="E47" s="25" t="s">
        <v>105</v>
      </c>
      <c r="F47" s="26">
        <v>2000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f t="shared" si="4"/>
        <v>2000</v>
      </c>
      <c r="Z47" s="27">
        <f t="shared" si="5"/>
        <v>0</v>
      </c>
    </row>
    <row r="48" spans="1:32">
      <c r="A48" s="39" t="s">
        <v>87</v>
      </c>
      <c r="B48" s="40"/>
      <c r="C48" s="40"/>
      <c r="D48" s="40"/>
      <c r="E48" s="40"/>
      <c r="F48" s="41">
        <f>SUM(F41:F47)</f>
        <v>11000</v>
      </c>
      <c r="G48" s="59">
        <f>SUM(G41:G47)</f>
        <v>500</v>
      </c>
      <c r="H48" s="59">
        <f>SUM(H41:H47)</f>
        <v>0</v>
      </c>
      <c r="I48" s="59"/>
      <c r="J48" s="59">
        <f t="shared" ref="J48:Z48" si="6">SUM(J41:J47)</f>
        <v>1700</v>
      </c>
      <c r="K48" s="59">
        <f t="shared" si="6"/>
        <v>0</v>
      </c>
      <c r="L48" s="59"/>
      <c r="M48" s="59">
        <f t="shared" si="6"/>
        <v>2010.26</v>
      </c>
      <c r="N48" s="59">
        <f t="shared" si="6"/>
        <v>0</v>
      </c>
      <c r="O48" s="59"/>
      <c r="P48" s="59">
        <f t="shared" si="6"/>
        <v>0</v>
      </c>
      <c r="Q48" s="59">
        <f t="shared" si="6"/>
        <v>0</v>
      </c>
      <c r="R48" s="59">
        <f t="shared" si="6"/>
        <v>0</v>
      </c>
      <c r="S48" s="59">
        <f t="shared" si="6"/>
        <v>386.67</v>
      </c>
      <c r="T48" s="59">
        <f t="shared" si="6"/>
        <v>0</v>
      </c>
      <c r="U48" s="59"/>
      <c r="V48" s="59">
        <f t="shared" si="6"/>
        <v>0</v>
      </c>
      <c r="W48" s="59">
        <f t="shared" si="6"/>
        <v>0</v>
      </c>
      <c r="X48" s="59"/>
      <c r="Y48" s="60">
        <f t="shared" si="6"/>
        <v>6403.07</v>
      </c>
      <c r="Z48" s="60">
        <f t="shared" si="6"/>
        <v>4596.93</v>
      </c>
    </row>
    <row r="52" spans="1:32" ht="24.6">
      <c r="A52" s="46" t="s">
        <v>106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32" ht="28.8" customHeight="1">
      <c r="A53" s="48" t="s">
        <v>1</v>
      </c>
      <c r="B53" s="48"/>
      <c r="C53" s="48" t="s">
        <v>2</v>
      </c>
      <c r="D53" s="48" t="s">
        <v>3</v>
      </c>
      <c r="E53" s="61" t="s">
        <v>4</v>
      </c>
      <c r="F53" s="8" t="s">
        <v>89</v>
      </c>
      <c r="G53" s="7">
        <v>46195</v>
      </c>
      <c r="H53" s="7"/>
      <c r="I53" s="7"/>
      <c r="J53" s="7">
        <v>46196</v>
      </c>
      <c r="K53" s="7"/>
      <c r="L53" s="7"/>
      <c r="M53" s="7">
        <v>46197</v>
      </c>
      <c r="N53" s="7"/>
      <c r="O53" s="7"/>
      <c r="P53" s="7">
        <v>46198</v>
      </c>
      <c r="Q53" s="7"/>
      <c r="R53" s="7"/>
      <c r="S53" s="7">
        <v>46199</v>
      </c>
      <c r="T53" s="7"/>
      <c r="U53" s="7"/>
      <c r="V53" s="7">
        <v>46200</v>
      </c>
      <c r="W53" s="7"/>
      <c r="X53" s="7"/>
      <c r="Y53" s="52" t="s">
        <v>6</v>
      </c>
      <c r="Z53" s="6" t="s">
        <v>7</v>
      </c>
    </row>
    <row r="54" spans="1:32">
      <c r="A54" s="48"/>
      <c r="B54" s="48"/>
      <c r="C54" s="48"/>
      <c r="D54" s="48"/>
      <c r="E54" s="61"/>
      <c r="F54" s="8"/>
      <c r="G54" s="13" t="s">
        <v>8</v>
      </c>
      <c r="H54" s="13" t="s">
        <v>9</v>
      </c>
      <c r="I54" s="13" t="s">
        <v>11</v>
      </c>
      <c r="J54" s="13" t="s">
        <v>8</v>
      </c>
      <c r="K54" s="13" t="s">
        <v>9</v>
      </c>
      <c r="L54" s="13" t="s">
        <v>11</v>
      </c>
      <c r="M54" s="13" t="s">
        <v>8</v>
      </c>
      <c r="N54" s="13" t="s">
        <v>9</v>
      </c>
      <c r="O54" s="13" t="s">
        <v>11</v>
      </c>
      <c r="P54" s="13" t="s">
        <v>8</v>
      </c>
      <c r="Q54" s="13" t="s">
        <v>9</v>
      </c>
      <c r="R54" s="13" t="s">
        <v>11</v>
      </c>
      <c r="S54" s="13" t="s">
        <v>8</v>
      </c>
      <c r="T54" s="13" t="s">
        <v>9</v>
      </c>
      <c r="U54" s="13" t="s">
        <v>11</v>
      </c>
      <c r="V54" s="13" t="s">
        <v>8</v>
      </c>
      <c r="W54" s="13" t="s">
        <v>9</v>
      </c>
      <c r="X54" s="13" t="s">
        <v>11</v>
      </c>
      <c r="Y54" s="53"/>
      <c r="Z54" s="12"/>
    </row>
    <row r="55" spans="1:32">
      <c r="A55" s="23">
        <v>1</v>
      </c>
      <c r="B55" s="62" t="s">
        <v>107</v>
      </c>
      <c r="C55" s="63" t="s">
        <v>108</v>
      </c>
      <c r="D55" s="25"/>
      <c r="E55" s="64" t="s">
        <v>109</v>
      </c>
      <c r="F55" s="26"/>
      <c r="G55" s="57"/>
      <c r="H55" s="57"/>
      <c r="I55" s="57"/>
      <c r="J55" s="57"/>
      <c r="K55" s="57"/>
      <c r="L55" s="57"/>
      <c r="M55" s="65">
        <v>8910.9699999999993</v>
      </c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27">
        <f>SUM(G55:Y55)</f>
        <v>8910.9699999999993</v>
      </c>
      <c r="AC55" s="66" t="s">
        <v>110</v>
      </c>
      <c r="AD55" s="67"/>
      <c r="AE55" s="67"/>
      <c r="AF55" s="67"/>
    </row>
    <row r="56" spans="1:32">
      <c r="A56" s="23">
        <v>2</v>
      </c>
      <c r="B56" s="62" t="s">
        <v>111</v>
      </c>
      <c r="C56" s="63"/>
      <c r="D56" s="25"/>
      <c r="E56" s="64" t="s">
        <v>112</v>
      </c>
      <c r="F56" s="26"/>
      <c r="G56" s="57"/>
      <c r="H56" s="57"/>
      <c r="I56" s="57"/>
      <c r="J56" s="57"/>
      <c r="K56" s="57"/>
      <c r="L56" s="57"/>
      <c r="M56" s="65">
        <v>9990</v>
      </c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27">
        <f t="shared" ref="Z56:Z61" si="7">SUM(G56:Y56)</f>
        <v>9990</v>
      </c>
      <c r="AC56" s="31" t="s">
        <v>22</v>
      </c>
      <c r="AD56" s="31" t="s">
        <v>23</v>
      </c>
      <c r="AE56" s="31" t="s">
        <v>24</v>
      </c>
      <c r="AF56" s="31" t="s">
        <v>25</v>
      </c>
    </row>
    <row r="57" spans="1:32">
      <c r="A57" s="23">
        <v>3</v>
      </c>
      <c r="B57" s="62" t="s">
        <v>113</v>
      </c>
      <c r="C57" s="63"/>
      <c r="D57" s="25"/>
      <c r="E57" s="64" t="s">
        <v>114</v>
      </c>
      <c r="F57" s="26"/>
      <c r="G57" s="57"/>
      <c r="H57" s="57"/>
      <c r="I57" s="57"/>
      <c r="J57" s="57"/>
      <c r="K57" s="57"/>
      <c r="L57" s="57"/>
      <c r="M57" s="65">
        <v>3510</v>
      </c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27">
        <f t="shared" si="7"/>
        <v>3510</v>
      </c>
      <c r="AC57" s="25" t="s">
        <v>8</v>
      </c>
      <c r="AD57" s="25"/>
      <c r="AE57" s="25"/>
      <c r="AF57" s="68">
        <f>(G62+J62+M62+P62+S62+V62)</f>
        <v>55459.08</v>
      </c>
    </row>
    <row r="58" spans="1:32">
      <c r="A58" s="23">
        <v>4</v>
      </c>
      <c r="B58" s="62" t="s">
        <v>113</v>
      </c>
      <c r="C58" s="63"/>
      <c r="D58" s="25"/>
      <c r="E58" s="64" t="s">
        <v>114</v>
      </c>
      <c r="F58" s="26"/>
      <c r="G58" s="57"/>
      <c r="H58" s="57"/>
      <c r="I58" s="57"/>
      <c r="J58" s="57"/>
      <c r="K58" s="57"/>
      <c r="L58" s="57"/>
      <c r="M58" s="65">
        <v>9990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27">
        <f t="shared" si="7"/>
        <v>9990</v>
      </c>
      <c r="AC58" s="25" t="s">
        <v>9</v>
      </c>
      <c r="AD58" s="25"/>
      <c r="AE58" s="25"/>
      <c r="AF58" s="25">
        <f>(H62+K62+N62+Q62+T62+W62)</f>
        <v>0</v>
      </c>
    </row>
    <row r="59" spans="1:32">
      <c r="A59" s="23">
        <v>5</v>
      </c>
      <c r="B59" s="62" t="s">
        <v>115</v>
      </c>
      <c r="C59" s="63"/>
      <c r="D59" s="25"/>
      <c r="E59" s="64" t="s">
        <v>116</v>
      </c>
      <c r="F59" s="26"/>
      <c r="G59" s="57"/>
      <c r="H59" s="57"/>
      <c r="I59" s="57"/>
      <c r="J59" s="57"/>
      <c r="K59" s="57"/>
      <c r="L59" s="57"/>
      <c r="M59" s="65">
        <v>8100.11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27">
        <f t="shared" si="7"/>
        <v>8100.11</v>
      </c>
      <c r="AC59" s="25" t="s">
        <v>10</v>
      </c>
      <c r="AD59" s="25"/>
      <c r="AE59" s="25"/>
      <c r="AF59" s="25">
        <f>(I62+L62+O62+R62+U62+X62)</f>
        <v>0</v>
      </c>
    </row>
    <row r="60" spans="1:32">
      <c r="A60" s="23">
        <v>6</v>
      </c>
      <c r="B60" s="62" t="s">
        <v>117</v>
      </c>
      <c r="C60" s="63"/>
      <c r="D60" s="25"/>
      <c r="E60" s="64" t="s">
        <v>118</v>
      </c>
      <c r="F60" s="26"/>
      <c r="G60" s="57"/>
      <c r="H60" s="57"/>
      <c r="I60" s="57"/>
      <c r="J60" s="57"/>
      <c r="K60" s="57"/>
      <c r="L60" s="57"/>
      <c r="M60" s="65">
        <v>6858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27">
        <f t="shared" si="7"/>
        <v>6858</v>
      </c>
    </row>
    <row r="61" spans="1:32">
      <c r="A61" s="23">
        <v>7</v>
      </c>
      <c r="B61" s="62" t="s">
        <v>119</v>
      </c>
      <c r="C61" s="63"/>
      <c r="D61" s="25"/>
      <c r="E61" s="64" t="s">
        <v>120</v>
      </c>
      <c r="F61" s="26"/>
      <c r="G61" s="57"/>
      <c r="H61" s="57"/>
      <c r="I61" s="57"/>
      <c r="J61" s="57"/>
      <c r="K61" s="57"/>
      <c r="L61" s="57"/>
      <c r="M61" s="65">
        <v>8100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7">
        <f t="shared" si="7"/>
        <v>8100</v>
      </c>
    </row>
    <row r="62" spans="1:32">
      <c r="A62" s="39" t="s">
        <v>87</v>
      </c>
      <c r="B62" s="40"/>
      <c r="C62" s="40"/>
      <c r="D62" s="40"/>
      <c r="E62" s="40"/>
      <c r="F62" s="69"/>
      <c r="G62" s="57">
        <f>SUM(G55:G61)</f>
        <v>0</v>
      </c>
      <c r="H62" s="57">
        <f>SUM(H55:H61)</f>
        <v>0</v>
      </c>
      <c r="I62" s="57">
        <f>SUM(I55:I61)</f>
        <v>0</v>
      </c>
      <c r="J62" s="57">
        <f t="shared" ref="J62:Z62" si="8">SUM(J55:J61)</f>
        <v>0</v>
      </c>
      <c r="K62" s="57">
        <f t="shared" si="8"/>
        <v>0</v>
      </c>
      <c r="L62" s="57">
        <f t="shared" si="8"/>
        <v>0</v>
      </c>
      <c r="M62" s="27">
        <f t="shared" si="8"/>
        <v>55459.08</v>
      </c>
      <c r="N62" s="57">
        <f t="shared" si="8"/>
        <v>0</v>
      </c>
      <c r="O62" s="57">
        <f t="shared" si="8"/>
        <v>0</v>
      </c>
      <c r="P62" s="57">
        <f t="shared" si="8"/>
        <v>0</v>
      </c>
      <c r="Q62" s="57">
        <f t="shared" si="8"/>
        <v>0</v>
      </c>
      <c r="R62" s="57">
        <f t="shared" si="8"/>
        <v>0</v>
      </c>
      <c r="S62" s="57">
        <f t="shared" si="8"/>
        <v>0</v>
      </c>
      <c r="T62" s="57">
        <f t="shared" si="8"/>
        <v>0</v>
      </c>
      <c r="U62" s="57">
        <f t="shared" si="8"/>
        <v>0</v>
      </c>
      <c r="V62" s="57">
        <f t="shared" si="8"/>
        <v>0</v>
      </c>
      <c r="W62" s="57">
        <f t="shared" si="8"/>
        <v>0</v>
      </c>
      <c r="X62" s="57">
        <f t="shared" si="8"/>
        <v>0</v>
      </c>
      <c r="Y62" s="57">
        <f t="shared" si="8"/>
        <v>0</v>
      </c>
      <c r="Z62" s="27">
        <f t="shared" si="8"/>
        <v>55459.08</v>
      </c>
    </row>
    <row r="65" spans="1:23" ht="24.6">
      <c r="A65" s="70" t="s">
        <v>121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</row>
    <row r="66" spans="1:23" ht="14.4" customHeight="1">
      <c r="A66" s="48" t="s">
        <v>1</v>
      </c>
      <c r="B66" s="48"/>
      <c r="C66" s="48" t="s">
        <v>122</v>
      </c>
      <c r="D66" s="48" t="s">
        <v>3</v>
      </c>
      <c r="E66" s="48" t="s">
        <v>4</v>
      </c>
      <c r="F66" s="8" t="s">
        <v>89</v>
      </c>
      <c r="G66" s="7">
        <v>46195</v>
      </c>
      <c r="H66" s="7"/>
      <c r="I66" s="7">
        <v>46196</v>
      </c>
      <c r="J66" s="7"/>
      <c r="K66" s="7">
        <v>46197</v>
      </c>
      <c r="L66" s="7"/>
      <c r="M66" s="7">
        <v>46198</v>
      </c>
      <c r="N66" s="7"/>
      <c r="O66" s="7">
        <v>46199</v>
      </c>
      <c r="P66" s="7"/>
      <c r="Q66" s="7">
        <v>46200</v>
      </c>
      <c r="R66" s="7"/>
      <c r="S66" s="7">
        <v>46201</v>
      </c>
      <c r="T66" s="7"/>
      <c r="U66" s="13" t="s">
        <v>123</v>
      </c>
      <c r="V66" s="72" t="s">
        <v>124</v>
      </c>
      <c r="W66" s="72"/>
    </row>
    <row r="67" spans="1:23">
      <c r="A67" s="48"/>
      <c r="B67" s="48"/>
      <c r="C67" s="48"/>
      <c r="D67" s="48"/>
      <c r="E67" s="48"/>
      <c r="F67" s="8"/>
      <c r="G67" s="13" t="s">
        <v>23</v>
      </c>
      <c r="H67" s="13" t="s">
        <v>125</v>
      </c>
      <c r="I67" s="13" t="s">
        <v>23</v>
      </c>
      <c r="J67" s="13" t="s">
        <v>125</v>
      </c>
      <c r="K67" s="13" t="s">
        <v>23</v>
      </c>
      <c r="L67" s="13" t="s">
        <v>125</v>
      </c>
      <c r="M67" s="13" t="s">
        <v>23</v>
      </c>
      <c r="N67" s="13" t="s">
        <v>125</v>
      </c>
      <c r="O67" s="13" t="s">
        <v>23</v>
      </c>
      <c r="P67" s="13" t="s">
        <v>125</v>
      </c>
      <c r="Q67" s="13" t="s">
        <v>23</v>
      </c>
      <c r="R67" s="13" t="s">
        <v>125</v>
      </c>
      <c r="S67" s="13" t="s">
        <v>23</v>
      </c>
      <c r="T67" s="13" t="s">
        <v>125</v>
      </c>
      <c r="U67" s="73">
        <v>27</v>
      </c>
      <c r="V67" s="74"/>
      <c r="W67" s="74"/>
    </row>
    <row r="68" spans="1:23">
      <c r="A68" s="23">
        <v>1</v>
      </c>
      <c r="B68" s="62" t="s">
        <v>126</v>
      </c>
      <c r="C68" s="75" t="s">
        <v>127</v>
      </c>
      <c r="D68" s="25"/>
      <c r="E68" s="62"/>
      <c r="F68" s="26"/>
      <c r="G68" s="57">
        <v>660</v>
      </c>
      <c r="H68" s="34" t="s">
        <v>128</v>
      </c>
      <c r="I68" s="57"/>
      <c r="J68" s="57"/>
      <c r="K68" s="57">
        <v>550</v>
      </c>
      <c r="L68" s="57" t="s">
        <v>129</v>
      </c>
      <c r="M68" s="57">
        <v>550</v>
      </c>
      <c r="N68" s="57" t="s">
        <v>130</v>
      </c>
      <c r="O68" s="57">
        <v>480</v>
      </c>
      <c r="P68" s="57"/>
      <c r="Q68" s="57">
        <v>290</v>
      </c>
      <c r="R68" s="57"/>
      <c r="S68" s="57">
        <v>200</v>
      </c>
      <c r="T68" s="57"/>
      <c r="U68" s="76">
        <f>V68*U67</f>
        <v>73710</v>
      </c>
      <c r="V68" s="57">
        <f>G68+I68+K68+M68+O68+Q68+S68</f>
        <v>2730</v>
      </c>
    </row>
    <row r="69" spans="1:23">
      <c r="A69" s="23">
        <v>2</v>
      </c>
      <c r="B69" s="62" t="s">
        <v>131</v>
      </c>
      <c r="C69" s="75" t="s">
        <v>132</v>
      </c>
      <c r="D69" s="25"/>
      <c r="E69" s="62"/>
      <c r="F69" s="26"/>
      <c r="G69" s="57"/>
      <c r="H69" s="57"/>
      <c r="I69" s="57"/>
      <c r="J69" s="57"/>
      <c r="K69" s="57"/>
      <c r="L69" s="57"/>
      <c r="M69" s="57">
        <v>400</v>
      </c>
      <c r="N69" s="57"/>
      <c r="O69" s="57"/>
      <c r="P69" s="57"/>
      <c r="Q69" s="57">
        <v>600</v>
      </c>
      <c r="R69" s="57"/>
      <c r="S69" s="57"/>
      <c r="T69" s="57"/>
      <c r="U69" s="76">
        <f t="shared" ref="U69:U72" si="9">V69*U68</f>
        <v>73710000</v>
      </c>
      <c r="V69" s="57">
        <f t="shared" ref="V69:V72" si="10">G69+I69+K69+M69+O69+Q69+S69</f>
        <v>1000</v>
      </c>
    </row>
    <row r="70" spans="1:23">
      <c r="A70" s="23">
        <v>3</v>
      </c>
      <c r="B70" s="62" t="s">
        <v>133</v>
      </c>
      <c r="C70" s="75" t="s">
        <v>134</v>
      </c>
      <c r="D70" s="25"/>
      <c r="E70" s="62"/>
      <c r="F70" s="26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76">
        <f t="shared" si="9"/>
        <v>0</v>
      </c>
      <c r="V70" s="57">
        <f t="shared" si="10"/>
        <v>0</v>
      </c>
    </row>
    <row r="71" spans="1:23">
      <c r="A71" s="23">
        <v>4</v>
      </c>
      <c r="B71" s="62"/>
      <c r="C71" s="75"/>
      <c r="D71" s="25"/>
      <c r="E71" s="62"/>
      <c r="F71" s="26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76">
        <f t="shared" si="9"/>
        <v>0</v>
      </c>
      <c r="V71" s="57">
        <f t="shared" si="10"/>
        <v>0</v>
      </c>
    </row>
    <row r="72" spans="1:23">
      <c r="A72" s="39" t="s">
        <v>87</v>
      </c>
      <c r="B72" s="40"/>
      <c r="C72" s="40"/>
      <c r="D72" s="40"/>
      <c r="E72" s="40"/>
      <c r="F72" s="69"/>
      <c r="G72" s="77">
        <f>SUM(G68:G71)</f>
        <v>660</v>
      </c>
      <c r="H72" s="77"/>
      <c r="I72" s="77">
        <f>SUM(I68:I71)</f>
        <v>0</v>
      </c>
      <c r="J72" s="77"/>
      <c r="K72" s="77">
        <f>SUM(K68:K71)</f>
        <v>550</v>
      </c>
      <c r="L72" s="77"/>
      <c r="M72" s="77">
        <f>SUM(M68:M71)</f>
        <v>950</v>
      </c>
      <c r="N72" s="77"/>
      <c r="O72" s="77">
        <f>SUM(O68:O71)</f>
        <v>480</v>
      </c>
      <c r="P72" s="77"/>
      <c r="Q72" s="77">
        <f>SUM(Q68:Q71)</f>
        <v>890</v>
      </c>
      <c r="R72" s="77"/>
      <c r="S72" s="77">
        <f>SUM(S68:S71)</f>
        <v>200</v>
      </c>
      <c r="T72" s="77"/>
      <c r="U72" s="76">
        <f t="shared" si="9"/>
        <v>0</v>
      </c>
      <c r="V72" s="57">
        <f t="shared" si="10"/>
        <v>3730</v>
      </c>
    </row>
    <row r="73" spans="1:23">
      <c r="A73" s="25"/>
      <c r="B73" s="25"/>
      <c r="C73" s="25"/>
      <c r="D73" s="25"/>
      <c r="E73" s="25"/>
      <c r="F73" s="26"/>
      <c r="G73" s="78">
        <f>G72*U67</f>
        <v>17820</v>
      </c>
      <c r="H73" s="79"/>
      <c r="I73" s="78">
        <f>I72*U67</f>
        <v>0</v>
      </c>
      <c r="J73" s="79"/>
      <c r="K73" s="78">
        <f>K72*U67</f>
        <v>14850</v>
      </c>
      <c r="L73" s="79"/>
      <c r="M73" s="78">
        <f>M72*U67</f>
        <v>25650</v>
      </c>
      <c r="N73" s="79"/>
      <c r="O73" s="78">
        <f>O72*U67</f>
        <v>12960</v>
      </c>
      <c r="P73" s="79"/>
      <c r="Q73" s="78">
        <f>Q72*U67</f>
        <v>24030</v>
      </c>
      <c r="R73" s="79"/>
      <c r="S73" s="78">
        <f>S72*U67</f>
        <v>5400</v>
      </c>
      <c r="T73" s="79"/>
      <c r="U73" s="80">
        <f>SUM(U67:U72)</f>
        <v>73783737</v>
      </c>
      <c r="V73" s="81">
        <f>SUM(V68:V72)</f>
        <v>7460</v>
      </c>
    </row>
  </sheetData>
  <mergeCells count="87">
    <mergeCell ref="W66:W67"/>
    <mergeCell ref="A72:E72"/>
    <mergeCell ref="G73:H73"/>
    <mergeCell ref="I73:J73"/>
    <mergeCell ref="K73:L73"/>
    <mergeCell ref="M73:N73"/>
    <mergeCell ref="O73:P73"/>
    <mergeCell ref="Q73:R73"/>
    <mergeCell ref="S73:T73"/>
    <mergeCell ref="K66:L66"/>
    <mergeCell ref="M66:N66"/>
    <mergeCell ref="O66:P66"/>
    <mergeCell ref="Q66:R66"/>
    <mergeCell ref="S66:T66"/>
    <mergeCell ref="V66:V67"/>
    <mergeCell ref="AC55:AF55"/>
    <mergeCell ref="A62:E62"/>
    <mergeCell ref="A65:W65"/>
    <mergeCell ref="A66:B67"/>
    <mergeCell ref="C66:C67"/>
    <mergeCell ref="D66:D67"/>
    <mergeCell ref="E66:E67"/>
    <mergeCell ref="F66:F67"/>
    <mergeCell ref="G66:H66"/>
    <mergeCell ref="I66:J66"/>
    <mergeCell ref="P53:R53"/>
    <mergeCell ref="S53:U53"/>
    <mergeCell ref="V53:X53"/>
    <mergeCell ref="Y53:Y54"/>
    <mergeCell ref="Z53:Z54"/>
    <mergeCell ref="C55:C61"/>
    <mergeCell ref="A48:E48"/>
    <mergeCell ref="A52:Z52"/>
    <mergeCell ref="A53:B54"/>
    <mergeCell ref="C53:C54"/>
    <mergeCell ref="D53:D54"/>
    <mergeCell ref="E53:E54"/>
    <mergeCell ref="F53:F54"/>
    <mergeCell ref="G53:I53"/>
    <mergeCell ref="J53:L53"/>
    <mergeCell ref="M53:O53"/>
    <mergeCell ref="Y39:Y40"/>
    <mergeCell ref="Z39:Z40"/>
    <mergeCell ref="AC42:AF42"/>
    <mergeCell ref="A43:A44"/>
    <mergeCell ref="B43:B44"/>
    <mergeCell ref="C43:C44"/>
    <mergeCell ref="G39:I39"/>
    <mergeCell ref="J39:L39"/>
    <mergeCell ref="M39:O39"/>
    <mergeCell ref="P39:R39"/>
    <mergeCell ref="S39:U39"/>
    <mergeCell ref="V39:X39"/>
    <mergeCell ref="B29:B31"/>
    <mergeCell ref="C29:C31"/>
    <mergeCell ref="B32:B33"/>
    <mergeCell ref="A35:E35"/>
    <mergeCell ref="A38:Z38"/>
    <mergeCell ref="A39:B40"/>
    <mergeCell ref="C39:C40"/>
    <mergeCell ref="D39:D40"/>
    <mergeCell ref="E39:E40"/>
    <mergeCell ref="F39:F40"/>
    <mergeCell ref="B6:B7"/>
    <mergeCell ref="C6:C7"/>
    <mergeCell ref="AC6:AF6"/>
    <mergeCell ref="B13:B14"/>
    <mergeCell ref="AC13:AF26"/>
    <mergeCell ref="B19:B22"/>
    <mergeCell ref="C19:C22"/>
    <mergeCell ref="C26:C27"/>
    <mergeCell ref="S2:U2"/>
    <mergeCell ref="V2:X2"/>
    <mergeCell ref="Y2:Y3"/>
    <mergeCell ref="Z2:Z3"/>
    <mergeCell ref="B4:B5"/>
    <mergeCell ref="C4:C5"/>
    <mergeCell ref="A1:Z1"/>
    <mergeCell ref="A2:B3"/>
    <mergeCell ref="C2:C3"/>
    <mergeCell ref="D2:D3"/>
    <mergeCell ref="E2:E3"/>
    <mergeCell ref="F2:F3"/>
    <mergeCell ref="G2:I2"/>
    <mergeCell ref="J2:L2"/>
    <mergeCell ref="M2:O2"/>
    <mergeCell ref="P2:R2"/>
  </mergeCells>
  <conditionalFormatting sqref="Y4:Y34">
    <cfRule type="cellIs" dxfId="39" priority="40" operator="lessThan">
      <formula>-1</formula>
    </cfRule>
  </conditionalFormatting>
  <conditionalFormatting sqref="Z35">
    <cfRule type="cellIs" dxfId="38" priority="39" operator="lessThan">
      <formula>46700</formula>
    </cfRule>
  </conditionalFormatting>
  <conditionalFormatting sqref="Y35">
    <cfRule type="cellIs" dxfId="37" priority="38" operator="greaterThan">
      <formula>0</formula>
    </cfRule>
  </conditionalFormatting>
  <conditionalFormatting sqref="Z4">
    <cfRule type="cellIs" dxfId="36" priority="37" operator="greaterThan">
      <formula>$F$4</formula>
    </cfRule>
  </conditionalFormatting>
  <conditionalFormatting sqref="Z5">
    <cfRule type="cellIs" dxfId="35" priority="36" operator="greaterThan">
      <formula>$F$5</formula>
    </cfRule>
  </conditionalFormatting>
  <conditionalFormatting sqref="Z7">
    <cfRule type="cellIs" dxfId="34" priority="35" operator="greaterThan">
      <formula>$F$7</formula>
    </cfRule>
  </conditionalFormatting>
  <conditionalFormatting sqref="Z8">
    <cfRule type="cellIs" dxfId="33" priority="34" operator="greaterThan">
      <formula>$F$8</formula>
    </cfRule>
  </conditionalFormatting>
  <conditionalFormatting sqref="Z9">
    <cfRule type="cellIs" dxfId="32" priority="33" operator="greaterThan">
      <formula>$F$9</formula>
    </cfRule>
  </conditionalFormatting>
  <conditionalFormatting sqref="Z10">
    <cfRule type="cellIs" dxfId="31" priority="32" operator="greaterThan">
      <formula>$F$10</formula>
    </cfRule>
  </conditionalFormatting>
  <conditionalFormatting sqref="Z11">
    <cfRule type="cellIs" dxfId="30" priority="31" operator="greaterThan">
      <formula>$F$11</formula>
    </cfRule>
  </conditionalFormatting>
  <conditionalFormatting sqref="Z12">
    <cfRule type="cellIs" dxfId="29" priority="29" operator="greaterThan">
      <formula>$F$12</formula>
    </cfRule>
    <cfRule type="cellIs" dxfId="28" priority="30" operator="greaterThan">
      <formula>$F$12</formula>
    </cfRule>
  </conditionalFormatting>
  <conditionalFormatting sqref="Z13">
    <cfRule type="cellIs" dxfId="27" priority="28" operator="greaterThan">
      <formula>$F$13</formula>
    </cfRule>
  </conditionalFormatting>
  <conditionalFormatting sqref="Z14">
    <cfRule type="cellIs" dxfId="26" priority="27" operator="greaterThan">
      <formula>$F$14</formula>
    </cfRule>
  </conditionalFormatting>
  <conditionalFormatting sqref="Z15">
    <cfRule type="cellIs" dxfId="25" priority="26" operator="greaterThan">
      <formula>$F$15</formula>
    </cfRule>
  </conditionalFormatting>
  <conditionalFormatting sqref="Z16">
    <cfRule type="cellIs" dxfId="24" priority="25" operator="greaterThan">
      <formula>$F$16</formula>
    </cfRule>
  </conditionalFormatting>
  <conditionalFormatting sqref="Z17">
    <cfRule type="cellIs" dxfId="23" priority="24" operator="greaterThan">
      <formula>$F$17</formula>
    </cfRule>
  </conditionalFormatting>
  <conditionalFormatting sqref="Z18">
    <cfRule type="cellIs" dxfId="22" priority="23" operator="greaterThan">
      <formula>$F$18</formula>
    </cfRule>
  </conditionalFormatting>
  <conditionalFormatting sqref="Z19">
    <cfRule type="cellIs" dxfId="21" priority="22" operator="greaterThan">
      <formula>$F$19</formula>
    </cfRule>
  </conditionalFormatting>
  <conditionalFormatting sqref="Z20">
    <cfRule type="cellIs" dxfId="20" priority="21" operator="greaterThan">
      <formula>$F$20</formula>
    </cfRule>
  </conditionalFormatting>
  <conditionalFormatting sqref="Z23">
    <cfRule type="cellIs" dxfId="19" priority="20" operator="greaterThan">
      <formula>$F$23</formula>
    </cfRule>
  </conditionalFormatting>
  <conditionalFormatting sqref="Z24">
    <cfRule type="cellIs" dxfId="18" priority="19" operator="greaterThan">
      <formula>$F$24</formula>
    </cfRule>
  </conditionalFormatting>
  <conditionalFormatting sqref="Z25">
    <cfRule type="cellIs" dxfId="17" priority="18" operator="greaterThan">
      <formula>$F$25</formula>
    </cfRule>
  </conditionalFormatting>
  <conditionalFormatting sqref="Z26">
    <cfRule type="cellIs" dxfId="16" priority="17" operator="greaterThan">
      <formula>$F$26</formula>
    </cfRule>
  </conditionalFormatting>
  <conditionalFormatting sqref="Z27">
    <cfRule type="cellIs" dxfId="15" priority="16" operator="greaterThan">
      <formula>$F$27</formula>
    </cfRule>
  </conditionalFormatting>
  <conditionalFormatting sqref="Z28">
    <cfRule type="cellIs" dxfId="14" priority="15" operator="greaterThan">
      <formula>$F$28</formula>
    </cfRule>
  </conditionalFormatting>
  <conditionalFormatting sqref="Z29">
    <cfRule type="cellIs" dxfId="13" priority="14" operator="greaterThan">
      <formula>$F$29</formula>
    </cfRule>
  </conditionalFormatting>
  <conditionalFormatting sqref="Z30">
    <cfRule type="cellIs" dxfId="12" priority="13" operator="greaterThan">
      <formula>$F$30</formula>
    </cfRule>
  </conditionalFormatting>
  <conditionalFormatting sqref="Z31">
    <cfRule type="cellIs" dxfId="11" priority="12" operator="greaterThan">
      <formula>$F$31</formula>
    </cfRule>
  </conditionalFormatting>
  <conditionalFormatting sqref="Z32">
    <cfRule type="cellIs" dxfId="10" priority="11" operator="greaterThan">
      <formula>$F$32</formula>
    </cfRule>
  </conditionalFormatting>
  <conditionalFormatting sqref="Z33">
    <cfRule type="cellIs" dxfId="9" priority="10" operator="greaterThan">
      <formula>$F$33</formula>
    </cfRule>
  </conditionalFormatting>
  <conditionalFormatting sqref="Z34">
    <cfRule type="cellIs" dxfId="8" priority="9" operator="greaterThan">
      <formula>$F$34</formula>
    </cfRule>
  </conditionalFormatting>
  <conditionalFormatting sqref="Z6">
    <cfRule type="cellIs" dxfId="7" priority="8" operator="greaterThan">
      <formula>$F$6</formula>
    </cfRule>
  </conditionalFormatting>
  <conditionalFormatting sqref="Y41">
    <cfRule type="cellIs" dxfId="6" priority="7" operator="lessThan">
      <formula>0</formula>
    </cfRule>
  </conditionalFormatting>
  <conditionalFormatting sqref="Y42">
    <cfRule type="cellIs" dxfId="5" priority="6" operator="lessThan">
      <formula>0</formula>
    </cfRule>
  </conditionalFormatting>
  <conditionalFormatting sqref="Y43">
    <cfRule type="cellIs" dxfId="4" priority="5" operator="lessThan">
      <formula>0</formula>
    </cfRule>
  </conditionalFormatting>
  <conditionalFormatting sqref="Y44">
    <cfRule type="cellIs" dxfId="3" priority="4" operator="lessThan">
      <formula>0</formula>
    </cfRule>
  </conditionalFormatting>
  <conditionalFormatting sqref="Y45">
    <cfRule type="cellIs" dxfId="2" priority="3" operator="lessThan">
      <formula>0</formula>
    </cfRule>
  </conditionalFormatting>
  <conditionalFormatting sqref="Y46">
    <cfRule type="cellIs" dxfId="1" priority="2" operator="lessThan">
      <formula>0</formula>
    </cfRule>
  </conditionalFormatting>
  <conditionalFormatting sqref="Y47">
    <cfRule type="cellIs" dxfId="0" priority="1" operator="lessThan">
      <formula>0</formula>
    </cfRule>
  </conditionalFormatting>
  <pageMargins left="0.7" right="0.7" top="0.75" bottom="0.75" header="0.3" footer="0.3"/>
  <pageSetup paperSize="9" scale="1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Paola Kassandri Jaramillo Rangel y Saldaña</dc:creator>
  <cp:lastModifiedBy>Luisa Paola Kassandri Jaramillo Rangel y Saldaña</cp:lastModifiedBy>
  <dcterms:created xsi:type="dcterms:W3CDTF">2026-06-29T18:16:32Z</dcterms:created>
  <dcterms:modified xsi:type="dcterms:W3CDTF">2026-06-29T18:18:47Z</dcterms:modified>
</cp:coreProperties>
</file>