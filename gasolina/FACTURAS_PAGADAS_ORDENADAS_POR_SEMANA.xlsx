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SEMANA" sheetId="1" state="visible" r:id="rId1"/>
    <sheet name="DETALLE DE FACTURAS PAG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2B6CB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A365D"/>
      <sz val="11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EFCBF"/>
        <bgColor rgb="00FEFCBF"/>
      </patternFill>
    </fill>
    <fill>
      <patternFill patternType="solid">
        <fgColor rgb="002B6CB0"/>
        <bgColor rgb="002B6CB0"/>
      </patternFill>
    </fill>
    <fill>
      <patternFill patternType="solid">
        <fgColor rgb="00DCE7F5"/>
        <bgColor rgb="00DCE7F5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365D"/>
      </top>
      <bottom style="double">
        <color rgb="001A365D"/>
      </bottom>
    </border>
    <border>
      <left style="thin">
        <color rgb="00CBD5E0"/>
      </left>
      <right style="thin">
        <color rgb="00CBD5E0"/>
      </right>
      <top style="thin">
        <color rgb="00718096"/>
      </top>
      <bottom style="thin">
        <color rgb="0071809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4" borderId="2" applyAlignment="1" pivotButton="0" quotePrefix="0" xfId="0">
      <alignment horizontal="center"/>
    </xf>
    <xf numFmtId="164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3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0" fillId="7" borderId="3" applyAlignment="1" pivotButton="0" quotePrefix="0" xfId="0">
      <alignment horizontal="center"/>
    </xf>
    <xf numFmtId="0" fontId="0" fillId="7" borderId="3" pivotButton="0" quotePrefix="0" xfId="0"/>
    <xf numFmtId="0" fontId="5" fillId="7" borderId="3" applyAlignment="1" pivotButton="0" quotePrefix="0" xfId="0">
      <alignment horizontal="right"/>
    </xf>
    <xf numFmtId="164" fontId="5" fillId="7" borderId="3" applyAlignment="1" pivotButton="0" quotePrefix="0" xfId="0">
      <alignment horizontal="right"/>
    </xf>
    <xf numFmtId="0" fontId="5" fillId="4" borderId="2" pivotButton="0" quotePrefix="0" xfId="0"/>
    <xf numFmtId="0" fontId="5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8" customWidth="1" min="2" max="2"/>
    <col width="19" customWidth="1" min="3" max="3"/>
    <col width="21" customWidth="1" min="4" max="4"/>
    <col width="18" customWidth="1" min="5" max="5"/>
    <col width="20" customWidth="1" min="6" max="6"/>
    <col width="22" customWidth="1" min="7" max="7"/>
    <col width="20" customWidth="1" min="8" max="8"/>
    <col width="19" customWidth="1" min="9" max="9"/>
  </cols>
  <sheetData>
    <row r="1">
      <c r="A1" s="1" t="inlineStr">
        <is>
          <t>CONCILIACIÓN DE FACTURAS PAGADAS DE GASOLINA Y DIÉSEL</t>
        </is>
      </c>
    </row>
    <row r="2">
      <c r="A2" s="2" t="inlineStr">
        <is>
          <t>COMPARATIVO Y AGRUPACIÓN POR SEMANAS (COMPROBANTES $915K, $747K Y $12.7K)</t>
        </is>
      </c>
    </row>
    <row r="3"/>
    <row r="4" ht="26" customHeight="1">
      <c r="A4" s="3" t="inlineStr">
        <is>
          <t>SEMANA</t>
        </is>
      </c>
      <c r="B4" s="3" t="inlineStr">
        <is>
          <t>RANGO DE FECHAS</t>
        </is>
      </c>
      <c r="C4" s="3" t="inlineStr">
        <is>
          <t>FACTURAS DIESEL</t>
        </is>
      </c>
      <c r="D4" s="3" t="inlineStr">
        <is>
          <t>FACTURAS GASOLINA</t>
        </is>
      </c>
      <c r="E4" s="3" t="inlineStr">
        <is>
          <t>TOTAL FACTURAS</t>
        </is>
      </c>
      <c r="F4" s="3" t="inlineStr">
        <is>
          <t>MONTO DIESEL ($)</t>
        </is>
      </c>
      <c r="G4" s="3" t="inlineStr">
        <is>
          <t>MONTO GASOLINA ($)</t>
        </is>
      </c>
      <c r="H4" s="3" t="inlineStr">
        <is>
          <t>TOTAL PAGADO ($)</t>
        </is>
      </c>
      <c r="I4" s="3" t="inlineStr">
        <is>
          <t>% PARTICIPACIÓN</t>
        </is>
      </c>
    </row>
    <row r="5">
      <c r="A5" s="4" t="inlineStr">
        <is>
          <t>Semana 28</t>
        </is>
      </c>
      <c r="B5" s="4" t="inlineStr">
        <is>
          <t>06/07/2026 al 12/07/2026</t>
        </is>
      </c>
      <c r="C5" s="4" t="n">
        <v>27</v>
      </c>
      <c r="D5" s="4" t="n">
        <v>3</v>
      </c>
      <c r="E5" s="4" t="n">
        <v>30</v>
      </c>
      <c r="F5" s="5" t="n">
        <v>398354.22</v>
      </c>
      <c r="G5" s="5" t="n">
        <v>2303.75</v>
      </c>
      <c r="H5" s="5">
        <f>F5+G5</f>
        <v/>
      </c>
      <c r="I5" s="6">
        <f>H5/$H$9</f>
        <v/>
      </c>
    </row>
    <row r="6">
      <c r="A6" s="7" t="inlineStr">
        <is>
          <t>Semana 29</t>
        </is>
      </c>
      <c r="B6" s="7" t="inlineStr">
        <is>
          <t>13/07/2026 al 18/07/2026</t>
        </is>
      </c>
      <c r="C6" s="7" t="n">
        <v>27</v>
      </c>
      <c r="D6" s="7" t="n">
        <v>4</v>
      </c>
      <c r="E6" s="7" t="n">
        <v>31</v>
      </c>
      <c r="F6" s="8" t="n">
        <v>494202.83</v>
      </c>
      <c r="G6" s="8" t="n">
        <v>5700</v>
      </c>
      <c r="H6" s="8">
        <f>F6+G6</f>
        <v/>
      </c>
      <c r="I6" s="9">
        <f>H6/$H$9</f>
        <v/>
      </c>
    </row>
    <row r="7">
      <c r="A7" s="4" t="inlineStr">
        <is>
          <t>Semana 30</t>
        </is>
      </c>
      <c r="B7" s="4" t="inlineStr">
        <is>
          <t>20/07/2026 al 25/07/2026</t>
        </is>
      </c>
      <c r="C7" s="4" t="n">
        <v>26</v>
      </c>
      <c r="D7" s="4" t="n">
        <v>4</v>
      </c>
      <c r="E7" s="4" t="n">
        <v>30</v>
      </c>
      <c r="F7" s="5" t="n">
        <v>385654.79</v>
      </c>
      <c r="G7" s="5" t="n">
        <v>6561.780000000001</v>
      </c>
      <c r="H7" s="5">
        <f>F7+G7</f>
        <v/>
      </c>
      <c r="I7" s="6">
        <f>H7/$H$9</f>
        <v/>
      </c>
    </row>
    <row r="8">
      <c r="A8" s="7" t="inlineStr">
        <is>
          <t>Semana 31</t>
        </is>
      </c>
      <c r="B8" s="7" t="inlineStr">
        <is>
          <t>27/07/2026 al 01/08/2026</t>
        </is>
      </c>
      <c r="C8" s="7" t="n">
        <v>26</v>
      </c>
      <c r="D8" s="7" t="n">
        <v>1</v>
      </c>
      <c r="E8" s="7" t="n">
        <v>27</v>
      </c>
      <c r="F8" s="8" t="n">
        <v>381216.75</v>
      </c>
      <c r="G8" s="8" t="n">
        <v>1558.03</v>
      </c>
      <c r="H8" s="8">
        <f>F8+G8</f>
        <v/>
      </c>
      <c r="I8" s="9">
        <f>H8/$H$9</f>
        <v/>
      </c>
    </row>
    <row r="9">
      <c r="A9" s="10" t="inlineStr">
        <is>
          <t>TOTAL GENERAL</t>
        </is>
      </c>
      <c r="B9" s="10" t="inlineStr">
        <is>
          <t>06/07/2026 al 01/08/2026</t>
        </is>
      </c>
      <c r="C9" s="10">
        <f>SUM(C5:C8)</f>
        <v/>
      </c>
      <c r="D9" s="10">
        <f>SUM(D5:D8)</f>
        <v/>
      </c>
      <c r="E9" s="10">
        <f>SUM(E5:E8)</f>
        <v/>
      </c>
      <c r="F9" s="11">
        <f>SUM(F5:F8)</f>
        <v/>
      </c>
      <c r="G9" s="11">
        <f>SUM(G5:G8)</f>
        <v/>
      </c>
      <c r="H9" s="11">
        <f>SUM(H5:H8)</f>
        <v/>
      </c>
      <c r="I9" s="12">
        <f>SUM(I5:I8)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7" customWidth="1" min="3" max="3"/>
    <col width="17" customWidth="1" min="4" max="4"/>
    <col width="30" customWidth="1" min="5" max="5"/>
    <col width="20" customWidth="1" min="6" max="6"/>
    <col width="39" customWidth="1" min="7" max="7"/>
    <col width="22" customWidth="1" min="8" max="8"/>
  </cols>
  <sheetData>
    <row r="1">
      <c r="A1" s="1" t="inlineStr">
        <is>
          <t>CATÁLOGO DE FACTURAS PAGADAS CLASIFICADAS POR SEMANA</t>
        </is>
      </c>
    </row>
    <row r="2">
      <c r="A2" s="2" t="inlineStr">
        <is>
          <t>INFORMACIÓN EXTRAÍDA DE COMPROBANTES DE PAGO Y CONCILIADA</t>
        </is>
      </c>
    </row>
    <row r="3"/>
    <row r="4" ht="24" customHeight="1">
      <c r="A4" s="13" t="inlineStr">
        <is>
          <t>#</t>
        </is>
      </c>
      <c r="B4" s="13" t="inlineStr">
        <is>
          <t>SEMANA</t>
        </is>
      </c>
      <c r="C4" s="13" t="inlineStr">
        <is>
          <t>FECHA FACTURA</t>
        </is>
      </c>
      <c r="D4" s="13" t="inlineStr">
        <is>
          <t>FOLIO FACTURA</t>
        </is>
      </c>
      <c r="E4" s="13" t="inlineStr">
        <is>
          <t>CENTRO DE TRABAJO / OBRA</t>
        </is>
      </c>
      <c r="F4" s="13" t="inlineStr">
        <is>
          <t>TIPO COMBUSTIBLE</t>
        </is>
      </c>
      <c r="G4" s="13" t="inlineStr">
        <is>
          <t>CARGO CON IVA ($)</t>
        </is>
      </c>
      <c r="H4" s="13" t="inlineStr">
        <is>
          <t>COMPROBANTE ORIGEN</t>
        </is>
      </c>
    </row>
    <row r="5" ht="20" customHeight="1">
      <c r="A5" s="14">
        <f>== SEMANA 28 (Total: 30 facturas | $400,657.97) ===</f>
        <v/>
      </c>
      <c r="B5" s="15" t="n"/>
      <c r="C5" s="15" t="n"/>
      <c r="D5" s="15" t="n"/>
      <c r="E5" s="15" t="n"/>
      <c r="F5" s="15" t="n"/>
      <c r="G5" s="15" t="n"/>
      <c r="H5" s="15" t="n"/>
    </row>
    <row r="6">
      <c r="A6" s="4" t="n">
        <v>1</v>
      </c>
      <c r="B6" s="4" t="inlineStr">
        <is>
          <t>Semana 28</t>
        </is>
      </c>
      <c r="C6" s="4" t="inlineStr">
        <is>
          <t>06/07/2026</t>
        </is>
      </c>
      <c r="D6" s="4" t="inlineStr">
        <is>
          <t>A-10360</t>
        </is>
      </c>
      <c r="E6" s="16" t="inlineStr">
        <is>
          <t>TANQUE PEGASO</t>
        </is>
      </c>
      <c r="F6" s="4" t="inlineStr">
        <is>
          <t>DIESEL</t>
        </is>
      </c>
      <c r="G6" s="5" t="n">
        <v>66605.39999999999</v>
      </c>
      <c r="H6" s="4" t="inlineStr">
        <is>
          <t>Imagen 3 ($915k)</t>
        </is>
      </c>
    </row>
    <row r="7">
      <c r="A7" s="7" t="n">
        <v>2</v>
      </c>
      <c r="B7" s="7" t="inlineStr">
        <is>
          <t>Semana 28</t>
        </is>
      </c>
      <c r="C7" s="7" t="inlineStr">
        <is>
          <t>06/07/2026</t>
        </is>
      </c>
      <c r="D7" s="7" t="inlineStr">
        <is>
          <t>A-10361</t>
        </is>
      </c>
      <c r="E7" s="17" t="inlineStr">
        <is>
          <t>P. DE ASFALTO HUIXQUILUCAN</t>
        </is>
      </c>
      <c r="F7" s="7" t="inlineStr">
        <is>
          <t>DIESEL</t>
        </is>
      </c>
      <c r="G7" s="8" t="n">
        <v>8100.05</v>
      </c>
      <c r="H7" s="7" t="inlineStr">
        <is>
          <t>Imagen 3 ($915k)</t>
        </is>
      </c>
    </row>
    <row r="8">
      <c r="A8" s="4" t="n">
        <v>3</v>
      </c>
      <c r="B8" s="4" t="inlineStr">
        <is>
          <t>Semana 28</t>
        </is>
      </c>
      <c r="C8" s="4" t="inlineStr">
        <is>
          <t>06/07/2026</t>
        </is>
      </c>
      <c r="D8" s="4" t="inlineStr">
        <is>
          <t>A-10362</t>
        </is>
      </c>
      <c r="E8" s="16" t="inlineStr">
        <is>
          <t>PROVIDENCIA</t>
        </is>
      </c>
      <c r="F8" s="4" t="inlineStr">
        <is>
          <t>DIESEL</t>
        </is>
      </c>
      <c r="G8" s="5" t="n">
        <v>6291</v>
      </c>
      <c r="H8" s="4" t="inlineStr">
        <is>
          <t>Imagen 3 ($915k)</t>
        </is>
      </c>
    </row>
    <row r="9">
      <c r="A9" s="7" t="n">
        <v>4</v>
      </c>
      <c r="B9" s="7" t="inlineStr">
        <is>
          <t>Semana 28</t>
        </is>
      </c>
      <c r="C9" s="7" t="inlineStr">
        <is>
          <t>06/07/2026</t>
        </is>
      </c>
      <c r="D9" s="7" t="inlineStr">
        <is>
          <t>A-10365</t>
        </is>
      </c>
      <c r="E9" s="17" t="inlineStr">
        <is>
          <t>P. DE ASFALTO HUIXQUILUCAN</t>
        </is>
      </c>
      <c r="F9" s="7" t="inlineStr">
        <is>
          <t>DIESEL</t>
        </is>
      </c>
      <c r="G9" s="8" t="n">
        <v>10800.1</v>
      </c>
      <c r="H9" s="7" t="inlineStr">
        <is>
          <t>Imagen 3 ($915k)</t>
        </is>
      </c>
    </row>
    <row r="10">
      <c r="A10" s="4" t="n">
        <v>5</v>
      </c>
      <c r="B10" s="4" t="inlineStr">
        <is>
          <t>Semana 28</t>
        </is>
      </c>
      <c r="C10" s="4" t="inlineStr">
        <is>
          <t>06/07/2026</t>
        </is>
      </c>
      <c r="D10" s="4" t="inlineStr">
        <is>
          <t>A-10366</t>
        </is>
      </c>
      <c r="E10" s="16" t="inlineStr">
        <is>
          <t>BACHEO TOLUCA</t>
        </is>
      </c>
      <c r="F10" s="4" t="inlineStr">
        <is>
          <t>DIESEL</t>
        </is>
      </c>
      <c r="G10" s="5" t="n">
        <v>7695</v>
      </c>
      <c r="H10" s="4" t="inlineStr">
        <is>
          <t>Imagen 3 ($915k)</t>
        </is>
      </c>
    </row>
    <row r="11">
      <c r="A11" s="7" t="n">
        <v>6</v>
      </c>
      <c r="B11" s="7" t="inlineStr">
        <is>
          <t>Semana 28</t>
        </is>
      </c>
      <c r="C11" s="7" t="inlineStr">
        <is>
          <t>06/07/2026</t>
        </is>
      </c>
      <c r="D11" s="7" t="inlineStr">
        <is>
          <t>A-10367</t>
        </is>
      </c>
      <c r="E11" s="17" t="inlineStr">
        <is>
          <t>MEXICO TOLUCA</t>
        </is>
      </c>
      <c r="F11" s="7" t="inlineStr">
        <is>
          <t>DIESEL</t>
        </is>
      </c>
      <c r="G11" s="8" t="n">
        <v>19305.1</v>
      </c>
      <c r="H11" s="7" t="inlineStr">
        <is>
          <t>Imagen 3 ($915k)</t>
        </is>
      </c>
    </row>
    <row r="12">
      <c r="A12" s="4" t="n">
        <v>7</v>
      </c>
      <c r="B12" s="4" t="inlineStr">
        <is>
          <t>Semana 28</t>
        </is>
      </c>
      <c r="C12" s="4" t="inlineStr">
        <is>
          <t>06/07/2026</t>
        </is>
      </c>
      <c r="D12" s="4" t="inlineStr">
        <is>
          <t>A-10368</t>
        </is>
      </c>
      <c r="E12" s="16" t="inlineStr">
        <is>
          <t>P. DE ASFALTO HUIXQUILUCAN</t>
        </is>
      </c>
      <c r="F12" s="4" t="inlineStr">
        <is>
          <t>DIESEL</t>
        </is>
      </c>
      <c r="G12" s="5" t="n">
        <v>16200.1</v>
      </c>
      <c r="H12" s="4" t="inlineStr">
        <is>
          <t>Imagen 3 ($915k)</t>
        </is>
      </c>
    </row>
    <row r="13">
      <c r="A13" s="7" t="n">
        <v>8</v>
      </c>
      <c r="B13" s="7" t="inlineStr">
        <is>
          <t>Semana 28</t>
        </is>
      </c>
      <c r="C13" s="7" t="inlineStr">
        <is>
          <t>06/07/2026</t>
        </is>
      </c>
      <c r="D13" s="7" t="inlineStr">
        <is>
          <t>A-10369</t>
        </is>
      </c>
      <c r="E13" s="17" t="inlineStr">
        <is>
          <t>PROVIDENCIA</t>
        </is>
      </c>
      <c r="F13" s="7" t="inlineStr">
        <is>
          <t>GASOLINA</t>
        </is>
      </c>
      <c r="G13" s="8" t="n">
        <v>303.75</v>
      </c>
      <c r="H13" s="7" t="inlineStr">
        <is>
          <t>Imagen 2 ($12.7k)</t>
        </is>
      </c>
    </row>
    <row r="14">
      <c r="A14" s="4" t="n">
        <v>9</v>
      </c>
      <c r="B14" s="4" t="inlineStr">
        <is>
          <t>Semana 28</t>
        </is>
      </c>
      <c r="C14" s="4" t="inlineStr">
        <is>
          <t>07/07/2026</t>
        </is>
      </c>
      <c r="D14" s="4" t="inlineStr">
        <is>
          <t>A-10380</t>
        </is>
      </c>
      <c r="E14" s="16" t="inlineStr">
        <is>
          <t>TANQUE PEGASO</t>
        </is>
      </c>
      <c r="F14" s="4" t="inlineStr">
        <is>
          <t>DIESEL</t>
        </is>
      </c>
      <c r="G14" s="5" t="n">
        <v>8100.05</v>
      </c>
      <c r="H14" s="4" t="inlineStr">
        <is>
          <t>Imagen 3 ($915k)</t>
        </is>
      </c>
    </row>
    <row r="15">
      <c r="A15" s="7" t="n">
        <v>10</v>
      </c>
      <c r="B15" s="7" t="inlineStr">
        <is>
          <t>Semana 28</t>
        </is>
      </c>
      <c r="C15" s="7" t="inlineStr">
        <is>
          <t>07/07/2026</t>
        </is>
      </c>
      <c r="D15" s="7" t="inlineStr">
        <is>
          <t>A-10381</t>
        </is>
      </c>
      <c r="E15" s="17" t="inlineStr">
        <is>
          <t>LERMA</t>
        </is>
      </c>
      <c r="F15" s="7" t="inlineStr">
        <is>
          <t>DIESEL</t>
        </is>
      </c>
      <c r="G15" s="8" t="n">
        <v>18900.06</v>
      </c>
      <c r="H15" s="7" t="inlineStr">
        <is>
          <t>Imagen 3 ($915k)</t>
        </is>
      </c>
    </row>
    <row r="16">
      <c r="A16" s="4" t="n">
        <v>11</v>
      </c>
      <c r="B16" s="4" t="inlineStr">
        <is>
          <t>Semana 28</t>
        </is>
      </c>
      <c r="C16" s="4" t="inlineStr">
        <is>
          <t>07/07/2026</t>
        </is>
      </c>
      <c r="D16" s="4" t="inlineStr">
        <is>
          <t>A-10386</t>
        </is>
      </c>
      <c r="E16" s="16" t="inlineStr">
        <is>
          <t>TANQUE PEGASO</t>
        </is>
      </c>
      <c r="F16" s="4" t="inlineStr">
        <is>
          <t>DIESEL</t>
        </is>
      </c>
      <c r="G16" s="5" t="n">
        <v>3000</v>
      </c>
      <c r="H16" s="4" t="inlineStr">
        <is>
          <t>Imagen 3 ($915k)</t>
        </is>
      </c>
    </row>
    <row r="17">
      <c r="A17" s="7" t="n">
        <v>12</v>
      </c>
      <c r="B17" s="7" t="inlineStr">
        <is>
          <t>Semana 28</t>
        </is>
      </c>
      <c r="C17" s="7" t="inlineStr">
        <is>
          <t>07/07/2026</t>
        </is>
      </c>
      <c r="D17" s="7" t="inlineStr">
        <is>
          <t>A-10387</t>
        </is>
      </c>
      <c r="E17" s="17" t="inlineStr">
        <is>
          <t>BACHEO TOLUCA</t>
        </is>
      </c>
      <c r="F17" s="7" t="inlineStr">
        <is>
          <t>DIESEL</t>
        </is>
      </c>
      <c r="G17" s="8" t="n">
        <v>21600.15</v>
      </c>
      <c r="H17" s="7" t="inlineStr">
        <is>
          <t>Imagen 3 ($915k)</t>
        </is>
      </c>
    </row>
    <row r="18">
      <c r="A18" s="4" t="n">
        <v>13</v>
      </c>
      <c r="B18" s="4" t="inlineStr">
        <is>
          <t>Semana 28</t>
        </is>
      </c>
      <c r="C18" s="4" t="inlineStr">
        <is>
          <t>07/07/2026</t>
        </is>
      </c>
      <c r="D18" s="4" t="inlineStr">
        <is>
          <t>A-10388</t>
        </is>
      </c>
      <c r="E18" s="16" t="inlineStr">
        <is>
          <t>LERMA</t>
        </is>
      </c>
      <c r="F18" s="4" t="inlineStr">
        <is>
          <t>DIESEL</t>
        </is>
      </c>
      <c r="G18" s="5" t="n">
        <v>2700.08</v>
      </c>
      <c r="H18" s="4" t="inlineStr">
        <is>
          <t>Imagen 3 ($915k)</t>
        </is>
      </c>
    </row>
    <row r="19">
      <c r="A19" s="7" t="n">
        <v>14</v>
      </c>
      <c r="B19" s="7" t="inlineStr">
        <is>
          <t>Semana 28</t>
        </is>
      </c>
      <c r="C19" s="7" t="inlineStr">
        <is>
          <t>07/07/2026</t>
        </is>
      </c>
      <c r="D19" s="7" t="inlineStr">
        <is>
          <t>A-10884</t>
        </is>
      </c>
      <c r="E19" s="17" t="inlineStr">
        <is>
          <t>P. DE ASFALTO HUIXQUILUCAN</t>
        </is>
      </c>
      <c r="F19" s="7" t="inlineStr">
        <is>
          <t>DIESEL</t>
        </is>
      </c>
      <c r="G19" s="8" t="n">
        <v>16200.1</v>
      </c>
      <c r="H19" s="7" t="inlineStr">
        <is>
          <t>Imagen 3 ($915k)</t>
        </is>
      </c>
    </row>
    <row r="20">
      <c r="A20" s="4" t="n">
        <v>15</v>
      </c>
      <c r="B20" s="4" t="inlineStr">
        <is>
          <t>Semana 28</t>
        </is>
      </c>
      <c r="C20" s="4" t="inlineStr">
        <is>
          <t>08/07/2026</t>
        </is>
      </c>
      <c r="D20" s="4" t="inlineStr">
        <is>
          <t>A-10398</t>
        </is>
      </c>
      <c r="E20" s="16" t="inlineStr">
        <is>
          <t>MEXICO TOLUCA</t>
        </is>
      </c>
      <c r="F20" s="4" t="inlineStr">
        <is>
          <t>DIESEL</t>
        </is>
      </c>
      <c r="G20" s="5" t="n">
        <v>16200.1</v>
      </c>
      <c r="H20" s="4" t="inlineStr">
        <is>
          <t>Imagen 3 ($915k)</t>
        </is>
      </c>
    </row>
    <row r="21">
      <c r="A21" s="7" t="n">
        <v>16</v>
      </c>
      <c r="B21" s="7" t="inlineStr">
        <is>
          <t>Semana 28</t>
        </is>
      </c>
      <c r="C21" s="7" t="inlineStr">
        <is>
          <t>08/07/2026</t>
        </is>
      </c>
      <c r="D21" s="7" t="inlineStr">
        <is>
          <t>A-10405</t>
        </is>
      </c>
      <c r="E21" s="17" t="inlineStr">
        <is>
          <t>P. DE ASFALTO HUIXQUILUCAN</t>
        </is>
      </c>
      <c r="F21" s="7" t="inlineStr">
        <is>
          <t>DIESEL</t>
        </is>
      </c>
      <c r="G21" s="8" t="n">
        <v>10800.1</v>
      </c>
      <c r="H21" s="7" t="inlineStr">
        <is>
          <t>Imagen 3 ($915k)</t>
        </is>
      </c>
    </row>
    <row r="22">
      <c r="A22" s="4" t="n">
        <v>17</v>
      </c>
      <c r="B22" s="4" t="inlineStr">
        <is>
          <t>Semana 28</t>
        </is>
      </c>
      <c r="C22" s="4" t="inlineStr">
        <is>
          <t>08/07/2026</t>
        </is>
      </c>
      <c r="D22" s="4" t="inlineStr">
        <is>
          <t>A-10406</t>
        </is>
      </c>
      <c r="E22" s="16" t="inlineStr">
        <is>
          <t>P. DE ASFALTO HUIXQUILUCAN</t>
        </is>
      </c>
      <c r="F22" s="4" t="inlineStr">
        <is>
          <t>DIESEL</t>
        </is>
      </c>
      <c r="G22" s="5" t="n">
        <v>8100.05</v>
      </c>
      <c r="H22" s="4" t="inlineStr">
        <is>
          <t>Imagen 3 ($915k)</t>
        </is>
      </c>
    </row>
    <row r="23">
      <c r="A23" s="7" t="n">
        <v>18</v>
      </c>
      <c r="B23" s="7" t="inlineStr">
        <is>
          <t>Semana 28</t>
        </is>
      </c>
      <c r="C23" s="7" t="inlineStr">
        <is>
          <t>08/07/2026</t>
        </is>
      </c>
      <c r="D23" s="7" t="inlineStr">
        <is>
          <t>A-10407</t>
        </is>
      </c>
      <c r="E23" s="17" t="inlineStr">
        <is>
          <t>P. DE ASFALTO HUIXQUILUCAN</t>
        </is>
      </c>
      <c r="F23" s="7" t="inlineStr">
        <is>
          <t>GASOLINA</t>
        </is>
      </c>
      <c r="G23" s="8" t="n">
        <v>1000</v>
      </c>
      <c r="H23" s="7" t="inlineStr">
        <is>
          <t>Imagen 2 ($12.7k)</t>
        </is>
      </c>
    </row>
    <row r="24">
      <c r="A24" s="4" t="n">
        <v>19</v>
      </c>
      <c r="B24" s="4" t="inlineStr">
        <is>
          <t>Semana 28</t>
        </is>
      </c>
      <c r="C24" s="4" t="inlineStr">
        <is>
          <t>08/07/2026</t>
        </is>
      </c>
      <c r="D24" s="4" t="inlineStr">
        <is>
          <t>A-10408</t>
        </is>
      </c>
      <c r="E24" s="16" t="inlineStr">
        <is>
          <t>P. DE ASFALTO HUIXQUILUCAN</t>
        </is>
      </c>
      <c r="F24" s="4" t="inlineStr">
        <is>
          <t>DIESEL</t>
        </is>
      </c>
      <c r="G24" s="5" t="n">
        <v>8100.05</v>
      </c>
      <c r="H24" s="4" t="inlineStr">
        <is>
          <t>Imagen 3 ($915k)</t>
        </is>
      </c>
    </row>
    <row r="25">
      <c r="A25" s="7" t="n">
        <v>20</v>
      </c>
      <c r="B25" s="7" t="inlineStr">
        <is>
          <t>Semana 28</t>
        </is>
      </c>
      <c r="C25" s="7" t="inlineStr">
        <is>
          <t>08/07/2026</t>
        </is>
      </c>
      <c r="D25" s="7" t="inlineStr">
        <is>
          <t>A-10409</t>
        </is>
      </c>
      <c r="E25" s="17" t="inlineStr">
        <is>
          <t>DEZAZOLVE CANALES</t>
        </is>
      </c>
      <c r="F25" s="7" t="inlineStr">
        <is>
          <t>DIESEL</t>
        </is>
      </c>
      <c r="G25" s="8" t="n">
        <v>23206.21</v>
      </c>
      <c r="H25" s="7" t="inlineStr">
        <is>
          <t>Imagen 3 ($915k)</t>
        </is>
      </c>
    </row>
    <row r="26">
      <c r="A26" s="4" t="n">
        <v>21</v>
      </c>
      <c r="B26" s="4" t="inlineStr">
        <is>
          <t>Semana 28</t>
        </is>
      </c>
      <c r="C26" s="4" t="inlineStr">
        <is>
          <t>09/07/2026</t>
        </is>
      </c>
      <c r="D26" s="4" t="inlineStr">
        <is>
          <t>A-10886</t>
        </is>
      </c>
      <c r="E26" s="16" t="inlineStr">
        <is>
          <t>MAQUINARIA</t>
        </is>
      </c>
      <c r="F26" s="4" t="inlineStr">
        <is>
          <t>DIESEL</t>
        </is>
      </c>
      <c r="G26" s="5" t="n">
        <v>2700.08</v>
      </c>
      <c r="H26" s="4" t="inlineStr">
        <is>
          <t>Imagen 3 ($915k)</t>
        </is>
      </c>
    </row>
    <row r="27">
      <c r="A27" s="7" t="n">
        <v>22</v>
      </c>
      <c r="B27" s="7" t="inlineStr">
        <is>
          <t>Semana 28</t>
        </is>
      </c>
      <c r="C27" s="7" t="inlineStr">
        <is>
          <t>09/07/2026</t>
        </is>
      </c>
      <c r="D27" s="7" t="inlineStr">
        <is>
          <t>A-10887</t>
        </is>
      </c>
      <c r="E27" s="17" t="inlineStr">
        <is>
          <t>PROVIDENCIA</t>
        </is>
      </c>
      <c r="F27" s="7" t="inlineStr">
        <is>
          <t>DIESEL</t>
        </is>
      </c>
      <c r="G27" s="8" t="n">
        <v>10800.1</v>
      </c>
      <c r="H27" s="7" t="inlineStr">
        <is>
          <t>Imagen 3 ($915k)</t>
        </is>
      </c>
    </row>
    <row r="28">
      <c r="A28" s="4" t="n">
        <v>23</v>
      </c>
      <c r="B28" s="4" t="inlineStr">
        <is>
          <t>Semana 28</t>
        </is>
      </c>
      <c r="C28" s="4" t="inlineStr">
        <is>
          <t>09/07/2026</t>
        </is>
      </c>
      <c r="D28" s="4" t="inlineStr">
        <is>
          <t>A-10888</t>
        </is>
      </c>
      <c r="E28" s="16" t="inlineStr">
        <is>
          <t>P. DE ASFALTO HUIXQUILUCAN</t>
        </is>
      </c>
      <c r="F28" s="4" t="inlineStr">
        <is>
          <t>DIESEL</t>
        </is>
      </c>
      <c r="G28" s="5" t="n">
        <v>16201.8</v>
      </c>
      <c r="H28" s="4" t="inlineStr">
        <is>
          <t>Imagen 3 ($915k)</t>
        </is>
      </c>
    </row>
    <row r="29">
      <c r="A29" s="7" t="n">
        <v>24</v>
      </c>
      <c r="B29" s="7" t="inlineStr">
        <is>
          <t>Semana 28</t>
        </is>
      </c>
      <c r="C29" s="7" t="inlineStr">
        <is>
          <t>09/07/2026</t>
        </is>
      </c>
      <c r="D29" s="7" t="inlineStr">
        <is>
          <t>A-10889</t>
        </is>
      </c>
      <c r="E29" s="17" t="inlineStr">
        <is>
          <t>PROVIDENCIA</t>
        </is>
      </c>
      <c r="F29" s="7" t="inlineStr">
        <is>
          <t>GASOLINA</t>
        </is>
      </c>
      <c r="G29" s="8" t="n">
        <v>1000</v>
      </c>
      <c r="H29" s="7" t="inlineStr">
        <is>
          <t>Imagen 2 ($12.7k)</t>
        </is>
      </c>
    </row>
    <row r="30">
      <c r="A30" s="4" t="n">
        <v>25</v>
      </c>
      <c r="B30" s="4" t="inlineStr">
        <is>
          <t>Semana 28</t>
        </is>
      </c>
      <c r="C30" s="4" t="inlineStr">
        <is>
          <t>10/07/2026</t>
        </is>
      </c>
      <c r="D30" s="4" t="inlineStr">
        <is>
          <t>A-10893</t>
        </is>
      </c>
      <c r="E30" s="16" t="inlineStr">
        <is>
          <t>ALFREDO DEL MAZO</t>
        </is>
      </c>
      <c r="F30" s="4" t="inlineStr">
        <is>
          <t>DIESEL</t>
        </is>
      </c>
      <c r="G30" s="5" t="n">
        <v>5400.05</v>
      </c>
      <c r="H30" s="4" t="inlineStr">
        <is>
          <t>Imagen 3 ($915k)</t>
        </is>
      </c>
    </row>
    <row r="31">
      <c r="A31" s="7" t="n">
        <v>26</v>
      </c>
      <c r="B31" s="7" t="inlineStr">
        <is>
          <t>Semana 28</t>
        </is>
      </c>
      <c r="C31" s="7" t="inlineStr">
        <is>
          <t>10/07/2026</t>
        </is>
      </c>
      <c r="D31" s="7" t="inlineStr">
        <is>
          <t>A-10894</t>
        </is>
      </c>
      <c r="E31" s="17" t="inlineStr">
        <is>
          <t>LERMA</t>
        </is>
      </c>
      <c r="F31" s="7" t="inlineStr">
        <is>
          <t>DIESEL</t>
        </is>
      </c>
      <c r="G31" s="8" t="n">
        <v>18043.21</v>
      </c>
      <c r="H31" s="7" t="inlineStr">
        <is>
          <t>Imagen 3 ($915k)</t>
        </is>
      </c>
    </row>
    <row r="32">
      <c r="A32" s="4" t="n">
        <v>27</v>
      </c>
      <c r="B32" s="4" t="inlineStr">
        <is>
          <t>Semana 28</t>
        </is>
      </c>
      <c r="C32" s="4" t="inlineStr">
        <is>
          <t>10/07/2026</t>
        </is>
      </c>
      <c r="D32" s="4" t="inlineStr">
        <is>
          <t>A-10899</t>
        </is>
      </c>
      <c r="E32" s="16" t="inlineStr">
        <is>
          <t>P. DE ASFALTO HUIXQUILUCAN</t>
        </is>
      </c>
      <c r="F32" s="4" t="inlineStr">
        <is>
          <t>DIESEL</t>
        </is>
      </c>
      <c r="G32" s="5" t="n">
        <v>27000.11</v>
      </c>
      <c r="H32" s="4" t="inlineStr">
        <is>
          <t>Imagen 3 ($915k)</t>
        </is>
      </c>
    </row>
    <row r="33">
      <c r="A33" s="7" t="n">
        <v>28</v>
      </c>
      <c r="B33" s="7" t="inlineStr">
        <is>
          <t>Semana 28</t>
        </is>
      </c>
      <c r="C33" s="7" t="inlineStr">
        <is>
          <t>10/07/2026</t>
        </is>
      </c>
      <c r="D33" s="7" t="inlineStr">
        <is>
          <t>A-10900</t>
        </is>
      </c>
      <c r="E33" s="17" t="inlineStr">
        <is>
          <t>DEZAZOLVE CANALES</t>
        </is>
      </c>
      <c r="F33" s="7" t="inlineStr">
        <is>
          <t>DIESEL</t>
        </is>
      </c>
      <c r="G33" s="8" t="n">
        <v>24705.06</v>
      </c>
      <c r="H33" s="7" t="inlineStr">
        <is>
          <t>Imagen 3 ($915k)</t>
        </is>
      </c>
    </row>
    <row r="34">
      <c r="A34" s="4" t="n">
        <v>29</v>
      </c>
      <c r="B34" s="4" t="inlineStr">
        <is>
          <t>Semana 28</t>
        </is>
      </c>
      <c r="C34" s="4" t="inlineStr">
        <is>
          <t>11/07/2026</t>
        </is>
      </c>
      <c r="D34" s="4" t="inlineStr">
        <is>
          <t>A-10904</t>
        </is>
      </c>
      <c r="E34" s="16" t="inlineStr">
        <is>
          <t>P. DE ASFALTO HUIXQUILUCAN</t>
        </is>
      </c>
      <c r="F34" s="4" t="inlineStr">
        <is>
          <t>DIESEL</t>
        </is>
      </c>
      <c r="G34" s="5" t="n">
        <v>13500.06</v>
      </c>
      <c r="H34" s="4" t="inlineStr">
        <is>
          <t>Imagen 3 ($915k)</t>
        </is>
      </c>
    </row>
    <row r="35">
      <c r="A35" s="7" t="n">
        <v>30</v>
      </c>
      <c r="B35" s="7" t="inlineStr">
        <is>
          <t>Semana 28</t>
        </is>
      </c>
      <c r="C35" s="7" t="inlineStr">
        <is>
          <t>12/07/2026</t>
        </is>
      </c>
      <c r="D35" s="7" t="inlineStr">
        <is>
          <t>A-10912</t>
        </is>
      </c>
      <c r="E35" s="17" t="inlineStr">
        <is>
          <t>P. DE ASFALTO HUIXQUILUCAN</t>
        </is>
      </c>
      <c r="F35" s="7" t="inlineStr">
        <is>
          <t>DIESEL</t>
        </is>
      </c>
      <c r="G35" s="8" t="n">
        <v>8100.05</v>
      </c>
      <c r="H35" s="7" t="inlineStr">
        <is>
          <t>Imagen 3 ($915k)</t>
        </is>
      </c>
    </row>
    <row r="36">
      <c r="A36" s="18" t="inlineStr"/>
      <c r="B36" s="19" t="n"/>
      <c r="C36" s="19" t="n"/>
      <c r="D36" s="19" t="n"/>
      <c r="E36" s="20" t="inlineStr">
        <is>
          <t>SUBTOTAL SEMANA 28</t>
        </is>
      </c>
      <c r="F36" s="19" t="n"/>
      <c r="G36" s="21">
        <f>SUM(G6:G35)</f>
        <v/>
      </c>
      <c r="H36" s="19" t="n"/>
    </row>
    <row r="37" ht="20" customHeight="1">
      <c r="A37" s="14">
        <f>== SEMANA 29 (Total: 31 facturas | $499,902.83) ===</f>
        <v/>
      </c>
      <c r="B37" s="15" t="n"/>
      <c r="C37" s="15" t="n"/>
      <c r="D37" s="15" t="n"/>
      <c r="E37" s="15" t="n"/>
      <c r="F37" s="15" t="n"/>
      <c r="G37" s="15" t="n"/>
      <c r="H37" s="15" t="n"/>
    </row>
    <row r="38">
      <c r="A38" s="4" t="n">
        <v>31</v>
      </c>
      <c r="B38" s="4" t="inlineStr">
        <is>
          <t>Semana 29</t>
        </is>
      </c>
      <c r="C38" s="4" t="inlineStr">
        <is>
          <t>13/07/2026</t>
        </is>
      </c>
      <c r="D38" s="4" t="inlineStr">
        <is>
          <t>A-10420</t>
        </is>
      </c>
      <c r="E38" s="16" t="inlineStr">
        <is>
          <t>TANQUE PEGASO</t>
        </is>
      </c>
      <c r="F38" s="4" t="inlineStr">
        <is>
          <t>DIESEL</t>
        </is>
      </c>
      <c r="G38" s="5" t="n">
        <v>601.4299999999999</v>
      </c>
      <c r="H38" s="4" t="inlineStr">
        <is>
          <t>Imagen 3 ($915k)</t>
        </is>
      </c>
    </row>
    <row r="39">
      <c r="A39" s="7" t="n">
        <v>32</v>
      </c>
      <c r="B39" s="7" t="inlineStr">
        <is>
          <t>Semana 29</t>
        </is>
      </c>
      <c r="C39" s="7" t="inlineStr">
        <is>
          <t>13/07/2026</t>
        </is>
      </c>
      <c r="D39" s="7" t="inlineStr">
        <is>
          <t>A-10422</t>
        </is>
      </c>
      <c r="E39" s="17" t="inlineStr">
        <is>
          <t>VICENTE LOMBARDO</t>
        </is>
      </c>
      <c r="F39" s="7" t="inlineStr">
        <is>
          <t>DIESEL</t>
        </is>
      </c>
      <c r="G39" s="8" t="n">
        <v>14445.05</v>
      </c>
      <c r="H39" s="7" t="inlineStr">
        <is>
          <t>Imagen 3 ($915k)</t>
        </is>
      </c>
    </row>
    <row r="40">
      <c r="A40" s="4" t="n">
        <v>33</v>
      </c>
      <c r="B40" s="4" t="inlineStr">
        <is>
          <t>Semana 29</t>
        </is>
      </c>
      <c r="C40" s="4" t="inlineStr">
        <is>
          <t>13/07/2026</t>
        </is>
      </c>
      <c r="D40" s="4" t="inlineStr">
        <is>
          <t>A-10423</t>
        </is>
      </c>
      <c r="E40" s="16" t="inlineStr">
        <is>
          <t>DEZAZOLVE CANALES</t>
        </is>
      </c>
      <c r="F40" s="4" t="inlineStr">
        <is>
          <t>DIESEL</t>
        </is>
      </c>
      <c r="G40" s="5" t="n">
        <v>14445.05</v>
      </c>
      <c r="H40" s="4" t="inlineStr">
        <is>
          <t>Imagen 3 ($915k)</t>
        </is>
      </c>
    </row>
    <row r="41">
      <c r="A41" s="7" t="n">
        <v>34</v>
      </c>
      <c r="B41" s="7" t="inlineStr">
        <is>
          <t>Semana 29</t>
        </is>
      </c>
      <c r="C41" s="7" t="inlineStr">
        <is>
          <t>13/07/2026</t>
        </is>
      </c>
      <c r="D41" s="7" t="inlineStr">
        <is>
          <t>A-10424</t>
        </is>
      </c>
      <c r="E41" s="17" t="inlineStr">
        <is>
          <t>VICENTE LOMBARDO</t>
        </is>
      </c>
      <c r="F41" s="7" t="inlineStr">
        <is>
          <t>GASOLINA</t>
        </is>
      </c>
      <c r="G41" s="8" t="n">
        <v>1500</v>
      </c>
      <c r="H41" s="7" t="inlineStr">
        <is>
          <t>Imagen 2 ($12.7k)</t>
        </is>
      </c>
    </row>
    <row r="42">
      <c r="A42" s="4" t="n">
        <v>35</v>
      </c>
      <c r="B42" s="4" t="inlineStr">
        <is>
          <t>Semana 29</t>
        </is>
      </c>
      <c r="C42" s="4" t="inlineStr">
        <is>
          <t>13/07/2026</t>
        </is>
      </c>
      <c r="D42" s="4" t="inlineStr">
        <is>
          <t>A-10425</t>
        </is>
      </c>
      <c r="E42" s="16" t="inlineStr">
        <is>
          <t>ALFREDO DEL MAZO</t>
        </is>
      </c>
      <c r="F42" s="4" t="inlineStr">
        <is>
          <t>DIESEL</t>
        </is>
      </c>
      <c r="G42" s="5" t="n">
        <v>22652.97</v>
      </c>
      <c r="H42" s="4" t="inlineStr">
        <is>
          <t>Imagen 3 ($915k)</t>
        </is>
      </c>
    </row>
    <row r="43">
      <c r="A43" s="7" t="n">
        <v>36</v>
      </c>
      <c r="B43" s="7" t="inlineStr">
        <is>
          <t>Semana 29</t>
        </is>
      </c>
      <c r="C43" s="7" t="inlineStr">
        <is>
          <t>13/07/2026</t>
        </is>
      </c>
      <c r="D43" s="7" t="inlineStr">
        <is>
          <t>A-10426</t>
        </is>
      </c>
      <c r="E43" s="17" t="inlineStr">
        <is>
          <t>LERMA</t>
        </is>
      </c>
      <c r="F43" s="7" t="inlineStr">
        <is>
          <t>DIESEL</t>
        </is>
      </c>
      <c r="G43" s="8" t="n">
        <v>17804.45</v>
      </c>
      <c r="H43" s="7" t="inlineStr">
        <is>
          <t>Imagen 3 ($915k)</t>
        </is>
      </c>
    </row>
    <row r="44">
      <c r="A44" s="4" t="n">
        <v>37</v>
      </c>
      <c r="B44" s="4" t="inlineStr">
        <is>
          <t>Semana 29</t>
        </is>
      </c>
      <c r="C44" s="4" t="inlineStr">
        <is>
          <t>13/07/2026</t>
        </is>
      </c>
      <c r="D44" s="4" t="inlineStr">
        <is>
          <t>A-10427</t>
        </is>
      </c>
      <c r="E44" s="16" t="inlineStr">
        <is>
          <t>LERMA</t>
        </is>
      </c>
      <c r="F44" s="4" t="inlineStr">
        <is>
          <t>DIESEL</t>
        </is>
      </c>
      <c r="G44" s="5" t="n">
        <v>3000</v>
      </c>
      <c r="H44" s="4" t="inlineStr">
        <is>
          <t>Imagen 3 ($915k)</t>
        </is>
      </c>
    </row>
    <row r="45">
      <c r="A45" s="7" t="n">
        <v>38</v>
      </c>
      <c r="B45" s="7" t="inlineStr">
        <is>
          <t>Semana 29</t>
        </is>
      </c>
      <c r="C45" s="7" t="inlineStr">
        <is>
          <t>13/07/2026</t>
        </is>
      </c>
      <c r="D45" s="7" t="inlineStr">
        <is>
          <t>A-10434</t>
        </is>
      </c>
      <c r="E45" s="17" t="inlineStr">
        <is>
          <t>PROVIDENCIA</t>
        </is>
      </c>
      <c r="F45" s="7" t="inlineStr">
        <is>
          <t>GASOLINA</t>
        </is>
      </c>
      <c r="G45" s="8" t="n">
        <v>1200</v>
      </c>
      <c r="H45" s="7" t="inlineStr">
        <is>
          <t>Imagen 2 ($12.7k)</t>
        </is>
      </c>
    </row>
    <row r="46">
      <c r="A46" s="4" t="n">
        <v>39</v>
      </c>
      <c r="B46" s="4" t="inlineStr">
        <is>
          <t>Semana 29</t>
        </is>
      </c>
      <c r="C46" s="4" t="inlineStr">
        <is>
          <t>13/07/2026</t>
        </is>
      </c>
      <c r="D46" s="4" t="inlineStr">
        <is>
          <t>A-10511</t>
        </is>
      </c>
      <c r="E46" s="16" t="inlineStr">
        <is>
          <t>TANQUE PEGASO</t>
        </is>
      </c>
      <c r="F46" s="4" t="inlineStr">
        <is>
          <t>DIESEL</t>
        </is>
      </c>
      <c r="G46" s="5" t="n">
        <v>4197.68</v>
      </c>
      <c r="H46" s="4" t="inlineStr">
        <is>
          <t>Imagen 3 ($915k)</t>
        </is>
      </c>
    </row>
    <row r="47">
      <c r="A47" s="7" t="n">
        <v>40</v>
      </c>
      <c r="B47" s="7" t="inlineStr">
        <is>
          <t>Semana 29</t>
        </is>
      </c>
      <c r="C47" s="7" t="inlineStr">
        <is>
          <t>13/07/2026</t>
        </is>
      </c>
      <c r="D47" s="7" t="inlineStr">
        <is>
          <t>A-23783097</t>
        </is>
      </c>
      <c r="E47" s="17" t="inlineStr">
        <is>
          <t>P. DE ASFALTO HUIXQUILUCAN</t>
        </is>
      </c>
      <c r="F47" s="7" t="inlineStr">
        <is>
          <t>GASOLINA</t>
        </is>
      </c>
      <c r="G47" s="8" t="n">
        <v>1500</v>
      </c>
      <c r="H47" s="7" t="inlineStr">
        <is>
          <t>Imagen 2 ($12.7k)</t>
        </is>
      </c>
    </row>
    <row r="48">
      <c r="A48" s="4" t="n">
        <v>41</v>
      </c>
      <c r="B48" s="4" t="inlineStr">
        <is>
          <t>Semana 29</t>
        </is>
      </c>
      <c r="C48" s="4" t="inlineStr">
        <is>
          <t>14/07/2026</t>
        </is>
      </c>
      <c r="D48" s="4" t="inlineStr">
        <is>
          <t>A-10495</t>
        </is>
      </c>
      <c r="E48" s="16" t="inlineStr">
        <is>
          <t>P. DE ASFALTO HUIXQUILUCAN</t>
        </is>
      </c>
      <c r="F48" s="4" t="inlineStr">
        <is>
          <t>DIESEL</t>
        </is>
      </c>
      <c r="G48" s="5" t="n">
        <v>16200.1</v>
      </c>
      <c r="H48" s="4" t="inlineStr">
        <is>
          <t>Imagen 3 ($915k)</t>
        </is>
      </c>
    </row>
    <row r="49">
      <c r="A49" s="7" t="n">
        <v>42</v>
      </c>
      <c r="B49" s="7" t="inlineStr">
        <is>
          <t>Semana 29</t>
        </is>
      </c>
      <c r="C49" s="7" t="inlineStr">
        <is>
          <t>14/07/2026</t>
        </is>
      </c>
      <c r="D49" s="7" t="inlineStr">
        <is>
          <t>A-10496</t>
        </is>
      </c>
      <c r="E49" s="17" t="inlineStr">
        <is>
          <t>COLEGIO MILITAR</t>
        </is>
      </c>
      <c r="F49" s="7" t="inlineStr">
        <is>
          <t>DIESEL</t>
        </is>
      </c>
      <c r="G49" s="8" t="n">
        <v>27000.11</v>
      </c>
      <c r="H49" s="7" t="inlineStr">
        <is>
          <t>Imagen 1 ($747k)</t>
        </is>
      </c>
    </row>
    <row r="50">
      <c r="A50" s="4" t="n">
        <v>43</v>
      </c>
      <c r="B50" s="4" t="inlineStr">
        <is>
          <t>Semana 29</t>
        </is>
      </c>
      <c r="C50" s="4" t="inlineStr">
        <is>
          <t>14/07/2026</t>
        </is>
      </c>
      <c r="D50" s="4" t="inlineStr">
        <is>
          <t>A-10499</t>
        </is>
      </c>
      <c r="E50" s="16" t="inlineStr">
        <is>
          <t>VICENTE LOMBARDO</t>
        </is>
      </c>
      <c r="F50" s="4" t="inlineStr">
        <is>
          <t>DIESEL</t>
        </is>
      </c>
      <c r="G50" s="5" t="n">
        <v>11880</v>
      </c>
      <c r="H50" s="4" t="inlineStr">
        <is>
          <t>Imagen 3 ($915k)</t>
        </is>
      </c>
    </row>
    <row r="51">
      <c r="A51" s="7" t="n">
        <v>44</v>
      </c>
      <c r="B51" s="7" t="inlineStr">
        <is>
          <t>Semana 29</t>
        </is>
      </c>
      <c r="C51" s="7" t="inlineStr">
        <is>
          <t>14/07/2026</t>
        </is>
      </c>
      <c r="D51" s="7" t="inlineStr">
        <is>
          <t>A-10500</t>
        </is>
      </c>
      <c r="E51" s="17" t="inlineStr">
        <is>
          <t>DEZAZOLVE CANALES</t>
        </is>
      </c>
      <c r="F51" s="7" t="inlineStr">
        <is>
          <t>DIESEL</t>
        </is>
      </c>
      <c r="G51" s="8" t="n">
        <v>11880</v>
      </c>
      <c r="H51" s="7" t="inlineStr">
        <is>
          <t>Imagen 3 ($915k)</t>
        </is>
      </c>
    </row>
    <row r="52">
      <c r="A52" s="4" t="n">
        <v>45</v>
      </c>
      <c r="B52" s="4" t="inlineStr">
        <is>
          <t>Semana 29</t>
        </is>
      </c>
      <c r="C52" s="4" t="inlineStr">
        <is>
          <t>15/07/2026</t>
        </is>
      </c>
      <c r="D52" s="4" t="inlineStr">
        <is>
          <t>A-10438</t>
        </is>
      </c>
      <c r="E52" s="16" t="inlineStr">
        <is>
          <t>P. DE ASFALTO HUIXQUILUCAN</t>
        </is>
      </c>
      <c r="F52" s="4" t="inlineStr">
        <is>
          <t>DIESEL</t>
        </is>
      </c>
      <c r="G52" s="5" t="n">
        <v>8100.05</v>
      </c>
      <c r="H52" s="4" t="inlineStr">
        <is>
          <t>Imagen 3 ($915k)</t>
        </is>
      </c>
    </row>
    <row r="53">
      <c r="A53" s="7" t="n">
        <v>46</v>
      </c>
      <c r="B53" s="7" t="inlineStr">
        <is>
          <t>Semana 29</t>
        </is>
      </c>
      <c r="C53" s="7" t="inlineStr">
        <is>
          <t>15/07/2026</t>
        </is>
      </c>
      <c r="D53" s="7" t="inlineStr">
        <is>
          <t>A-10509</t>
        </is>
      </c>
      <c r="E53" s="17" t="inlineStr">
        <is>
          <t>MEXICO TOLUCA</t>
        </is>
      </c>
      <c r="F53" s="7" t="inlineStr">
        <is>
          <t>DIESEL</t>
        </is>
      </c>
      <c r="G53" s="8" t="n">
        <v>29693.92</v>
      </c>
      <c r="H53" s="7" t="inlineStr">
        <is>
          <t>Imagen 3 ($915k)</t>
        </is>
      </c>
    </row>
    <row r="54">
      <c r="A54" s="4" t="n">
        <v>47</v>
      </c>
      <c r="B54" s="4" t="inlineStr">
        <is>
          <t>Semana 29</t>
        </is>
      </c>
      <c r="C54" s="4" t="inlineStr">
        <is>
          <t>15/07/2026</t>
        </is>
      </c>
      <c r="D54" s="4" t="inlineStr">
        <is>
          <t>A-10510</t>
        </is>
      </c>
      <c r="E54" s="16" t="inlineStr">
        <is>
          <t>TANQUE PEGASO</t>
        </is>
      </c>
      <c r="F54" s="4" t="inlineStr">
        <is>
          <t>DIESEL</t>
        </is>
      </c>
      <c r="G54" s="5" t="n">
        <v>108000.36</v>
      </c>
      <c r="H54" s="4" t="inlineStr">
        <is>
          <t>Imagen 3 ($915k)</t>
        </is>
      </c>
    </row>
    <row r="55">
      <c r="A55" s="7" t="n">
        <v>48</v>
      </c>
      <c r="B55" s="7" t="inlineStr">
        <is>
          <t>Semana 29</t>
        </is>
      </c>
      <c r="C55" s="7" t="inlineStr">
        <is>
          <t>15/07/2026</t>
        </is>
      </c>
      <c r="D55" s="7" t="inlineStr">
        <is>
          <t>A-10512</t>
        </is>
      </c>
      <c r="E55" s="17" t="inlineStr">
        <is>
          <t>ALFREDO DEL MAZO</t>
        </is>
      </c>
      <c r="F55" s="7" t="inlineStr">
        <is>
          <t>DIESEL</t>
        </is>
      </c>
      <c r="G55" s="8" t="n">
        <v>10800.13</v>
      </c>
      <c r="H55" s="7" t="inlineStr">
        <is>
          <t>Imagen 3 ($915k)</t>
        </is>
      </c>
    </row>
    <row r="56">
      <c r="A56" s="4" t="n">
        <v>49</v>
      </c>
      <c r="B56" s="4" t="inlineStr">
        <is>
          <t>Semana 29</t>
        </is>
      </c>
      <c r="C56" s="4" t="inlineStr">
        <is>
          <t>15/07/2026</t>
        </is>
      </c>
      <c r="D56" s="4" t="inlineStr">
        <is>
          <t>A-10513</t>
        </is>
      </c>
      <c r="E56" s="16" t="inlineStr">
        <is>
          <t>PROVIDENCIA</t>
        </is>
      </c>
      <c r="F56" s="4" t="inlineStr">
        <is>
          <t>DIESEL</t>
        </is>
      </c>
      <c r="G56" s="5" t="n">
        <v>5400.05</v>
      </c>
      <c r="H56" s="4" t="inlineStr">
        <is>
          <t>Imagen 3 ($915k)</t>
        </is>
      </c>
    </row>
    <row r="57">
      <c r="A57" s="7" t="n">
        <v>50</v>
      </c>
      <c r="B57" s="7" t="inlineStr">
        <is>
          <t>Semana 29</t>
        </is>
      </c>
      <c r="C57" s="7" t="inlineStr">
        <is>
          <t>15/07/2026</t>
        </is>
      </c>
      <c r="D57" s="7" t="inlineStr">
        <is>
          <t>A-10514</t>
        </is>
      </c>
      <c r="E57" s="17" t="inlineStr">
        <is>
          <t>P. DE ASFALTO HUIXQUILUCAN</t>
        </is>
      </c>
      <c r="F57" s="7" t="inlineStr">
        <is>
          <t>DIESEL</t>
        </is>
      </c>
      <c r="G57" s="8" t="n">
        <v>27000.11</v>
      </c>
      <c r="H57" s="7" t="inlineStr">
        <is>
          <t>Imagen 3 ($915k)</t>
        </is>
      </c>
    </row>
    <row r="58">
      <c r="A58" s="4" t="n">
        <v>51</v>
      </c>
      <c r="B58" s="4" t="inlineStr">
        <is>
          <t>Semana 29</t>
        </is>
      </c>
      <c r="C58" s="4" t="inlineStr">
        <is>
          <t>15/07/2026</t>
        </is>
      </c>
      <c r="D58" s="4" t="inlineStr">
        <is>
          <t>A-10515</t>
        </is>
      </c>
      <c r="E58" s="16" t="inlineStr">
        <is>
          <t>P. DE ASFALTO HUIXQUILUCAN</t>
        </is>
      </c>
      <c r="F58" s="4" t="inlineStr">
        <is>
          <t>GASOLINA</t>
        </is>
      </c>
      <c r="G58" s="5" t="n">
        <v>1500</v>
      </c>
      <c r="H58" s="4" t="inlineStr">
        <is>
          <t>Imagen 2 ($12.7k)</t>
        </is>
      </c>
    </row>
    <row r="59">
      <c r="A59" s="7" t="n">
        <v>52</v>
      </c>
      <c r="B59" s="7" t="inlineStr">
        <is>
          <t>Semana 29</t>
        </is>
      </c>
      <c r="C59" s="7" t="inlineStr">
        <is>
          <t>16/07/2026</t>
        </is>
      </c>
      <c r="D59" s="7" t="inlineStr">
        <is>
          <t>A-10446</t>
        </is>
      </c>
      <c r="E59" s="17" t="inlineStr">
        <is>
          <t>ALFREDO DEL MAZO</t>
        </is>
      </c>
      <c r="F59" s="7" t="inlineStr">
        <is>
          <t>DIESEL</t>
        </is>
      </c>
      <c r="G59" s="8" t="n">
        <v>16200.1</v>
      </c>
      <c r="H59" s="7" t="inlineStr">
        <is>
          <t>Imagen 3 ($915k)</t>
        </is>
      </c>
    </row>
    <row r="60">
      <c r="A60" s="4" t="n">
        <v>53</v>
      </c>
      <c r="B60" s="4" t="inlineStr">
        <is>
          <t>Semana 29</t>
        </is>
      </c>
      <c r="C60" s="4" t="inlineStr">
        <is>
          <t>16/07/2026</t>
        </is>
      </c>
      <c r="D60" s="4" t="inlineStr">
        <is>
          <t>A-10447</t>
        </is>
      </c>
      <c r="E60" s="16" t="inlineStr">
        <is>
          <t>PROVIDENCIA</t>
        </is>
      </c>
      <c r="F60" s="4" t="inlineStr">
        <is>
          <t>DIESEL</t>
        </is>
      </c>
      <c r="G60" s="5" t="n">
        <v>10800.1</v>
      </c>
      <c r="H60" s="4" t="inlineStr">
        <is>
          <t>Imagen 3 ($915k)</t>
        </is>
      </c>
    </row>
    <row r="61">
      <c r="A61" s="7" t="n">
        <v>54</v>
      </c>
      <c r="B61" s="7" t="inlineStr">
        <is>
          <t>Semana 29</t>
        </is>
      </c>
      <c r="C61" s="7" t="inlineStr">
        <is>
          <t>16/07/2026</t>
        </is>
      </c>
      <c r="D61" s="7" t="inlineStr">
        <is>
          <t>A-10449</t>
        </is>
      </c>
      <c r="E61" s="17" t="inlineStr">
        <is>
          <t>P. DE ASFALTO HUIXQUILUCAN</t>
        </is>
      </c>
      <c r="F61" s="7" t="inlineStr">
        <is>
          <t>DIESEL</t>
        </is>
      </c>
      <c r="G61" s="8" t="n">
        <v>13500.55</v>
      </c>
      <c r="H61" s="7" t="inlineStr">
        <is>
          <t>Imagen 3 ($915k)</t>
        </is>
      </c>
    </row>
    <row r="62">
      <c r="A62" s="4" t="n">
        <v>55</v>
      </c>
      <c r="B62" s="4" t="inlineStr">
        <is>
          <t>Semana 29</t>
        </is>
      </c>
      <c r="C62" s="4" t="inlineStr">
        <is>
          <t>16/07/2026</t>
        </is>
      </c>
      <c r="D62" s="4" t="inlineStr">
        <is>
          <t>A-10453</t>
        </is>
      </c>
      <c r="E62" s="16" t="inlineStr">
        <is>
          <t>DEZAZOLVE CANALES</t>
        </is>
      </c>
      <c r="F62" s="4" t="inlineStr">
        <is>
          <t>DIESEL</t>
        </is>
      </c>
      <c r="G62" s="5" t="n">
        <v>22950.13</v>
      </c>
      <c r="H62" s="4" t="inlineStr">
        <is>
          <t>Imagen 3 ($915k)</t>
        </is>
      </c>
    </row>
    <row r="63">
      <c r="A63" s="7" t="n">
        <v>56</v>
      </c>
      <c r="B63" s="7" t="inlineStr">
        <is>
          <t>Semana 29</t>
        </is>
      </c>
      <c r="C63" s="7" t="inlineStr">
        <is>
          <t>16/07/2026</t>
        </is>
      </c>
      <c r="D63" s="7" t="inlineStr">
        <is>
          <t>A-10454</t>
        </is>
      </c>
      <c r="E63" s="17" t="inlineStr">
        <is>
          <t>TANQUE PEGASO</t>
        </is>
      </c>
      <c r="F63" s="7" t="inlineStr">
        <is>
          <t>DIESEL</t>
        </is>
      </c>
      <c r="G63" s="8" t="n">
        <v>1800.02</v>
      </c>
      <c r="H63" s="7" t="inlineStr">
        <is>
          <t>Imagen 3 ($915k)</t>
        </is>
      </c>
    </row>
    <row r="64">
      <c r="A64" s="4" t="n">
        <v>57</v>
      </c>
      <c r="B64" s="4" t="inlineStr">
        <is>
          <t>Semana 29</t>
        </is>
      </c>
      <c r="C64" s="4" t="inlineStr">
        <is>
          <t>17/07/2026</t>
        </is>
      </c>
      <c r="D64" s="4" t="inlineStr">
        <is>
          <t>A-10457</t>
        </is>
      </c>
      <c r="E64" s="16" t="inlineStr">
        <is>
          <t>LERMA</t>
        </is>
      </c>
      <c r="F64" s="4" t="inlineStr">
        <is>
          <t>DIESEL</t>
        </is>
      </c>
      <c r="G64" s="5" t="n">
        <v>27000.11</v>
      </c>
      <c r="H64" s="4" t="inlineStr">
        <is>
          <t>Imagen 3 ($915k)</t>
        </is>
      </c>
    </row>
    <row r="65">
      <c r="A65" s="7" t="n">
        <v>58</v>
      </c>
      <c r="B65" s="7" t="inlineStr">
        <is>
          <t>Semana 29</t>
        </is>
      </c>
      <c r="C65" s="7" t="inlineStr">
        <is>
          <t>17/07/2026</t>
        </is>
      </c>
      <c r="D65" s="7" t="inlineStr">
        <is>
          <t>A-10458</t>
        </is>
      </c>
      <c r="E65" s="17" t="inlineStr">
        <is>
          <t>P. DE ASFALTO HUIXQUILUCAN</t>
        </is>
      </c>
      <c r="F65" s="7" t="inlineStr">
        <is>
          <t>DIESEL</t>
        </is>
      </c>
      <c r="G65" s="8" t="n">
        <v>10800.06</v>
      </c>
      <c r="H65" s="7" t="inlineStr">
        <is>
          <t>Imagen 3 ($915k)</t>
        </is>
      </c>
    </row>
    <row r="66">
      <c r="A66" s="4" t="n">
        <v>59</v>
      </c>
      <c r="B66" s="4" t="inlineStr">
        <is>
          <t>Semana 29</t>
        </is>
      </c>
      <c r="C66" s="4" t="inlineStr">
        <is>
          <t>17/07/2026</t>
        </is>
      </c>
      <c r="D66" s="4" t="inlineStr">
        <is>
          <t>A-10459</t>
        </is>
      </c>
      <c r="E66" s="16" t="inlineStr">
        <is>
          <t>MEXICO TOLUCA</t>
        </is>
      </c>
      <c r="F66" s="4" t="inlineStr">
        <is>
          <t>DIESEL</t>
        </is>
      </c>
      <c r="G66" s="5" t="n">
        <v>32400.12</v>
      </c>
      <c r="H66" s="4" t="inlineStr">
        <is>
          <t>Imagen 3 ($915k)</t>
        </is>
      </c>
    </row>
    <row r="67">
      <c r="A67" s="7" t="n">
        <v>60</v>
      </c>
      <c r="B67" s="7" t="inlineStr">
        <is>
          <t>Semana 29</t>
        </is>
      </c>
      <c r="C67" s="7" t="inlineStr">
        <is>
          <t>17/07/2026</t>
        </is>
      </c>
      <c r="D67" s="7" t="inlineStr">
        <is>
          <t>A-23783100</t>
        </is>
      </c>
      <c r="E67" s="17" t="inlineStr">
        <is>
          <t>P. DE ASFALTO HUIXQUILUCAN</t>
        </is>
      </c>
      <c r="F67" s="7" t="inlineStr">
        <is>
          <t>DIESEL</t>
        </is>
      </c>
      <c r="G67" s="8" t="n">
        <v>5400.05</v>
      </c>
      <c r="H67" s="7" t="inlineStr">
        <is>
          <t>Imagen 1 ($747k)</t>
        </is>
      </c>
    </row>
    <row r="68">
      <c r="A68" s="4" t="n">
        <v>61</v>
      </c>
      <c r="B68" s="4" t="inlineStr">
        <is>
          <t>Semana 29</t>
        </is>
      </c>
      <c r="C68" s="4" t="inlineStr">
        <is>
          <t>18/07/2026</t>
        </is>
      </c>
      <c r="D68" s="4" t="inlineStr">
        <is>
          <t>A-10474</t>
        </is>
      </c>
      <c r="E68" s="16" t="inlineStr">
        <is>
          <t>ALFREDO DEL MAZO</t>
        </is>
      </c>
      <c r="F68" s="4" t="inlineStr">
        <is>
          <t>DIESEL</t>
        </is>
      </c>
      <c r="G68" s="5" t="n">
        <v>20250.13</v>
      </c>
      <c r="H68" s="4" t="inlineStr">
        <is>
          <t>Imagen 3 ($915k)</t>
        </is>
      </c>
    </row>
    <row r="69">
      <c r="A69" s="18" t="inlineStr"/>
      <c r="B69" s="19" t="n"/>
      <c r="C69" s="19" t="n"/>
      <c r="D69" s="19" t="n"/>
      <c r="E69" s="20" t="inlineStr">
        <is>
          <t>SUBTOTAL SEMANA 29</t>
        </is>
      </c>
      <c r="F69" s="19" t="n"/>
      <c r="G69" s="21">
        <f>SUM(G38:G68)</f>
        <v/>
      </c>
      <c r="H69" s="19" t="n"/>
    </row>
    <row r="70" ht="20" customHeight="1">
      <c r="A70" s="14">
        <f>== SEMANA 30 (Total: 30 facturas | $392,216.57) ===</f>
        <v/>
      </c>
      <c r="B70" s="15" t="n"/>
      <c r="C70" s="15" t="n"/>
      <c r="D70" s="15" t="n"/>
      <c r="E70" s="15" t="n"/>
      <c r="F70" s="15" t="n"/>
      <c r="G70" s="15" t="n"/>
      <c r="H70" s="15" t="n"/>
    </row>
    <row r="71">
      <c r="A71" s="7" t="n">
        <v>62</v>
      </c>
      <c r="B71" s="7" t="inlineStr">
        <is>
          <t>Semana 30</t>
        </is>
      </c>
      <c r="C71" s="7" t="inlineStr">
        <is>
          <t>20/07/2026</t>
        </is>
      </c>
      <c r="D71" s="7" t="inlineStr">
        <is>
          <t>A-10479</t>
        </is>
      </c>
      <c r="E71" s="17" t="inlineStr">
        <is>
          <t>PROVIDENCIA</t>
        </is>
      </c>
      <c r="F71" s="7" t="inlineStr">
        <is>
          <t>DIESEL</t>
        </is>
      </c>
      <c r="G71" s="8" t="n">
        <v>12285.08</v>
      </c>
      <c r="H71" s="7" t="inlineStr">
        <is>
          <t>Imagen 3 ($915k)</t>
        </is>
      </c>
    </row>
    <row r="72">
      <c r="A72" s="4" t="n">
        <v>63</v>
      </c>
      <c r="B72" s="4" t="inlineStr">
        <is>
          <t>Semana 30</t>
        </is>
      </c>
      <c r="C72" s="4" t="inlineStr">
        <is>
          <t>20/07/2026</t>
        </is>
      </c>
      <c r="D72" s="4" t="inlineStr">
        <is>
          <t>A-10480</t>
        </is>
      </c>
      <c r="E72" s="16" t="inlineStr">
        <is>
          <t>LERMA</t>
        </is>
      </c>
      <c r="F72" s="4" t="inlineStr">
        <is>
          <t>DIESEL</t>
        </is>
      </c>
      <c r="G72" s="5" t="n">
        <v>14715.08</v>
      </c>
      <c r="H72" s="4" t="inlineStr">
        <is>
          <t>Imagen 3 ($915k)</t>
        </is>
      </c>
    </row>
    <row r="73">
      <c r="A73" s="7" t="n">
        <v>64</v>
      </c>
      <c r="B73" s="7" t="inlineStr">
        <is>
          <t>Semana 30</t>
        </is>
      </c>
      <c r="C73" s="7" t="inlineStr">
        <is>
          <t>20/07/2026</t>
        </is>
      </c>
      <c r="D73" s="7" t="inlineStr">
        <is>
          <t>A-10482</t>
        </is>
      </c>
      <c r="E73" s="17" t="inlineStr">
        <is>
          <t>UTILITARIOS OBRAS</t>
        </is>
      </c>
      <c r="F73" s="7" t="inlineStr">
        <is>
          <t>GASOLINA</t>
        </is>
      </c>
      <c r="G73" s="8" t="n">
        <v>2500</v>
      </c>
      <c r="H73" s="7" t="inlineStr">
        <is>
          <t>Imagen 2 ($12.7k)</t>
        </is>
      </c>
    </row>
    <row r="74">
      <c r="A74" s="4" t="n">
        <v>65</v>
      </c>
      <c r="B74" s="4" t="inlineStr">
        <is>
          <t>Semana 30</t>
        </is>
      </c>
      <c r="C74" s="4" t="inlineStr">
        <is>
          <t>20/07/2026</t>
        </is>
      </c>
      <c r="D74" s="4" t="inlineStr">
        <is>
          <t>A-10483</t>
        </is>
      </c>
      <c r="E74" s="16" t="inlineStr">
        <is>
          <t>DEZAZOLVE CANALES</t>
        </is>
      </c>
      <c r="F74" s="4" t="inlineStr">
        <is>
          <t>DIESEL</t>
        </is>
      </c>
      <c r="G74" s="5" t="n">
        <v>16200.1</v>
      </c>
      <c r="H74" s="4" t="inlineStr">
        <is>
          <t>Imagen 3 ($915k)</t>
        </is>
      </c>
    </row>
    <row r="75">
      <c r="A75" s="7" t="n">
        <v>66</v>
      </c>
      <c r="B75" s="7" t="inlineStr">
        <is>
          <t>Semana 30</t>
        </is>
      </c>
      <c r="C75" s="7" t="inlineStr">
        <is>
          <t>20/07/2026</t>
        </is>
      </c>
      <c r="D75" s="7" t="inlineStr">
        <is>
          <t>A-10484</t>
        </is>
      </c>
      <c r="E75" s="17" t="inlineStr">
        <is>
          <t>BACHEO TOLUCA</t>
        </is>
      </c>
      <c r="F75" s="7" t="inlineStr">
        <is>
          <t>GASOLINA</t>
        </is>
      </c>
      <c r="G75" s="8" t="n">
        <v>1857.15</v>
      </c>
      <c r="H75" s="7" t="inlineStr">
        <is>
          <t>Imagen 1 ($747k)</t>
        </is>
      </c>
    </row>
    <row r="76">
      <c r="A76" s="4" t="n">
        <v>67</v>
      </c>
      <c r="B76" s="4" t="inlineStr">
        <is>
          <t>Semana 30</t>
        </is>
      </c>
      <c r="C76" s="4" t="inlineStr">
        <is>
          <t>20/07/2026</t>
        </is>
      </c>
      <c r="D76" s="4" t="inlineStr">
        <is>
          <t>A-10484</t>
        </is>
      </c>
      <c r="E76" s="16" t="inlineStr">
        <is>
          <t>BACHEO TOLUCA</t>
        </is>
      </c>
      <c r="F76" s="4" t="inlineStr">
        <is>
          <t>DIESEL</t>
        </is>
      </c>
      <c r="G76" s="5" t="n">
        <v>11642.85</v>
      </c>
      <c r="H76" s="4" t="inlineStr">
        <is>
          <t>Imagen 3 ($915k)</t>
        </is>
      </c>
    </row>
    <row r="77">
      <c r="A77" s="7" t="n">
        <v>68</v>
      </c>
      <c r="B77" s="7" t="inlineStr">
        <is>
          <t>Semana 30</t>
        </is>
      </c>
      <c r="C77" s="7" t="inlineStr">
        <is>
          <t>20/07/2026</t>
        </is>
      </c>
      <c r="D77" s="7" t="inlineStr">
        <is>
          <t>A-10485</t>
        </is>
      </c>
      <c r="E77" s="17" t="inlineStr">
        <is>
          <t>P. DE ASFALTO HUIXQUILUCAN</t>
        </is>
      </c>
      <c r="F77" s="7" t="inlineStr">
        <is>
          <t>DIESEL</t>
        </is>
      </c>
      <c r="G77" s="8" t="n">
        <v>12150.08</v>
      </c>
      <c r="H77" s="7" t="inlineStr">
        <is>
          <t>Imagen 1 ($747k)</t>
        </is>
      </c>
    </row>
    <row r="78">
      <c r="A78" s="4" t="n">
        <v>69</v>
      </c>
      <c r="B78" s="4" t="inlineStr">
        <is>
          <t>Semana 30</t>
        </is>
      </c>
      <c r="C78" s="4" t="inlineStr">
        <is>
          <t>20/07/2026</t>
        </is>
      </c>
      <c r="D78" s="4" t="inlineStr">
        <is>
          <t>A-10486</t>
        </is>
      </c>
      <c r="E78" s="16" t="inlineStr">
        <is>
          <t>UTILITARIOS OBRAS</t>
        </is>
      </c>
      <c r="F78" s="4" t="inlineStr">
        <is>
          <t>GASOLINA</t>
        </is>
      </c>
      <c r="G78" s="5" t="n">
        <v>1204.63</v>
      </c>
      <c r="H78" s="4" t="inlineStr">
        <is>
          <t>Imagen 2 ($12.7k)</t>
        </is>
      </c>
    </row>
    <row r="79">
      <c r="A79" s="7" t="n">
        <v>70</v>
      </c>
      <c r="B79" s="7" t="inlineStr">
        <is>
          <t>Semana 30</t>
        </is>
      </c>
      <c r="C79" s="7" t="inlineStr">
        <is>
          <t>20/07/2026</t>
        </is>
      </c>
      <c r="D79" s="7" t="inlineStr">
        <is>
          <t>A-10491</t>
        </is>
      </c>
      <c r="E79" s="17" t="inlineStr">
        <is>
          <t>P. DE ASFALTO HUIXQUILUCAN</t>
        </is>
      </c>
      <c r="F79" s="7" t="inlineStr">
        <is>
          <t>DIESEL</t>
        </is>
      </c>
      <c r="G79" s="8" t="n">
        <v>21600.09</v>
      </c>
      <c r="H79" s="7" t="inlineStr">
        <is>
          <t>Imagen 1 ($747k)</t>
        </is>
      </c>
    </row>
    <row r="80">
      <c r="A80" s="4" t="n">
        <v>71</v>
      </c>
      <c r="B80" s="4" t="inlineStr">
        <is>
          <t>Semana 30</t>
        </is>
      </c>
      <c r="C80" s="4" t="inlineStr">
        <is>
          <t>20/07/2026</t>
        </is>
      </c>
      <c r="D80" s="4" t="inlineStr">
        <is>
          <t>A-10492</t>
        </is>
      </c>
      <c r="E80" s="16" t="inlineStr">
        <is>
          <t>ALFREDO DEL MAZO</t>
        </is>
      </c>
      <c r="F80" s="4" t="inlineStr">
        <is>
          <t>DIESEL</t>
        </is>
      </c>
      <c r="G80" s="5" t="n">
        <v>10800.97</v>
      </c>
      <c r="H80" s="4" t="inlineStr">
        <is>
          <t>Imagen 1 ($747k)</t>
        </is>
      </c>
    </row>
    <row r="81">
      <c r="A81" s="7" t="n">
        <v>72</v>
      </c>
      <c r="B81" s="7" t="inlineStr">
        <is>
          <t>Semana 30</t>
        </is>
      </c>
      <c r="C81" s="7" t="inlineStr">
        <is>
          <t>20/07/2026</t>
        </is>
      </c>
      <c r="D81" s="7" t="inlineStr">
        <is>
          <t>A-10545</t>
        </is>
      </c>
      <c r="E81" s="17" t="inlineStr">
        <is>
          <t>UTILITARIOS OBRAS</t>
        </is>
      </c>
      <c r="F81" s="7" t="inlineStr">
        <is>
          <t>GASOLINA</t>
        </is>
      </c>
      <c r="G81" s="8" t="n">
        <v>1000</v>
      </c>
      <c r="H81" s="7" t="inlineStr">
        <is>
          <t>Imagen 2 ($12.7k)</t>
        </is>
      </c>
    </row>
    <row r="82">
      <c r="A82" s="4" t="n">
        <v>73</v>
      </c>
      <c r="B82" s="4" t="inlineStr">
        <is>
          <t>Semana 30</t>
        </is>
      </c>
      <c r="C82" s="4" t="inlineStr">
        <is>
          <t>21/07/2026</t>
        </is>
      </c>
      <c r="D82" s="4" t="inlineStr">
        <is>
          <t>A-10520</t>
        </is>
      </c>
      <c r="E82" s="16" t="inlineStr">
        <is>
          <t>P. DE ASFALTO HUIXQUILUCAN</t>
        </is>
      </c>
      <c r="F82" s="4" t="inlineStr">
        <is>
          <t>DIESEL</t>
        </is>
      </c>
      <c r="G82" s="5" t="n">
        <v>10800.13</v>
      </c>
      <c r="H82" s="4" t="inlineStr">
        <is>
          <t>Imagen 1 ($747k)</t>
        </is>
      </c>
    </row>
    <row r="83">
      <c r="A83" s="7" t="n">
        <v>74</v>
      </c>
      <c r="B83" s="7" t="inlineStr">
        <is>
          <t>Semana 30</t>
        </is>
      </c>
      <c r="C83" s="7" t="inlineStr">
        <is>
          <t>21/07/2026</t>
        </is>
      </c>
      <c r="D83" s="7" t="inlineStr">
        <is>
          <t>A-10521</t>
        </is>
      </c>
      <c r="E83" s="17" t="inlineStr">
        <is>
          <t>DEZAZOLVE CANALES</t>
        </is>
      </c>
      <c r="F83" s="7" t="inlineStr">
        <is>
          <t>DIESEL</t>
        </is>
      </c>
      <c r="G83" s="8" t="n">
        <v>21600.15</v>
      </c>
      <c r="H83" s="7" t="inlineStr">
        <is>
          <t>Imagen 1 ($747k)</t>
        </is>
      </c>
    </row>
    <row r="84">
      <c r="A84" s="4" t="n">
        <v>75</v>
      </c>
      <c r="B84" s="4" t="inlineStr">
        <is>
          <t>Semana 30</t>
        </is>
      </c>
      <c r="C84" s="4" t="inlineStr">
        <is>
          <t>21/07/2026</t>
        </is>
      </c>
      <c r="D84" s="4" t="inlineStr">
        <is>
          <t>A-10522</t>
        </is>
      </c>
      <c r="E84" s="16" t="inlineStr">
        <is>
          <t>MEXICO TOLUCA</t>
        </is>
      </c>
      <c r="F84" s="4" t="inlineStr">
        <is>
          <t>DIESEL</t>
        </is>
      </c>
      <c r="G84" s="5" t="n">
        <v>25925</v>
      </c>
      <c r="H84" s="4" t="inlineStr">
        <is>
          <t>Imagen 1 ($747k)</t>
        </is>
      </c>
    </row>
    <row r="85">
      <c r="A85" s="7" t="n">
        <v>76</v>
      </c>
      <c r="B85" s="7" t="inlineStr">
        <is>
          <t>Semana 30</t>
        </is>
      </c>
      <c r="C85" s="7" t="inlineStr">
        <is>
          <t>21/07/2026</t>
        </is>
      </c>
      <c r="D85" s="7" t="inlineStr">
        <is>
          <t>A-10532</t>
        </is>
      </c>
      <c r="E85" s="17" t="inlineStr">
        <is>
          <t>ALFREDO DEL MAZO</t>
        </is>
      </c>
      <c r="F85" s="7" t="inlineStr">
        <is>
          <t>DIESEL</t>
        </is>
      </c>
      <c r="G85" s="8" t="n">
        <v>5400.05</v>
      </c>
      <c r="H85" s="7" t="inlineStr">
        <is>
          <t>Imagen 1 ($747k)</t>
        </is>
      </c>
    </row>
    <row r="86">
      <c r="A86" s="4" t="n">
        <v>77</v>
      </c>
      <c r="B86" s="4" t="inlineStr">
        <is>
          <t>Semana 30</t>
        </is>
      </c>
      <c r="C86" s="4" t="inlineStr">
        <is>
          <t>22/07/2026</t>
        </is>
      </c>
      <c r="D86" s="4" t="inlineStr">
        <is>
          <t>A-10535</t>
        </is>
      </c>
      <c r="E86" s="16" t="inlineStr">
        <is>
          <t>P. DE ASFALTO HUIXQUILUCAN</t>
        </is>
      </c>
      <c r="F86" s="4" t="inlineStr">
        <is>
          <t>DIESEL</t>
        </is>
      </c>
      <c r="G86" s="5" t="n">
        <v>21600.15</v>
      </c>
      <c r="H86" s="4" t="inlineStr">
        <is>
          <t>Imagen 1 ($747k)</t>
        </is>
      </c>
    </row>
    <row r="87">
      <c r="A87" s="7" t="n">
        <v>78</v>
      </c>
      <c r="B87" s="7" t="inlineStr">
        <is>
          <t>Semana 30</t>
        </is>
      </c>
      <c r="C87" s="7" t="inlineStr">
        <is>
          <t>22/07/2026</t>
        </is>
      </c>
      <c r="D87" s="7" t="inlineStr">
        <is>
          <t>A-10543</t>
        </is>
      </c>
      <c r="E87" s="17" t="inlineStr">
        <is>
          <t>DEZAZOLVE CANALES</t>
        </is>
      </c>
      <c r="F87" s="7" t="inlineStr">
        <is>
          <t>DIESEL</t>
        </is>
      </c>
      <c r="G87" s="8" t="n">
        <v>21600.15</v>
      </c>
      <c r="H87" s="7" t="inlineStr">
        <is>
          <t>Imagen 1 ($747k)</t>
        </is>
      </c>
    </row>
    <row r="88">
      <c r="A88" s="4" t="n">
        <v>79</v>
      </c>
      <c r="B88" s="4" t="inlineStr">
        <is>
          <t>Semana 30</t>
        </is>
      </c>
      <c r="C88" s="4" t="inlineStr">
        <is>
          <t>23/07/2026</t>
        </is>
      </c>
      <c r="D88" s="4" t="inlineStr">
        <is>
          <t>A-10544</t>
        </is>
      </c>
      <c r="E88" s="16" t="inlineStr">
        <is>
          <t>ALFREDO DEL MAZO</t>
        </is>
      </c>
      <c r="F88" s="4" t="inlineStr">
        <is>
          <t>DIESEL</t>
        </is>
      </c>
      <c r="G88" s="5" t="n">
        <v>8100</v>
      </c>
      <c r="H88" s="4" t="inlineStr">
        <is>
          <t>Imagen 1 ($747k)</t>
        </is>
      </c>
    </row>
    <row r="89">
      <c r="A89" s="7" t="n">
        <v>80</v>
      </c>
      <c r="B89" s="7" t="inlineStr">
        <is>
          <t>Semana 30</t>
        </is>
      </c>
      <c r="C89" s="7" t="inlineStr">
        <is>
          <t>23/07/2026</t>
        </is>
      </c>
      <c r="D89" s="7" t="inlineStr">
        <is>
          <t>A-10556</t>
        </is>
      </c>
      <c r="E89" s="17" t="inlineStr">
        <is>
          <t>P. DE ASFALTO HUIXQUILUCAN</t>
        </is>
      </c>
      <c r="F89" s="7" t="inlineStr">
        <is>
          <t>DIESEL</t>
        </is>
      </c>
      <c r="G89" s="8" t="n">
        <v>10800.1</v>
      </c>
      <c r="H89" s="7" t="inlineStr">
        <is>
          <t>Imagen 1 ($747k)</t>
        </is>
      </c>
    </row>
    <row r="90">
      <c r="A90" s="4" t="n">
        <v>81</v>
      </c>
      <c r="B90" s="4" t="inlineStr">
        <is>
          <t>Semana 30</t>
        </is>
      </c>
      <c r="C90" s="4" t="inlineStr">
        <is>
          <t>23/07/2026</t>
        </is>
      </c>
      <c r="D90" s="4" t="inlineStr">
        <is>
          <t>A-10563</t>
        </is>
      </c>
      <c r="E90" s="16" t="inlineStr">
        <is>
          <t>MEXICO TOLUCA</t>
        </is>
      </c>
      <c r="F90" s="4" t="inlineStr">
        <is>
          <t>DIESEL</t>
        </is>
      </c>
      <c r="G90" s="5" t="n">
        <v>25650.13</v>
      </c>
      <c r="H90" s="4" t="inlineStr">
        <is>
          <t>Imagen 1 ($747k)</t>
        </is>
      </c>
    </row>
    <row r="91">
      <c r="A91" s="7" t="n">
        <v>82</v>
      </c>
      <c r="B91" s="7" t="inlineStr">
        <is>
          <t>Semana 30</t>
        </is>
      </c>
      <c r="C91" s="7" t="inlineStr">
        <is>
          <t>23/07/2026</t>
        </is>
      </c>
      <c r="D91" s="7" t="inlineStr">
        <is>
          <t>A-10564</t>
        </is>
      </c>
      <c r="E91" s="17" t="inlineStr">
        <is>
          <t>DEZAZOLVE CANALES</t>
        </is>
      </c>
      <c r="F91" s="7" t="inlineStr">
        <is>
          <t>DIESEL</t>
        </is>
      </c>
      <c r="G91" s="8" t="n">
        <v>4860.05</v>
      </c>
      <c r="H91" s="7" t="inlineStr">
        <is>
          <t>Imagen 1 ($747k)</t>
        </is>
      </c>
    </row>
    <row r="92">
      <c r="A92" s="4" t="n">
        <v>83</v>
      </c>
      <c r="B92" s="4" t="inlineStr">
        <is>
          <t>Semana 30</t>
        </is>
      </c>
      <c r="C92" s="4" t="inlineStr">
        <is>
          <t>23/07/2026</t>
        </is>
      </c>
      <c r="D92" s="4" t="inlineStr">
        <is>
          <t>A-10565</t>
        </is>
      </c>
      <c r="E92" s="16" t="inlineStr">
        <is>
          <t>CONSTITUCION</t>
        </is>
      </c>
      <c r="F92" s="4" t="inlineStr">
        <is>
          <t>DIESEL</t>
        </is>
      </c>
      <c r="G92" s="5" t="n">
        <v>7290.05</v>
      </c>
      <c r="H92" s="4" t="inlineStr">
        <is>
          <t>Imagen 1 ($747k)</t>
        </is>
      </c>
    </row>
    <row r="93">
      <c r="A93" s="7" t="n">
        <v>84</v>
      </c>
      <c r="B93" s="7" t="inlineStr">
        <is>
          <t>Semana 30</t>
        </is>
      </c>
      <c r="C93" s="7" t="inlineStr">
        <is>
          <t>23/07/2026</t>
        </is>
      </c>
      <c r="D93" s="7" t="inlineStr">
        <is>
          <t>A-10572</t>
        </is>
      </c>
      <c r="E93" s="17" t="inlineStr">
        <is>
          <t>ALFREDO DEL MAZO</t>
        </is>
      </c>
      <c r="F93" s="7" t="inlineStr">
        <is>
          <t>DIESEL</t>
        </is>
      </c>
      <c r="G93" s="8" t="n">
        <v>14850.08</v>
      </c>
      <c r="H93" s="7" t="inlineStr">
        <is>
          <t>Imagen 1 ($747k)</t>
        </is>
      </c>
    </row>
    <row r="94">
      <c r="A94" s="4" t="n">
        <v>85</v>
      </c>
      <c r="B94" s="4" t="inlineStr">
        <is>
          <t>Semana 30</t>
        </is>
      </c>
      <c r="C94" s="4" t="inlineStr">
        <is>
          <t>23/07/2026</t>
        </is>
      </c>
      <c r="D94" s="4" t="inlineStr">
        <is>
          <t>A-10577</t>
        </is>
      </c>
      <c r="E94" s="16" t="inlineStr">
        <is>
          <t>ALFREDO DEL MAZO</t>
        </is>
      </c>
      <c r="F94" s="4" t="inlineStr">
        <is>
          <t>DIESEL</t>
        </is>
      </c>
      <c r="G94" s="5" t="n">
        <v>24840.1</v>
      </c>
      <c r="H94" s="4" t="inlineStr">
        <is>
          <t>Imagen 1 ($747k)</t>
        </is>
      </c>
    </row>
    <row r="95">
      <c r="A95" s="7" t="n">
        <v>86</v>
      </c>
      <c r="B95" s="7" t="inlineStr">
        <is>
          <t>Semana 30</t>
        </is>
      </c>
      <c r="C95" s="7" t="inlineStr">
        <is>
          <t>24/07/2026</t>
        </is>
      </c>
      <c r="D95" s="7" t="inlineStr">
        <is>
          <t>A-10579</t>
        </is>
      </c>
      <c r="E95" s="17" t="inlineStr">
        <is>
          <t>P. DE ASFALTO HUIXQUILUCAN</t>
        </is>
      </c>
      <c r="F95" s="7" t="inlineStr">
        <is>
          <t>DIESEL</t>
        </is>
      </c>
      <c r="G95" s="8" t="n">
        <v>10800.1</v>
      </c>
      <c r="H95" s="7" t="inlineStr">
        <is>
          <t>Imagen 1 ($747k)</t>
        </is>
      </c>
    </row>
    <row r="96">
      <c r="A96" s="4" t="n">
        <v>87</v>
      </c>
      <c r="B96" s="4" t="inlineStr">
        <is>
          <t>Semana 30</t>
        </is>
      </c>
      <c r="C96" s="4" t="inlineStr">
        <is>
          <t>24/07/2026</t>
        </is>
      </c>
      <c r="D96" s="4" t="inlineStr">
        <is>
          <t>A-10583</t>
        </is>
      </c>
      <c r="E96" s="16" t="inlineStr">
        <is>
          <t>ALFREDO DEL MAZO</t>
        </is>
      </c>
      <c r="F96" s="4" t="inlineStr">
        <is>
          <t>DIESEL</t>
        </is>
      </c>
      <c r="G96" s="5" t="n">
        <v>18900.06</v>
      </c>
      <c r="H96" s="4" t="inlineStr">
        <is>
          <t>Imagen 1 ($747k)</t>
        </is>
      </c>
    </row>
    <row r="97">
      <c r="A97" s="7" t="n">
        <v>88</v>
      </c>
      <c r="B97" s="7" t="inlineStr">
        <is>
          <t>Semana 30</t>
        </is>
      </c>
      <c r="C97" s="7" t="inlineStr">
        <is>
          <t>24/07/2026</t>
        </is>
      </c>
      <c r="D97" s="7" t="inlineStr">
        <is>
          <t>A-10586</t>
        </is>
      </c>
      <c r="E97" s="17" t="inlineStr">
        <is>
          <t>DEZAZOLVE CANALES</t>
        </is>
      </c>
      <c r="F97" s="7" t="inlineStr">
        <is>
          <t>DIESEL</t>
        </is>
      </c>
      <c r="G97" s="8" t="n">
        <v>14364.05</v>
      </c>
      <c r="H97" s="7" t="inlineStr">
        <is>
          <t>Imagen 1 ($747k)</t>
        </is>
      </c>
    </row>
    <row r="98">
      <c r="A98" s="4" t="n">
        <v>89</v>
      </c>
      <c r="B98" s="4" t="inlineStr">
        <is>
          <t>Semana 30</t>
        </is>
      </c>
      <c r="C98" s="4" t="inlineStr">
        <is>
          <t>24/07/2026</t>
        </is>
      </c>
      <c r="D98" s="4" t="inlineStr">
        <is>
          <t>A-10587</t>
        </is>
      </c>
      <c r="E98" s="16" t="inlineStr">
        <is>
          <t>MEXICO TOLUCA</t>
        </is>
      </c>
      <c r="F98" s="4" t="inlineStr">
        <is>
          <t>DIESEL</t>
        </is>
      </c>
      <c r="G98" s="5" t="n">
        <v>1080.03</v>
      </c>
      <c r="H98" s="4" t="inlineStr">
        <is>
          <t>Imagen 1 ($747k)</t>
        </is>
      </c>
    </row>
    <row r="99">
      <c r="A99" s="7" t="n">
        <v>90</v>
      </c>
      <c r="B99" s="7" t="inlineStr">
        <is>
          <t>Semana 30</t>
        </is>
      </c>
      <c r="C99" s="7" t="inlineStr">
        <is>
          <t>24/07/2026</t>
        </is>
      </c>
      <c r="D99" s="7" t="inlineStr">
        <is>
          <t>A-10588</t>
        </is>
      </c>
      <c r="E99" s="17" t="inlineStr">
        <is>
          <t>ALFREDO DEL MAZO</t>
        </is>
      </c>
      <c r="F99" s="7" t="inlineStr">
        <is>
          <t>DIESEL</t>
        </is>
      </c>
      <c r="G99" s="8" t="n">
        <v>12960.06</v>
      </c>
      <c r="H99" s="7" t="inlineStr">
        <is>
          <t>Imagen 1 ($747k)</t>
        </is>
      </c>
    </row>
    <row r="100">
      <c r="A100" s="4" t="n">
        <v>91</v>
      </c>
      <c r="B100" s="4" t="inlineStr">
        <is>
          <t>Semana 30</t>
        </is>
      </c>
      <c r="C100" s="4" t="inlineStr">
        <is>
          <t>25/07/2026</t>
        </is>
      </c>
      <c r="D100" s="4" t="inlineStr">
        <is>
          <t>A-10589</t>
        </is>
      </c>
      <c r="E100" s="16" t="inlineStr">
        <is>
          <t>MEXICO TOLUCA</t>
        </is>
      </c>
      <c r="F100" s="4" t="inlineStr">
        <is>
          <t>DIESEL</t>
        </is>
      </c>
      <c r="G100" s="5" t="n">
        <v>24840.1</v>
      </c>
      <c r="H100" s="4" t="inlineStr">
        <is>
          <t>Imagen 1 ($747k)</t>
        </is>
      </c>
    </row>
    <row r="101">
      <c r="A101" s="18" t="inlineStr"/>
      <c r="B101" s="19" t="n"/>
      <c r="C101" s="19" t="n"/>
      <c r="D101" s="19" t="n"/>
      <c r="E101" s="20" t="inlineStr">
        <is>
          <t>SUBTOTAL SEMANA 30</t>
        </is>
      </c>
      <c r="F101" s="19" t="n"/>
      <c r="G101" s="21">
        <f>SUM(G71:G100)</f>
        <v/>
      </c>
      <c r="H101" s="19" t="n"/>
    </row>
    <row r="102" ht="20" customHeight="1">
      <c r="A102" s="14">
        <f>== SEMANA 31 (Total: 27 facturas | $382,774.78) ===</f>
        <v/>
      </c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7" t="n">
        <v>92</v>
      </c>
      <c r="B103" s="7" t="inlineStr">
        <is>
          <t>Semana 31</t>
        </is>
      </c>
      <c r="C103" s="7" t="inlineStr">
        <is>
          <t>27/07/2026</t>
        </is>
      </c>
      <c r="D103" s="7" t="inlineStr">
        <is>
          <t>A-10581</t>
        </is>
      </c>
      <c r="E103" s="17" t="inlineStr">
        <is>
          <t>P. DE ASFALTO HUIXQUILUCAN</t>
        </is>
      </c>
      <c r="F103" s="7" t="inlineStr">
        <is>
          <t>DIESEL</t>
        </is>
      </c>
      <c r="G103" s="8" t="n">
        <v>10800.1</v>
      </c>
      <c r="H103" s="7" t="inlineStr">
        <is>
          <t>Imagen 1 ($747k)</t>
        </is>
      </c>
    </row>
    <row r="104">
      <c r="A104" s="4" t="n">
        <v>93</v>
      </c>
      <c r="B104" s="4" t="inlineStr">
        <is>
          <t>Semana 31</t>
        </is>
      </c>
      <c r="C104" s="4" t="inlineStr">
        <is>
          <t>27/07/2026</t>
        </is>
      </c>
      <c r="D104" s="4" t="inlineStr">
        <is>
          <t>A-10603</t>
        </is>
      </c>
      <c r="E104" s="16" t="inlineStr">
        <is>
          <t>LERMA</t>
        </is>
      </c>
      <c r="F104" s="4" t="inlineStr">
        <is>
          <t>DIESEL</t>
        </is>
      </c>
      <c r="G104" s="5" t="n">
        <v>9720.030000000001</v>
      </c>
      <c r="H104" s="4" t="inlineStr">
        <is>
          <t>Imagen 1 ($747k)</t>
        </is>
      </c>
    </row>
    <row r="105">
      <c r="A105" s="7" t="n">
        <v>94</v>
      </c>
      <c r="B105" s="7" t="inlineStr">
        <is>
          <t>Semana 31</t>
        </is>
      </c>
      <c r="C105" s="7" t="inlineStr">
        <is>
          <t>27/07/2026</t>
        </is>
      </c>
      <c r="D105" s="7" t="inlineStr">
        <is>
          <t>A-10604</t>
        </is>
      </c>
      <c r="E105" s="17" t="inlineStr">
        <is>
          <t>PROVIDENCIA</t>
        </is>
      </c>
      <c r="F105" s="7" t="inlineStr">
        <is>
          <t>DIESEL</t>
        </is>
      </c>
      <c r="G105" s="8" t="n">
        <v>3240</v>
      </c>
      <c r="H105" s="7" t="inlineStr">
        <is>
          <t>Imagen 1 ($747k)</t>
        </is>
      </c>
    </row>
    <row r="106">
      <c r="A106" s="4" t="n">
        <v>95</v>
      </c>
      <c r="B106" s="4" t="inlineStr">
        <is>
          <t>Semana 31</t>
        </is>
      </c>
      <c r="C106" s="4" t="inlineStr">
        <is>
          <t>27/07/2026</t>
        </is>
      </c>
      <c r="D106" s="4" t="inlineStr">
        <is>
          <t>A-10653</t>
        </is>
      </c>
      <c r="E106" s="16" t="inlineStr">
        <is>
          <t>BACHEO TOLUCA</t>
        </is>
      </c>
      <c r="F106" s="4" t="inlineStr">
        <is>
          <t>DIESEL</t>
        </is>
      </c>
      <c r="G106" s="5" t="n">
        <v>3105</v>
      </c>
      <c r="H106" s="4" t="inlineStr">
        <is>
          <t>Imagen 1 ($747k)</t>
        </is>
      </c>
    </row>
    <row r="107">
      <c r="A107" s="7" t="n">
        <v>96</v>
      </c>
      <c r="B107" s="7" t="inlineStr">
        <is>
          <t>Semana 31</t>
        </is>
      </c>
      <c r="C107" s="7" t="inlineStr">
        <is>
          <t>27/07/2026</t>
        </is>
      </c>
      <c r="D107" s="7" t="inlineStr">
        <is>
          <t>A-10654</t>
        </is>
      </c>
      <c r="E107" s="17" t="inlineStr">
        <is>
          <t>DEZAZOLVE CANALES</t>
        </is>
      </c>
      <c r="F107" s="7" t="inlineStr">
        <is>
          <t>DIESEL</t>
        </is>
      </c>
      <c r="G107" s="8" t="n">
        <v>24852.31</v>
      </c>
      <c r="H107" s="7" t="inlineStr">
        <is>
          <t>Imagen 1 ($747k)</t>
        </is>
      </c>
    </row>
    <row r="108">
      <c r="A108" s="4" t="n">
        <v>97</v>
      </c>
      <c r="B108" s="4" t="inlineStr">
        <is>
          <t>Semana 31</t>
        </is>
      </c>
      <c r="C108" s="4" t="inlineStr">
        <is>
          <t>28/07/2026</t>
        </is>
      </c>
      <c r="D108" s="4" t="inlineStr">
        <is>
          <t>A-10605</t>
        </is>
      </c>
      <c r="E108" s="16" t="inlineStr">
        <is>
          <t>P. DE ASFALTO HUIXQUILUCAN</t>
        </is>
      </c>
      <c r="F108" s="4" t="inlineStr">
        <is>
          <t>DIESEL</t>
        </is>
      </c>
      <c r="G108" s="5" t="n">
        <v>10800.03</v>
      </c>
      <c r="H108" s="4" t="inlineStr">
        <is>
          <t>Imagen 1 ($747k)</t>
        </is>
      </c>
    </row>
    <row r="109">
      <c r="A109" s="7" t="n">
        <v>98</v>
      </c>
      <c r="B109" s="7" t="inlineStr">
        <is>
          <t>Semana 31</t>
        </is>
      </c>
      <c r="C109" s="7" t="inlineStr">
        <is>
          <t>28/07/2026</t>
        </is>
      </c>
      <c r="D109" s="7" t="inlineStr">
        <is>
          <t>A-10623</t>
        </is>
      </c>
      <c r="E109" s="17" t="inlineStr">
        <is>
          <t>MEXICO TOLUCA</t>
        </is>
      </c>
      <c r="F109" s="7" t="inlineStr">
        <is>
          <t>DIESEL</t>
        </is>
      </c>
      <c r="G109" s="8" t="n">
        <v>30502.11</v>
      </c>
      <c r="H109" s="7" t="inlineStr">
        <is>
          <t>Imagen 1 ($747k)</t>
        </is>
      </c>
    </row>
    <row r="110">
      <c r="A110" s="4" t="n">
        <v>99</v>
      </c>
      <c r="B110" s="4" t="inlineStr">
        <is>
          <t>Semana 31</t>
        </is>
      </c>
      <c r="C110" s="4" t="inlineStr">
        <is>
          <t>28/07/2026</t>
        </is>
      </c>
      <c r="D110" s="4" t="inlineStr">
        <is>
          <t>A-10624</t>
        </is>
      </c>
      <c r="E110" s="16" t="inlineStr">
        <is>
          <t>DEZAZOLVE CANALES</t>
        </is>
      </c>
      <c r="F110" s="4" t="inlineStr">
        <is>
          <t>DIESEL</t>
        </is>
      </c>
      <c r="G110" s="5" t="n">
        <v>23490.11</v>
      </c>
      <c r="H110" s="4" t="inlineStr">
        <is>
          <t>Imagen 1 ($747k)</t>
        </is>
      </c>
    </row>
    <row r="111">
      <c r="A111" s="7" t="n">
        <v>100</v>
      </c>
      <c r="B111" s="7" t="inlineStr">
        <is>
          <t>Semana 31</t>
        </is>
      </c>
      <c r="C111" s="7" t="inlineStr">
        <is>
          <t>28/07/2026</t>
        </is>
      </c>
      <c r="D111" s="7" t="inlineStr">
        <is>
          <t>A-10625</t>
        </is>
      </c>
      <c r="E111" s="17" t="inlineStr">
        <is>
          <t>P. DE ASFALTO HUIXQUILUCAN</t>
        </is>
      </c>
      <c r="F111" s="7" t="inlineStr">
        <is>
          <t>DIESEL</t>
        </is>
      </c>
      <c r="G111" s="8" t="n">
        <v>10800.1</v>
      </c>
      <c r="H111" s="7" t="inlineStr">
        <is>
          <t>Imagen 1 ($747k)</t>
        </is>
      </c>
    </row>
    <row r="112">
      <c r="A112" s="4" t="n">
        <v>101</v>
      </c>
      <c r="B112" s="4" t="inlineStr">
        <is>
          <t>Semana 31</t>
        </is>
      </c>
      <c r="C112" s="4" t="inlineStr">
        <is>
          <t>28/07/2026</t>
        </is>
      </c>
      <c r="D112" s="4" t="inlineStr">
        <is>
          <t>A-10630</t>
        </is>
      </c>
      <c r="E112" s="16" t="inlineStr">
        <is>
          <t>P. DE ASFALTO HUIXQUILUCAN</t>
        </is>
      </c>
      <c r="F112" s="4" t="inlineStr">
        <is>
          <t>DIESEL</t>
        </is>
      </c>
      <c r="G112" s="5" t="n">
        <v>26959.9</v>
      </c>
      <c r="H112" s="4" t="inlineStr">
        <is>
          <t>Imagen 1 ($747k)</t>
        </is>
      </c>
    </row>
    <row r="113">
      <c r="A113" s="7" t="n">
        <v>102</v>
      </c>
      <c r="B113" s="7" t="inlineStr">
        <is>
          <t>Semana 31</t>
        </is>
      </c>
      <c r="C113" s="7" t="inlineStr">
        <is>
          <t>28/07/2026</t>
        </is>
      </c>
      <c r="D113" s="7" t="inlineStr">
        <is>
          <t>A-10634</t>
        </is>
      </c>
      <c r="E113" s="17" t="inlineStr">
        <is>
          <t>P. DE ASFALTO HUIXQUILUCAN</t>
        </is>
      </c>
      <c r="F113" s="7" t="inlineStr">
        <is>
          <t>DIESEL</t>
        </is>
      </c>
      <c r="G113" s="8" t="n">
        <v>1620.03</v>
      </c>
      <c r="H113" s="7" t="inlineStr">
        <is>
          <t>Imagen 1 ($747k)</t>
        </is>
      </c>
    </row>
    <row r="114">
      <c r="A114" s="4" t="n">
        <v>103</v>
      </c>
      <c r="B114" s="4" t="inlineStr">
        <is>
          <t>Semana 31</t>
        </is>
      </c>
      <c r="C114" s="4" t="inlineStr">
        <is>
          <t>28/07/2026</t>
        </is>
      </c>
      <c r="D114" s="4" t="inlineStr">
        <is>
          <t>A-10636</t>
        </is>
      </c>
      <c r="E114" s="16" t="inlineStr">
        <is>
          <t>ALFREDO DEL MAZO</t>
        </is>
      </c>
      <c r="F114" s="4" t="inlineStr">
        <is>
          <t>DIESEL</t>
        </is>
      </c>
      <c r="G114" s="5" t="n">
        <v>10260.1</v>
      </c>
      <c r="H114" s="4" t="inlineStr">
        <is>
          <t>Imagen 1 ($747k)</t>
        </is>
      </c>
    </row>
    <row r="115">
      <c r="A115" s="7" t="n">
        <v>104</v>
      </c>
      <c r="B115" s="7" t="inlineStr">
        <is>
          <t>Semana 31</t>
        </is>
      </c>
      <c r="C115" s="7" t="inlineStr">
        <is>
          <t>29/07/2026</t>
        </is>
      </c>
      <c r="D115" s="7" t="inlineStr">
        <is>
          <t>A-10635</t>
        </is>
      </c>
      <c r="E115" s="17" t="inlineStr">
        <is>
          <t>P. DE ASFALTO HUIXQUILUCAN</t>
        </is>
      </c>
      <c r="F115" s="7" t="inlineStr">
        <is>
          <t>GASOLINA / MENOR</t>
        </is>
      </c>
      <c r="G115" s="8" t="n">
        <v>1558.03</v>
      </c>
      <c r="H115" s="7" t="inlineStr">
        <is>
          <t>Imagen 1 ($747k)</t>
        </is>
      </c>
    </row>
    <row r="116">
      <c r="A116" s="4" t="n">
        <v>105</v>
      </c>
      <c r="B116" s="4" t="inlineStr">
        <is>
          <t>Semana 31</t>
        </is>
      </c>
      <c r="C116" s="4" t="inlineStr">
        <is>
          <t>29/07/2026</t>
        </is>
      </c>
      <c r="D116" s="4" t="inlineStr">
        <is>
          <t>A-10637</t>
        </is>
      </c>
      <c r="E116" s="16" t="inlineStr">
        <is>
          <t>LERMA</t>
        </is>
      </c>
      <c r="F116" s="4" t="inlineStr">
        <is>
          <t>DIESEL</t>
        </is>
      </c>
      <c r="G116" s="5" t="n">
        <v>24564.14</v>
      </c>
      <c r="H116" s="4" t="inlineStr">
        <is>
          <t>Imagen 1 ($747k)</t>
        </is>
      </c>
    </row>
    <row r="117">
      <c r="A117" s="7" t="n">
        <v>106</v>
      </c>
      <c r="B117" s="7" t="inlineStr">
        <is>
          <t>Semana 31</t>
        </is>
      </c>
      <c r="C117" s="7" t="inlineStr">
        <is>
          <t>29/07/2026</t>
        </is>
      </c>
      <c r="D117" s="7" t="inlineStr">
        <is>
          <t>A-10702</t>
        </is>
      </c>
      <c r="E117" s="17" t="inlineStr">
        <is>
          <t>DEZAZOLVE CANALES</t>
        </is>
      </c>
      <c r="F117" s="7" t="inlineStr">
        <is>
          <t>DIESEL</t>
        </is>
      </c>
      <c r="G117" s="8" t="n">
        <v>20520.09</v>
      </c>
      <c r="H117" s="7" t="inlineStr">
        <is>
          <t>Imagen 1 ($747k)</t>
        </is>
      </c>
    </row>
    <row r="118">
      <c r="A118" s="4" t="n">
        <v>107</v>
      </c>
      <c r="B118" s="4" t="inlineStr">
        <is>
          <t>Semana 31</t>
        </is>
      </c>
      <c r="C118" s="4" t="inlineStr">
        <is>
          <t>29/07/2026</t>
        </is>
      </c>
      <c r="D118" s="4" t="inlineStr">
        <is>
          <t>A-10712</t>
        </is>
      </c>
      <c r="E118" s="16" t="inlineStr">
        <is>
          <t>PROVIDENCIA</t>
        </is>
      </c>
      <c r="F118" s="4" t="inlineStr">
        <is>
          <t>DIESEL</t>
        </is>
      </c>
      <c r="G118" s="5" t="n">
        <v>1620.03</v>
      </c>
      <c r="H118" s="4" t="inlineStr">
        <is>
          <t>Imagen 1 ($747k)</t>
        </is>
      </c>
    </row>
    <row r="119">
      <c r="A119" s="7" t="n">
        <v>108</v>
      </c>
      <c r="B119" s="7" t="inlineStr">
        <is>
          <t>Semana 31</t>
        </is>
      </c>
      <c r="C119" s="7" t="inlineStr">
        <is>
          <t>29/07/2026</t>
        </is>
      </c>
      <c r="D119" s="7" t="inlineStr">
        <is>
          <t>A-10713</t>
        </is>
      </c>
      <c r="E119" s="17" t="inlineStr">
        <is>
          <t>ALFREDO DEL MAZO</t>
        </is>
      </c>
      <c r="F119" s="7" t="inlineStr">
        <is>
          <t>DIESEL</t>
        </is>
      </c>
      <c r="G119" s="8" t="n">
        <v>9736.66</v>
      </c>
      <c r="H119" s="7" t="inlineStr">
        <is>
          <t>Imagen 1 ($747k)</t>
        </is>
      </c>
    </row>
    <row r="120">
      <c r="A120" s="4" t="n">
        <v>109</v>
      </c>
      <c r="B120" s="4" t="inlineStr">
        <is>
          <t>Semana 31</t>
        </is>
      </c>
      <c r="C120" s="4" t="inlineStr">
        <is>
          <t>30/07/2026</t>
        </is>
      </c>
      <c r="D120" s="4" t="inlineStr">
        <is>
          <t>A-10652</t>
        </is>
      </c>
      <c r="E120" s="16" t="inlineStr">
        <is>
          <t>P. DE ASFALTO HUIXQUILUCAN</t>
        </is>
      </c>
      <c r="F120" s="4" t="inlineStr">
        <is>
          <t>DIESEL</t>
        </is>
      </c>
      <c r="G120" s="5" t="n">
        <v>21600.46</v>
      </c>
      <c r="H120" s="4" t="inlineStr">
        <is>
          <t>Imagen 1 ($747k)</t>
        </is>
      </c>
    </row>
    <row r="121">
      <c r="A121" s="7" t="n">
        <v>110</v>
      </c>
      <c r="B121" s="7" t="inlineStr">
        <is>
          <t>Semana 31</t>
        </is>
      </c>
      <c r="C121" s="7" t="inlineStr">
        <is>
          <t>30/07/2026</t>
        </is>
      </c>
      <c r="D121" s="7" t="inlineStr">
        <is>
          <t>A-10722</t>
        </is>
      </c>
      <c r="E121" s="17" t="inlineStr">
        <is>
          <t>P. DE ASFALTO HUIXQUILUCAN</t>
        </is>
      </c>
      <c r="F121" s="7" t="inlineStr">
        <is>
          <t>DIESEL</t>
        </is>
      </c>
      <c r="G121" s="8" t="n">
        <v>21600.14</v>
      </c>
      <c r="H121" s="7" t="inlineStr">
        <is>
          <t>Imagen 1 ($747k)</t>
        </is>
      </c>
    </row>
    <row r="122">
      <c r="A122" s="4" t="n">
        <v>111</v>
      </c>
      <c r="B122" s="4" t="inlineStr">
        <is>
          <t>Semana 31</t>
        </is>
      </c>
      <c r="C122" s="4" t="inlineStr">
        <is>
          <t>30/07/2026</t>
        </is>
      </c>
      <c r="D122" s="4" t="inlineStr">
        <is>
          <t>A-10733</t>
        </is>
      </c>
      <c r="E122" s="16" t="inlineStr">
        <is>
          <t>MEXICO TOLUCA</t>
        </is>
      </c>
      <c r="F122" s="4" t="inlineStr">
        <is>
          <t>DIESEL</t>
        </is>
      </c>
      <c r="G122" s="5" t="n">
        <v>24840.1</v>
      </c>
      <c r="H122" s="4" t="inlineStr">
        <is>
          <t>Imagen 1 ($747k)</t>
        </is>
      </c>
    </row>
    <row r="123">
      <c r="A123" s="7" t="n">
        <v>112</v>
      </c>
      <c r="B123" s="7" t="inlineStr">
        <is>
          <t>Semana 31</t>
        </is>
      </c>
      <c r="C123" s="7" t="inlineStr">
        <is>
          <t>30/07/2026</t>
        </is>
      </c>
      <c r="D123" s="7" t="inlineStr">
        <is>
          <t>A-10748</t>
        </is>
      </c>
      <c r="E123" s="17" t="inlineStr">
        <is>
          <t>P. DE ASFALTO HUIXQUILUCAN</t>
        </is>
      </c>
      <c r="F123" s="7" t="inlineStr">
        <is>
          <t>DIESEL</t>
        </is>
      </c>
      <c r="G123" s="8" t="n">
        <v>1485.03</v>
      </c>
      <c r="H123" s="7" t="inlineStr">
        <is>
          <t>Imagen 1 ($747k)</t>
        </is>
      </c>
    </row>
    <row r="124">
      <c r="A124" s="4" t="n">
        <v>113</v>
      </c>
      <c r="B124" s="4" t="inlineStr">
        <is>
          <t>Semana 31</t>
        </is>
      </c>
      <c r="C124" s="4" t="inlineStr">
        <is>
          <t>31/07/2026</t>
        </is>
      </c>
      <c r="D124" s="4" t="inlineStr">
        <is>
          <t>A-10644</t>
        </is>
      </c>
      <c r="E124" s="16" t="inlineStr">
        <is>
          <t>PROVIDENCIA</t>
        </is>
      </c>
      <c r="F124" s="4" t="inlineStr">
        <is>
          <t>DIESEL</t>
        </is>
      </c>
      <c r="G124" s="5" t="n">
        <v>3510</v>
      </c>
      <c r="H124" s="4" t="inlineStr">
        <is>
          <t>Imagen 1 ($747k)</t>
        </is>
      </c>
    </row>
    <row r="125">
      <c r="A125" s="7" t="n">
        <v>114</v>
      </c>
      <c r="B125" s="7" t="inlineStr">
        <is>
          <t>Semana 31</t>
        </is>
      </c>
      <c r="C125" s="7" t="inlineStr">
        <is>
          <t>31/07/2026</t>
        </is>
      </c>
      <c r="D125" s="7" t="inlineStr">
        <is>
          <t>A-10645</t>
        </is>
      </c>
      <c r="E125" s="17" t="inlineStr">
        <is>
          <t>ALFREDO DEL MAZO</t>
        </is>
      </c>
      <c r="F125" s="7" t="inlineStr">
        <is>
          <t>DIESEL</t>
        </is>
      </c>
      <c r="G125" s="8" t="n">
        <v>17820.03</v>
      </c>
      <c r="H125" s="7" t="inlineStr">
        <is>
          <t>Imagen 1 ($747k)</t>
        </is>
      </c>
    </row>
    <row r="126">
      <c r="A126" s="4" t="n">
        <v>115</v>
      </c>
      <c r="B126" s="4" t="inlineStr">
        <is>
          <t>Semana 31</t>
        </is>
      </c>
      <c r="C126" s="4" t="inlineStr">
        <is>
          <t>31/07/2026</t>
        </is>
      </c>
      <c r="D126" s="4" t="inlineStr">
        <is>
          <t>A-10646</t>
        </is>
      </c>
      <c r="E126" s="16" t="inlineStr">
        <is>
          <t>DEZAZOLVE CANALES</t>
        </is>
      </c>
      <c r="F126" s="4" t="inlineStr">
        <is>
          <t>DIESEL</t>
        </is>
      </c>
      <c r="G126" s="5" t="n">
        <v>25650.09</v>
      </c>
      <c r="H126" s="4" t="inlineStr">
        <is>
          <t>Imagen 1 ($747k)</t>
        </is>
      </c>
    </row>
    <row r="127">
      <c r="A127" s="7" t="n">
        <v>116</v>
      </c>
      <c r="B127" s="7" t="inlineStr">
        <is>
          <t>Semana 31</t>
        </is>
      </c>
      <c r="C127" s="7" t="inlineStr">
        <is>
          <t>01/08/2026</t>
        </is>
      </c>
      <c r="D127" s="7" t="inlineStr">
        <is>
          <t>A-10669</t>
        </is>
      </c>
      <c r="E127" s="17" t="inlineStr">
        <is>
          <t>P. DE ASFALTO HUIXQUILUCAN</t>
        </is>
      </c>
      <c r="F127" s="7" t="inlineStr">
        <is>
          <t>DIESEL</t>
        </is>
      </c>
      <c r="G127" s="8" t="n">
        <v>8100.05</v>
      </c>
      <c r="H127" s="7" t="inlineStr">
        <is>
          <t>Imagen 1 ($747k)</t>
        </is>
      </c>
    </row>
    <row r="128">
      <c r="A128" s="4" t="n">
        <v>117</v>
      </c>
      <c r="B128" s="4" t="inlineStr">
        <is>
          <t>Semana 31</t>
        </is>
      </c>
      <c r="C128" s="4" t="inlineStr">
        <is>
          <t>01/08/2026</t>
        </is>
      </c>
      <c r="D128" s="4" t="inlineStr">
        <is>
          <t>A-10673</t>
        </is>
      </c>
      <c r="E128" s="16" t="inlineStr">
        <is>
          <t>MEXICO TOLUCA</t>
        </is>
      </c>
      <c r="F128" s="4" t="inlineStr">
        <is>
          <t>DIESEL</t>
        </is>
      </c>
      <c r="G128" s="5" t="n">
        <v>25920.06</v>
      </c>
      <c r="H128" s="4" t="inlineStr">
        <is>
          <t>Imagen 1 ($747k)</t>
        </is>
      </c>
    </row>
    <row r="129">
      <c r="A129" s="7" t="n">
        <v>118</v>
      </c>
      <c r="B129" s="7" t="inlineStr">
        <is>
          <t>Semana 31</t>
        </is>
      </c>
      <c r="C129" s="7" t="inlineStr">
        <is>
          <t>01/08/2026</t>
        </is>
      </c>
      <c r="D129" s="7" t="inlineStr">
        <is>
          <t>A-10674</t>
        </is>
      </c>
      <c r="E129" s="17" t="inlineStr">
        <is>
          <t>P. DE ASFALTO HUIXQUILUCAN</t>
        </is>
      </c>
      <c r="F129" s="7" t="inlineStr">
        <is>
          <t>DIESEL</t>
        </is>
      </c>
      <c r="G129" s="8" t="n">
        <v>8100.05</v>
      </c>
      <c r="H129" s="7" t="inlineStr">
        <is>
          <t>Imagen 1 ($747k)</t>
        </is>
      </c>
    </row>
    <row r="130">
      <c r="A130" s="18" t="inlineStr"/>
      <c r="B130" s="19" t="n"/>
      <c r="C130" s="19" t="n"/>
      <c r="D130" s="19" t="n"/>
      <c r="E130" s="20" t="inlineStr">
        <is>
          <t>SUBTOTAL SEMANA 31</t>
        </is>
      </c>
      <c r="F130" s="19" t="n"/>
      <c r="G130" s="21">
        <f>SUM(G103:G129)</f>
        <v/>
      </c>
      <c r="H130" s="19" t="n"/>
    </row>
    <row r="131">
      <c r="A131" s="22" t="n"/>
      <c r="B131" s="22" t="n"/>
      <c r="C131" s="22" t="n"/>
      <c r="D131" s="22" t="n"/>
      <c r="E131" s="23" t="inlineStr">
        <is>
          <t>TOTAL GENERAL DE FACTURAS PAGADAS</t>
        </is>
      </c>
      <c r="F131" s="22" t="n"/>
      <c r="G131" s="11">
        <f>SUMIF(B5:B130, "Semana*", G5:G130)</f>
        <v/>
      </c>
      <c r="H131" s="22" t="n"/>
    </row>
  </sheetData>
  <mergeCells count="4">
    <mergeCell ref="A37:H37"/>
    <mergeCell ref="A70:H70"/>
    <mergeCell ref="A102:H102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2026-08-25T03:18:24Z</dcterms:created>
  <dcterms:modified xsi:type="dcterms:W3CDTF">2026-08-25T03:18:24Z</dcterms:modified>
</cp:coreProperties>
</file>