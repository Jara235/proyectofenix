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D4D0B5D6-9E28-436D-9BE9-4A31CFA246E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UT" sheetId="1" r:id="rId1"/>
    <sheet name="DIESEL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5" i="2" l="1"/>
  <c r="O25" i="1"/>
  <c r="Q4" i="2" l="1"/>
  <c r="O36" i="1" l="1"/>
  <c r="O17" i="1" l="1"/>
  <c r="O16" i="1"/>
  <c r="O15" i="1"/>
  <c r="O7" i="1"/>
</calcChain>
</file>

<file path=xl/sharedStrings.xml><?xml version="1.0" encoding="utf-8"?>
<sst xmlns="http://schemas.openxmlformats.org/spreadsheetml/2006/main" count="219" uniqueCount="124">
  <si>
    <r>
      <rPr>
        <b/>
        <sz val="9.5"/>
        <rFont val="Tahoma"/>
        <family val="2"/>
      </rPr>
      <t>CONSUMOS DE GASOLINA SEMANALES GT</t>
    </r>
  </si>
  <si>
    <r>
      <rPr>
        <b/>
        <sz val="6"/>
        <rFont val="Tahoma"/>
        <family val="2"/>
      </rPr>
      <t>CARGA EN GASOLINERA:</t>
    </r>
  </si>
  <si>
    <r>
      <rPr>
        <b/>
        <sz val="6"/>
        <rFont val="Tahoma"/>
        <family val="2"/>
      </rPr>
      <t>LEVET</t>
    </r>
  </si>
  <si>
    <r>
      <rPr>
        <sz val="6"/>
        <rFont val="Tahoma"/>
        <family val="2"/>
      </rPr>
      <t>OSCAR ESTRADA LINARES</t>
    </r>
  </si>
  <si>
    <r>
      <rPr>
        <sz val="6"/>
        <rFont val="Tahoma"/>
        <family val="2"/>
      </rPr>
      <t>NISSAN</t>
    </r>
  </si>
  <si>
    <r>
      <rPr>
        <b/>
        <sz val="6"/>
        <rFont val="Tahoma"/>
        <family val="2"/>
      </rPr>
      <t>NP-300 UT-31</t>
    </r>
  </si>
  <si>
    <r>
      <rPr>
        <b/>
        <sz val="6"/>
        <rFont val="Tahoma"/>
        <family val="2"/>
      </rPr>
      <t>EXPLANADA DAMIAN CARMONA</t>
    </r>
  </si>
  <si>
    <r>
      <rPr>
        <b/>
        <sz val="7.5"/>
        <rFont val="Tahoma"/>
        <family val="2"/>
      </rPr>
      <t>$</t>
    </r>
  </si>
  <si>
    <r>
      <rPr>
        <b/>
        <sz val="6"/>
        <rFont val="Tahoma"/>
        <family val="2"/>
      </rPr>
      <t>TARJETA SI VALE</t>
    </r>
  </si>
  <si>
    <r>
      <rPr>
        <b/>
        <sz val="6"/>
        <rFont val="Tahoma"/>
        <family val="2"/>
      </rPr>
      <t>ING.DIEGO CARREOLA</t>
    </r>
  </si>
  <si>
    <r>
      <rPr>
        <sz val="6"/>
        <rFont val="Tahoma"/>
        <family val="2"/>
      </rPr>
      <t>L200</t>
    </r>
  </si>
  <si>
    <r>
      <rPr>
        <b/>
        <sz val="6"/>
        <rFont val="Tahoma"/>
        <family val="2"/>
      </rPr>
      <t>BACHEO TOLUCA Y CALLE VICENTE LOMBARDO TOLEDANO</t>
    </r>
  </si>
  <si>
    <r>
      <rPr>
        <sz val="6"/>
        <rFont val="Tahoma"/>
        <family val="2"/>
      </rPr>
      <t>ING.DIEGO CARREOLA</t>
    </r>
  </si>
  <si>
    <r>
      <rPr>
        <sz val="6"/>
        <rFont val="Tahoma"/>
        <family val="2"/>
      </rPr>
      <t>DODGE RAM 3 1/2</t>
    </r>
  </si>
  <si>
    <r>
      <rPr>
        <b/>
        <sz val="6"/>
        <rFont val="Tahoma"/>
        <family val="2"/>
      </rPr>
      <t>LF05 470</t>
    </r>
  </si>
  <si>
    <r>
      <rPr>
        <sz val="6"/>
        <rFont val="Tahoma"/>
        <family val="2"/>
      </rPr>
      <t>ING.DIEGO CARREOLA -EǪUIPOS MENORES</t>
    </r>
  </si>
  <si>
    <r>
      <rPr>
        <b/>
        <sz val="6"/>
        <rFont val="Tahoma"/>
        <family val="2"/>
      </rPr>
      <t>ING JAVIER PÉREZ DÍAZ</t>
    </r>
  </si>
  <si>
    <r>
      <rPr>
        <sz val="6"/>
        <rFont val="Tahoma"/>
        <family val="2"/>
      </rPr>
      <t>l200</t>
    </r>
  </si>
  <si>
    <r>
      <rPr>
        <b/>
        <sz val="6"/>
        <rFont val="Tahoma"/>
        <family val="2"/>
      </rPr>
      <t>MHL-758-A</t>
    </r>
  </si>
  <si>
    <r>
      <rPr>
        <b/>
        <sz val="6"/>
        <rFont val="Tahoma"/>
        <family val="2"/>
      </rPr>
      <t>OBRA MEXICO TOLUCA</t>
    </r>
  </si>
  <si>
    <r>
      <rPr>
        <b/>
        <sz val="6"/>
        <rFont val="Tahoma"/>
        <family val="2"/>
      </rPr>
      <t>MOBIL HUIXǪUILUCAN</t>
    </r>
  </si>
  <si>
    <r>
      <rPr>
        <sz val="6"/>
        <rFont val="Tahoma"/>
        <family val="2"/>
      </rPr>
      <t>ALEXIS RENDÓN DOMÍNGUEZ</t>
    </r>
  </si>
  <si>
    <r>
      <rPr>
        <sz val="6"/>
        <rFont val="Tahoma"/>
        <family val="2"/>
      </rPr>
      <t>URBAN TOYOTA</t>
    </r>
  </si>
  <si>
    <r>
      <rPr>
        <b/>
        <sz val="6"/>
        <rFont val="Tahoma"/>
        <family val="2"/>
      </rPr>
      <t>PBT-1230</t>
    </r>
  </si>
  <si>
    <r>
      <rPr>
        <sz val="6"/>
        <rFont val="Tahoma"/>
        <family val="2"/>
      </rPr>
      <t>CRISTIAN REYES GOMORA</t>
    </r>
  </si>
  <si>
    <r>
      <rPr>
        <b/>
        <sz val="6"/>
        <rFont val="Tahoma"/>
        <family val="2"/>
      </rPr>
      <t>ING.APOLINAR REYES BOLAINA</t>
    </r>
  </si>
  <si>
    <r>
      <rPr>
        <b/>
        <sz val="6"/>
        <rFont val="Tahoma"/>
        <family val="2"/>
      </rPr>
      <t>LERMA TENANGO</t>
    </r>
  </si>
  <si>
    <r>
      <rPr>
        <sz val="6"/>
        <rFont val="Tahoma"/>
        <family val="2"/>
      </rPr>
      <t>LEONCIO MARTINEZ PASCACIO</t>
    </r>
  </si>
  <si>
    <r>
      <rPr>
        <sz val="6"/>
        <rFont val="Tahoma"/>
        <family val="2"/>
      </rPr>
      <t>CARMELO ALVAREZ</t>
    </r>
  </si>
  <si>
    <r>
      <rPr>
        <sz val="6"/>
        <rFont val="Tahoma"/>
        <family val="2"/>
      </rPr>
      <t>DIEGO FERNANDEZ SANTIAGO</t>
    </r>
  </si>
  <si>
    <r>
      <rPr>
        <sz val="6"/>
        <rFont val="Tahoma"/>
        <family val="2"/>
      </rPr>
      <t>CAMIONETA URBAN</t>
    </r>
  </si>
  <si>
    <r>
      <rPr>
        <sz val="6"/>
        <rFont val="Tahoma"/>
        <family val="2"/>
      </rPr>
      <t>ING.APOLINAR REYES BOLAINA-EǪUIPO MENOR</t>
    </r>
  </si>
  <si>
    <r>
      <rPr>
        <sz val="6"/>
        <rFont val="Tahoma"/>
        <family val="2"/>
      </rPr>
      <t>CORTADORA DE CONCRETO</t>
    </r>
  </si>
  <si>
    <r>
      <rPr>
        <sz val="6"/>
        <rFont val="Tahoma"/>
        <family val="2"/>
      </rPr>
      <t>MOTOR AUXILIAR PETROLIZADORA</t>
    </r>
  </si>
  <si>
    <r>
      <rPr>
        <sz val="6"/>
        <rFont val="Tahoma"/>
        <family val="2"/>
      </rPr>
      <t>MOTOR AUXILIAR PIPA DE AGUA</t>
    </r>
  </si>
  <si>
    <r>
      <rPr>
        <b/>
        <sz val="6"/>
        <rFont val="Tahoma"/>
        <family val="2"/>
      </rPr>
      <t>LUIS VALDEZ</t>
    </r>
  </si>
  <si>
    <r>
      <rPr>
        <sz val="6"/>
        <rFont val="Tahoma"/>
        <family val="2"/>
      </rPr>
      <t>CAMIONETA FORD RANGER</t>
    </r>
  </si>
  <si>
    <r>
      <rPr>
        <b/>
        <sz val="6"/>
        <rFont val="Tahoma"/>
        <family val="2"/>
      </rPr>
      <t>PCU7482</t>
    </r>
  </si>
  <si>
    <r>
      <rPr>
        <b/>
        <sz val="6"/>
        <rFont val="Tahoma"/>
        <family val="2"/>
      </rPr>
      <t>P.ASFALTO HUIX</t>
    </r>
  </si>
  <si>
    <r>
      <rPr>
        <sz val="6"/>
        <rFont val="Tahoma"/>
        <family val="2"/>
      </rPr>
      <t>LUIS VALDEZ -EǪUIPO MENOR</t>
    </r>
  </si>
  <si>
    <r>
      <rPr>
        <sz val="6"/>
        <rFont val="Tahoma"/>
        <family val="2"/>
      </rPr>
      <t>GENERADOR DE LUZ LABORATORIO</t>
    </r>
  </si>
  <si>
    <r>
      <rPr>
        <b/>
        <sz val="6"/>
        <rFont val="Tahoma"/>
        <family val="2"/>
      </rPr>
      <t>CLEMENTE SANABRIA</t>
    </r>
  </si>
  <si>
    <r>
      <rPr>
        <sz val="6"/>
        <rFont val="Tahoma"/>
        <family val="2"/>
      </rPr>
      <t>RAM L200</t>
    </r>
  </si>
  <si>
    <r>
      <rPr>
        <b/>
        <sz val="6"/>
        <rFont val="Tahoma"/>
        <family val="2"/>
      </rPr>
      <t>LHB184D</t>
    </r>
  </si>
  <si>
    <r>
      <rPr>
        <b/>
        <sz val="6"/>
        <rFont val="Tahoma"/>
        <family val="2"/>
      </rPr>
      <t>TRANSPORTES FLOTILLA</t>
    </r>
  </si>
  <si>
    <r>
      <rPr>
        <b/>
        <sz val="6"/>
        <rFont val="Tahoma"/>
        <family val="2"/>
      </rPr>
      <t>BRAYAN CHAVEZ</t>
    </r>
  </si>
  <si>
    <r>
      <rPr>
        <sz val="6"/>
        <rFont val="Tahoma"/>
        <family val="2"/>
      </rPr>
      <t>TORNADO</t>
    </r>
  </si>
  <si>
    <r>
      <rPr>
        <b/>
        <sz val="6"/>
        <rFont val="Tahoma"/>
        <family val="2"/>
      </rPr>
      <t>NUZG48C</t>
    </r>
  </si>
  <si>
    <r>
      <rPr>
        <sz val="6"/>
        <rFont val="Tahoma"/>
        <family val="2"/>
      </rPr>
      <t>BRAYAN CHAVEZ -MOTORES DE LOWBOY</t>
    </r>
  </si>
  <si>
    <r>
      <rPr>
        <b/>
        <sz val="6"/>
        <rFont val="Tahoma"/>
        <family val="2"/>
      </rPr>
      <t>ING.ROBERTO ORTEGA</t>
    </r>
  </si>
  <si>
    <r>
      <rPr>
        <b/>
        <sz val="6"/>
        <rFont val="Tahoma"/>
        <family val="2"/>
      </rPr>
      <t>MNX601B</t>
    </r>
  </si>
  <si>
    <r>
      <rPr>
        <b/>
        <sz val="6"/>
        <rFont val="Tahoma"/>
        <family val="2"/>
      </rPr>
      <t xml:space="preserve">Calle Revolución y Calle Lerdo, en
</t>
    </r>
    <r>
      <rPr>
        <b/>
        <sz val="6"/>
        <rFont val="Tahoma"/>
        <family val="2"/>
      </rPr>
      <t>la Delegación San Pedro</t>
    </r>
  </si>
  <si>
    <r>
      <rPr>
        <b/>
        <sz val="6"/>
        <rFont val="Tahoma"/>
        <family val="2"/>
      </rPr>
      <t>Totoltepec.</t>
    </r>
  </si>
  <si>
    <r>
      <rPr>
        <b/>
        <sz val="6"/>
        <rFont val="Tahoma"/>
        <family val="2"/>
      </rPr>
      <t>Calle Revolución y Calle Lerdo, en</t>
    </r>
  </si>
  <si>
    <r>
      <rPr>
        <sz val="6"/>
        <rFont val="Tahoma"/>
        <family val="2"/>
      </rPr>
      <t>ING.ROBERTO ORTEGA EǪUIPO MENORES</t>
    </r>
  </si>
  <si>
    <r>
      <rPr>
        <b/>
        <sz val="6"/>
        <rFont val="Tahoma"/>
        <family val="2"/>
      </rPr>
      <t>la Delegación San Pedro</t>
    </r>
  </si>
  <si>
    <r>
      <rPr>
        <b/>
        <sz val="6"/>
        <rFont val="Tahoma"/>
        <family val="2"/>
      </rPr>
      <t>ARǪ. SAMUEL ORTEGA</t>
    </r>
  </si>
  <si>
    <r>
      <rPr>
        <b/>
        <sz val="6"/>
        <rFont val="Tahoma"/>
        <family val="2"/>
      </rPr>
      <t>NZT266B</t>
    </r>
  </si>
  <si>
    <r>
      <rPr>
        <b/>
        <sz val="6"/>
        <rFont val="Tahoma"/>
        <family val="2"/>
      </rPr>
      <t>LAZARO PINAL</t>
    </r>
  </si>
  <si>
    <r>
      <rPr>
        <b/>
        <sz val="6"/>
        <rFont val="Tahoma"/>
        <family val="2"/>
      </rPr>
      <t>MINAS</t>
    </r>
  </si>
  <si>
    <r>
      <rPr>
        <b/>
        <sz val="6"/>
        <rFont val="Tahoma"/>
        <family val="2"/>
      </rPr>
      <t>CARLOS REYES</t>
    </r>
  </si>
  <si>
    <r>
      <rPr>
        <b/>
        <sz val="6"/>
        <rFont val="Tahoma"/>
        <family val="2"/>
      </rPr>
      <t>FLOR ARANDA</t>
    </r>
  </si>
  <si>
    <r>
      <rPr>
        <b/>
        <sz val="6"/>
        <rFont val="Tahoma"/>
        <family val="2"/>
      </rPr>
      <t>JESUS MARIN</t>
    </r>
  </si>
  <si>
    <t>FECHA DE CARGA</t>
  </si>
  <si>
    <t>CONSUMO</t>
  </si>
  <si>
    <t>LH49730</t>
  </si>
  <si>
    <r>
      <rPr>
        <sz val="6"/>
        <rFont val="Tahoma"/>
        <family val="2"/>
      </rPr>
      <t xml:space="preserve">MECANICO ALBERTO HERNANDEZ DE JESUS                               CHEVROLET S10                           </t>
    </r>
    <r>
      <rPr>
        <b/>
        <sz val="6"/>
        <rFont val="Tahoma"/>
        <family val="2"/>
      </rPr>
      <t>NXP9814           MAǪUINARIA  MEXICO-TOLUCA</t>
    </r>
  </si>
  <si>
    <t xml:space="preserve">   IMPORTE SEMANAL</t>
  </si>
  <si>
    <t>CENTRO DE TRABAJO</t>
  </si>
  <si>
    <t xml:space="preserve">PLACAS   </t>
  </si>
  <si>
    <t xml:space="preserve">RESONSABLE                                                                                                                   </t>
  </si>
  <si>
    <t xml:space="preserve">  UNIDAD   </t>
  </si>
  <si>
    <t xml:space="preserve"> BACHEO TOLUCA</t>
  </si>
  <si>
    <t>PAT-82-G8</t>
  </si>
  <si>
    <r>
      <rPr>
        <b/>
        <sz val="6"/>
        <rFont val="Tahoma"/>
        <family val="2"/>
      </rPr>
      <t xml:space="preserve">ING.ARMANDO COLIN                                                                </t>
    </r>
    <r>
      <rPr>
        <sz val="6"/>
        <rFont val="Tahoma"/>
        <family val="2"/>
      </rPr>
      <t xml:space="preserve">                         </t>
    </r>
    <r>
      <rPr>
        <b/>
        <sz val="6"/>
        <rFont val="Tahoma"/>
        <family val="2"/>
      </rPr>
      <t xml:space="preserve">                      </t>
    </r>
  </si>
  <si>
    <t xml:space="preserve">CHEVROLET S10 </t>
  </si>
  <si>
    <t>MAǪUINARIA</t>
  </si>
  <si>
    <t xml:space="preserve">     LHB-188-D  </t>
  </si>
  <si>
    <r>
      <rPr>
        <b/>
        <sz val="6"/>
        <rFont val="Tahoma"/>
        <family val="2"/>
      </rPr>
      <t xml:space="preserve">ING.ANTONIO IBAÑEZ                                                               </t>
    </r>
    <r>
      <rPr>
        <sz val="6"/>
        <rFont val="Tahoma"/>
        <family val="2"/>
      </rPr>
      <t xml:space="preserve">                </t>
    </r>
    <r>
      <rPr>
        <b/>
        <sz val="6"/>
        <rFont val="Tahoma"/>
        <family val="2"/>
      </rPr>
      <t xml:space="preserve">                       </t>
    </r>
  </si>
  <si>
    <t xml:space="preserve">RAM 1200  DODGE    </t>
  </si>
  <si>
    <t>TARJETA SI VALE</t>
  </si>
  <si>
    <t>Cuarteles Generales Valle de México/Edificios de Apoyo Armas y              
Servicios/Centro</t>
  </si>
  <si>
    <t xml:space="preserve"> LMH-8G3-A      </t>
  </si>
  <si>
    <r>
      <rPr>
        <b/>
        <sz val="6"/>
        <rFont val="Tahoma"/>
        <family val="2"/>
      </rPr>
      <t xml:space="preserve">
</t>
    </r>
    <r>
      <rPr>
        <b/>
        <vertAlign val="superscript"/>
        <sz val="6"/>
        <rFont val="Tahoma"/>
        <family val="2"/>
      </rPr>
      <t xml:space="preserve">ING.ROBERTO CARLOS GARCIA                                                         </t>
    </r>
    <r>
      <rPr>
        <vertAlign val="superscript"/>
        <sz val="6"/>
        <rFont val="Tahoma"/>
        <family val="2"/>
      </rPr>
      <t xml:space="preserve">                          </t>
    </r>
    <r>
      <rPr>
        <b/>
        <vertAlign val="superscript"/>
        <sz val="6"/>
        <rFont val="Tahoma"/>
        <family val="2"/>
      </rPr>
      <t xml:space="preserve">    </t>
    </r>
    <r>
      <rPr>
        <b/>
        <sz val="6"/>
        <rFont val="Tahoma"/>
        <family val="2"/>
      </rPr>
      <t/>
    </r>
  </si>
  <si>
    <t xml:space="preserve">ALSVIN     </t>
  </si>
  <si>
    <t>MAǪUINARIA PEGASO</t>
  </si>
  <si>
    <t xml:space="preserve"> PCW-G2-38 </t>
  </si>
  <si>
    <r>
      <rPr>
        <sz val="6"/>
        <rFont val="Tahoma"/>
        <family val="2"/>
      </rPr>
      <t xml:space="preserve">MECANICO JUAN CARLOS NAZAR                                                                </t>
    </r>
    <r>
      <rPr>
        <b/>
        <sz val="6"/>
        <rFont val="Tahoma"/>
        <family val="2"/>
      </rPr>
      <t xml:space="preserve">                  </t>
    </r>
  </si>
  <si>
    <t xml:space="preserve">PICK UP DODGE      </t>
  </si>
  <si>
    <t>PCW G3-G1</t>
  </si>
  <si>
    <r>
      <t xml:space="preserve">MECANICO EDGAR VELAZǪUEZ ESǪUIVEL                                                                      </t>
    </r>
    <r>
      <rPr>
        <b/>
        <sz val="6"/>
        <rFont val="Tahoma"/>
        <family val="2"/>
      </rPr>
      <t xml:space="preserve">                   </t>
    </r>
  </si>
  <si>
    <t>RAM-700</t>
  </si>
  <si>
    <r>
      <t xml:space="preserve">$                    1,200.00
</t>
    </r>
    <r>
      <rPr>
        <b/>
        <sz val="7.5"/>
        <rFont val="Tahoma"/>
        <family val="2"/>
      </rPr>
      <t/>
    </r>
  </si>
  <si>
    <t>REMANENTE</t>
  </si>
  <si>
    <r>
      <rPr>
        <b/>
        <sz val="7"/>
        <rFont val="Calibri"/>
        <family val="1"/>
      </rPr>
      <t>TABLA DE AUTORIZACIÓN DE SUMINISTRO DE DIÉSEL HUIXQUILUCAN (SEMANA 2026-06-22)</t>
    </r>
  </si>
  <si>
    <r>
      <rPr>
        <b/>
        <sz val="5.5"/>
        <color rgb="FFFFFFFF"/>
        <rFont val="Calibri"/>
        <family val="1"/>
      </rPr>
      <t>NO.</t>
    </r>
  </si>
  <si>
    <r>
      <rPr>
        <b/>
        <sz val="5.5"/>
        <color rgb="FFFFFFFF"/>
        <rFont val="Calibri"/>
        <family val="1"/>
      </rPr>
      <t>EJE DE SUMINISTRO (PUNTO DE CARGA)</t>
    </r>
  </si>
  <si>
    <r>
      <rPr>
        <b/>
        <sz val="5.5"/>
        <color rgb="FFFFFFFF"/>
        <rFont val="Calibri"/>
        <family val="1"/>
      </rPr>
      <t>OBRA / DESTINO FINAL</t>
    </r>
  </si>
  <si>
    <r>
      <rPr>
        <b/>
        <sz val="5.5"/>
        <color rgb="FFFFFFFF"/>
        <rFont val="Calibri"/>
        <family val="1"/>
      </rPr>
      <t>RESPONSABLE DE TRANSPORTE</t>
    </r>
  </si>
  <si>
    <r>
      <rPr>
        <b/>
        <sz val="5.5"/>
        <color rgb="FFFFFFFF"/>
        <rFont val="Calibri"/>
        <family val="1"/>
      </rPr>
      <t>LTS DIARIOS AUTORIZADOS</t>
    </r>
  </si>
  <si>
    <r>
      <rPr>
        <b/>
        <sz val="5.5"/>
        <color rgb="FFFFFFFF"/>
        <rFont val="Calibri"/>
        <family val="1"/>
      </rPr>
      <t xml:space="preserve">TOTAL SEMANAL
</t>
    </r>
    <r>
      <rPr>
        <b/>
        <sz val="5.5"/>
        <color rgb="FFFFFFFF"/>
        <rFont val="Calibri"/>
        <family val="1"/>
      </rPr>
      <t>AUTORIZADO (Lts)</t>
    </r>
  </si>
  <si>
    <r>
      <rPr>
        <sz val="5.5"/>
        <rFont val="Calibri"/>
        <family val="1"/>
      </rPr>
      <t>Unidad Marimba</t>
    </r>
  </si>
  <si>
    <r>
      <rPr>
        <sz val="5.5"/>
        <rFont val="Calibri"/>
        <family val="1"/>
      </rPr>
      <t>Frente México-Toluca</t>
    </r>
  </si>
  <si>
    <r>
      <rPr>
        <sz val="5.5"/>
        <rFont val="Calibri"/>
        <family val="1"/>
      </rPr>
      <t>Brandon</t>
    </r>
  </si>
  <si>
    <r>
      <rPr>
        <sz val="5.5"/>
        <rFont val="Calibri"/>
        <family val="1"/>
      </rPr>
      <t>Planta Huixquilucan</t>
    </r>
  </si>
  <si>
    <r>
      <rPr>
        <sz val="5.5"/>
        <rFont val="Calibri"/>
        <family val="1"/>
      </rPr>
      <t>Planta Asfaltos Huixquilucan</t>
    </r>
  </si>
  <si>
    <r>
      <rPr>
        <sz val="5.5"/>
        <rFont val="Calibri"/>
        <family val="1"/>
      </rPr>
      <t>Jack, placas PCU7482</t>
    </r>
  </si>
  <si>
    <r>
      <rPr>
        <sz val="5.5"/>
        <rFont val="Calibri"/>
        <family val="1"/>
      </rPr>
      <t>Planta Pegaso (Centro de Distribución)</t>
    </r>
  </si>
  <si>
    <r>
      <rPr>
        <sz val="5.5"/>
        <rFont val="Calibri"/>
        <family val="1"/>
      </rPr>
      <t>Lerma - Tres Marías</t>
    </r>
  </si>
  <si>
    <r>
      <rPr>
        <sz val="5.5"/>
        <rFont val="Calibri"/>
        <family val="1"/>
      </rPr>
      <t>Camioneta 3 1/2 Toneladas, Placas LD61309</t>
    </r>
  </si>
  <si>
    <r>
      <rPr>
        <sz val="5.5"/>
        <rFont val="Calibri"/>
        <family val="1"/>
      </rPr>
      <t>Planta de Asfalto Pegaso</t>
    </r>
  </si>
  <si>
    <r>
      <rPr>
        <sz val="5.5"/>
        <rFont val="Calibri"/>
        <family val="1"/>
      </rPr>
      <t>Bacheo Toluca</t>
    </r>
  </si>
  <si>
    <r>
      <rPr>
        <b/>
        <sz val="5.5"/>
        <rFont val="Calibri"/>
        <family val="1"/>
      </rPr>
      <t>GRAN TOTAL AUTORIZADO</t>
    </r>
  </si>
  <si>
    <t>NOTAS</t>
  </si>
  <si>
    <t>CARGO EN HUIXQUILUCAN</t>
  </si>
  <si>
    <t>CARGO EN LEVET</t>
  </si>
  <si>
    <t>NYC-829-C</t>
  </si>
  <si>
    <t>NYZ-971-C</t>
  </si>
  <si>
    <t>NYZ-790-C</t>
  </si>
  <si>
    <t>LH-4974-6</t>
  </si>
  <si>
    <t>TB-T1-229</t>
  </si>
  <si>
    <r>
      <t xml:space="preserve">ING.ARMANDO COLIN -EǪUIPO MENOR                                      </t>
    </r>
    <r>
      <rPr>
        <vertAlign val="superscript"/>
        <sz val="8"/>
        <rFont val="Tahoma"/>
        <family val="2"/>
      </rPr>
      <t xml:space="preserve">CHEVROLET S10                    </t>
    </r>
    <r>
      <rPr>
        <b/>
        <vertAlign val="superscript"/>
        <sz val="8"/>
        <rFont val="Tahoma"/>
        <family val="2"/>
      </rPr>
      <t>CORTADORA Y PR8                BACHEO TOLUCA</t>
    </r>
  </si>
  <si>
    <t xml:space="preserve">AUTORIZO PAOLA </t>
  </si>
  <si>
    <t>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</si>
</sst>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4" formatCode="_-&quot;$&quot;* #,##0.00_-;\-&quot;$&quot;* #,##0.00_-;_-&quot;$&quot;* &quot;-&quot;??_-;_-@_-"/>
    <numFmt numFmtId="164" formatCode="&quot;$&quot;#,##0.00"/>
  </numFmts>
  <fonts count="32" x14ac:knownFonts="1">
    <font>
      <sz val="10"/>
      <color rgb="FF000000"/>
      <name val="Times New Roman"/>
      <charset val="204"/>
    </font>
    <font>
      <b/>
      <sz val="9.5"/>
      <name val="Tahoma"/>
      <family val="2"/>
    </font>
    <font>
      <b/>
      <sz val="6"/>
      <name val="Tahoma"/>
      <family val="2"/>
    </font>
    <font>
      <sz val="6"/>
      <name val="Tahoma"/>
      <family val="2"/>
    </font>
    <font>
      <b/>
      <sz val="7.5"/>
      <name val="Tahoma"/>
      <family val="2"/>
    </font>
    <font>
      <b/>
      <sz val="7.5"/>
      <color rgb="FF000000"/>
      <name val="Tahoma"/>
      <family val="2"/>
    </font>
    <font>
      <b/>
      <vertAlign val="superscript"/>
      <sz val="6"/>
      <name val="Tahoma"/>
      <family val="2"/>
    </font>
    <font>
      <b/>
      <sz val="7.5"/>
      <name val="Tahoma"/>
      <family val="2"/>
    </font>
    <font>
      <b/>
      <sz val="6"/>
      <name val="Tahoma"/>
      <family val="2"/>
    </font>
    <font>
      <sz val="6"/>
      <name val="Tahoma"/>
      <family val="2"/>
    </font>
    <font>
      <vertAlign val="superscript"/>
      <sz val="6"/>
      <name val="Tahoma"/>
      <family val="2"/>
    </font>
    <font>
      <sz val="10"/>
      <color rgb="FF000000"/>
      <name val="Times New Roman"/>
      <family val="1"/>
    </font>
    <font>
      <sz val="8"/>
      <color rgb="FF000000"/>
      <name val="Segoe UI Black"/>
      <family val="2"/>
    </font>
    <font>
      <b/>
      <vertAlign val="superscript"/>
      <sz val="12"/>
      <name val="Aharoni"/>
    </font>
    <font>
      <b/>
      <sz val="10"/>
      <color rgb="FF000000"/>
      <name val="Times New Roman"/>
      <family val="1"/>
    </font>
    <font>
      <b/>
      <sz val="7"/>
      <name val="Calibri"/>
      <family val="2"/>
    </font>
    <font>
      <b/>
      <sz val="7"/>
      <name val="Calibri"/>
      <family val="1"/>
    </font>
    <font>
      <b/>
      <sz val="5.5"/>
      <name val="Calibri"/>
      <family val="2"/>
    </font>
    <font>
      <b/>
      <sz val="5.5"/>
      <color rgb="FFFFFFFF"/>
      <name val="Calibri"/>
      <family val="1"/>
    </font>
    <font>
      <sz val="5.5"/>
      <color rgb="FF000000"/>
      <name val="Calibri"/>
      <family val="2"/>
    </font>
    <font>
      <sz val="5.5"/>
      <name val="Calibri"/>
      <family val="2"/>
    </font>
    <font>
      <sz val="5.5"/>
      <name val="Calibri"/>
      <family val="1"/>
    </font>
    <font>
      <b/>
      <sz val="5.5"/>
      <name val="Calibri"/>
      <family val="1"/>
    </font>
    <font>
      <b/>
      <sz val="5.5"/>
      <color rgb="FF000000"/>
      <name val="Calibri"/>
      <family val="2"/>
    </font>
    <font>
      <b/>
      <sz val="6"/>
      <color theme="0"/>
      <name val="Calibri"/>
      <family val="2"/>
      <scheme val="minor"/>
    </font>
    <font>
      <sz val="6"/>
      <color rgb="FF000000"/>
      <name val="Tahoma"/>
      <family val="2"/>
    </font>
    <font>
      <b/>
      <sz val="6"/>
      <color rgb="FF000000"/>
      <name val="Calibri"/>
      <family val="2"/>
      <scheme val="minor"/>
    </font>
    <font>
      <b/>
      <sz val="6"/>
      <color rgb="FF000000"/>
      <name val="Tahoma"/>
      <family val="2"/>
    </font>
    <font>
      <sz val="8"/>
      <name val="Tahoma"/>
      <family val="2"/>
    </font>
    <font>
      <vertAlign val="superscript"/>
      <sz val="8"/>
      <name val="Tahoma"/>
      <family val="2"/>
    </font>
    <font>
      <b/>
      <vertAlign val="superscript"/>
      <sz val="8"/>
      <name val="Tahoma"/>
      <family val="2"/>
    </font>
    <font>
      <sz val="8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D9D9"/>
      </patternFill>
    </fill>
    <fill>
      <patternFill patternType="solid">
        <fgColor rgb="FFFBE2D5"/>
      </patternFill>
    </fill>
    <fill>
      <patternFill patternType="solid">
        <fgColor rgb="FFF2F2F2"/>
      </patternFill>
    </fill>
    <fill>
      <patternFill patternType="solid">
        <fgColor rgb="FF4F81BD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 style="thin">
        <color rgb="FFD9D9D9"/>
      </right>
      <top/>
      <bottom/>
      <diagonal/>
    </border>
  </borders>
  <cellStyleXfs count="2">
    <xf numFmtId="0" fontId="0" fillId="0" borderId="0"/>
    <xf numFmtId="44" fontId="11" fillId="0" borderId="0" applyFont="0" applyFill="0" applyBorder="0" applyAlignment="0" applyProtection="0"/>
  </cellStyleXfs>
  <cellXfs count="95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wrapText="1"/>
    </xf>
    <xf numFmtId="0" fontId="2" fillId="2" borderId="2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center" vertical="top" wrapText="1"/>
    </xf>
    <xf numFmtId="0" fontId="0" fillId="3" borderId="0" xfId="0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left" vertical="top" wrapText="1"/>
    </xf>
    <xf numFmtId="4" fontId="5" fillId="0" borderId="0" xfId="0" applyNumberFormat="1" applyFont="1" applyFill="1" applyBorder="1" applyAlignment="1">
      <alignment horizontal="right" vertical="top" shrinkToFit="1"/>
    </xf>
    <xf numFmtId="0" fontId="2" fillId="3" borderId="0" xfId="0" applyFont="1" applyFill="1" applyBorder="1" applyAlignment="1">
      <alignment horizontal="left" vertical="top" wrapText="1"/>
    </xf>
    <xf numFmtId="0" fontId="3" fillId="3" borderId="0" xfId="0" applyFont="1" applyFill="1" applyBorder="1" applyAlignment="1">
      <alignment horizontal="center" vertical="top" wrapText="1"/>
    </xf>
    <xf numFmtId="0" fontId="2" fillId="3" borderId="0" xfId="0" applyFont="1" applyFill="1" applyBorder="1" applyAlignment="1">
      <alignment horizontal="left" vertical="top" wrapText="1" indent="1"/>
    </xf>
    <xf numFmtId="0" fontId="4" fillId="3" borderId="0" xfId="0" applyFont="1" applyFill="1" applyBorder="1" applyAlignment="1">
      <alignment horizontal="left" vertical="top" wrapText="1"/>
    </xf>
    <xf numFmtId="4" fontId="5" fillId="3" borderId="0" xfId="0" applyNumberFormat="1" applyFont="1" applyFill="1" applyBorder="1" applyAlignment="1">
      <alignment horizontal="right" vertical="top" shrinkToFit="1"/>
    </xf>
    <xf numFmtId="0" fontId="3" fillId="0" borderId="0" xfId="0" applyFont="1" applyFill="1" applyBorder="1" applyAlignment="1">
      <alignment horizontal="left" vertical="top" wrapText="1" indent="5"/>
    </xf>
    <xf numFmtId="0" fontId="2" fillId="0" borderId="0" xfId="0" applyFont="1" applyFill="1" applyBorder="1" applyAlignment="1">
      <alignment horizontal="left" vertical="top" wrapText="1" indent="1"/>
    </xf>
    <xf numFmtId="0" fontId="3" fillId="3" borderId="0" xfId="0" applyFont="1" applyFill="1" applyBorder="1" applyAlignment="1">
      <alignment horizontal="left" vertical="top" wrapText="1"/>
    </xf>
    <xf numFmtId="2" fontId="5" fillId="3" borderId="0" xfId="0" applyNumberFormat="1" applyFont="1" applyFill="1" applyBorder="1" applyAlignment="1">
      <alignment horizontal="right" vertical="top" shrinkToFit="1"/>
    </xf>
    <xf numFmtId="0" fontId="2" fillId="0" borderId="0" xfId="0" applyFont="1" applyFill="1" applyBorder="1" applyAlignment="1">
      <alignment horizontal="left" vertical="top" wrapText="1"/>
    </xf>
    <xf numFmtId="0" fontId="3" fillId="3" borderId="0" xfId="0" applyFont="1" applyFill="1" applyBorder="1" applyAlignment="1">
      <alignment horizontal="left" vertical="top" wrapText="1" indent="5"/>
    </xf>
    <xf numFmtId="0" fontId="3" fillId="4" borderId="0" xfId="0" applyFont="1" applyFill="1" applyBorder="1" applyAlignment="1">
      <alignment horizontal="left" vertical="top" wrapText="1"/>
    </xf>
    <xf numFmtId="0" fontId="3" fillId="4" borderId="0" xfId="0" applyFont="1" applyFill="1" applyBorder="1" applyAlignment="1">
      <alignment horizontal="right" vertical="top" wrapText="1" indent="2"/>
    </xf>
    <xf numFmtId="0" fontId="0" fillId="4" borderId="0" xfId="0" applyFill="1" applyBorder="1" applyAlignment="1">
      <alignment horizontal="left" wrapText="1"/>
    </xf>
    <xf numFmtId="0" fontId="2" fillId="4" borderId="0" xfId="0" applyFont="1" applyFill="1" applyBorder="1" applyAlignment="1">
      <alignment horizontal="center" vertical="top" wrapText="1"/>
    </xf>
    <xf numFmtId="0" fontId="4" fillId="4" borderId="0" xfId="0" applyFont="1" applyFill="1" applyBorder="1" applyAlignment="1">
      <alignment horizontal="left" vertical="top" wrapText="1"/>
    </xf>
    <xf numFmtId="4" fontId="5" fillId="4" borderId="0" xfId="0" applyNumberFormat="1" applyFont="1" applyFill="1" applyBorder="1" applyAlignment="1">
      <alignment horizontal="right" vertical="top" shrinkToFit="1"/>
    </xf>
    <xf numFmtId="0" fontId="3" fillId="4" borderId="0" xfId="0" applyFont="1" applyFill="1" applyBorder="1" applyAlignment="1">
      <alignment horizontal="left" vertical="top" wrapText="1" indent="1"/>
    </xf>
    <xf numFmtId="0" fontId="3" fillId="0" borderId="0" xfId="0" applyFont="1" applyFill="1" applyBorder="1" applyAlignment="1">
      <alignment horizontal="right" vertical="top" wrapText="1" indent="2"/>
    </xf>
    <xf numFmtId="0" fontId="3" fillId="3" borderId="0" xfId="0" applyFont="1" applyFill="1" applyBorder="1" applyAlignment="1">
      <alignment horizontal="left" vertical="top" wrapText="1" indent="1"/>
    </xf>
    <xf numFmtId="0" fontId="0" fillId="3" borderId="0" xfId="0" applyFill="1" applyBorder="1" applyAlignment="1">
      <alignment horizontal="left" wrapText="1"/>
    </xf>
    <xf numFmtId="2" fontId="5" fillId="0" borderId="0" xfId="0" applyNumberFormat="1" applyFont="1" applyFill="1" applyBorder="1" applyAlignment="1">
      <alignment horizontal="right" vertical="top" shrinkToFit="1"/>
    </xf>
    <xf numFmtId="0" fontId="2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left" vertical="top" wrapText="1"/>
    </xf>
    <xf numFmtId="0" fontId="0" fillId="0" borderId="5" xfId="0" applyFill="1" applyBorder="1" applyAlignment="1">
      <alignment horizontal="left" wrapText="1"/>
    </xf>
    <xf numFmtId="0" fontId="2" fillId="0" borderId="5" xfId="0" applyFont="1" applyFill="1" applyBorder="1" applyAlignment="1">
      <alignment horizontal="center" vertical="top" wrapText="1"/>
    </xf>
    <xf numFmtId="0" fontId="4" fillId="0" borderId="5" xfId="0" applyFont="1" applyFill="1" applyBorder="1" applyAlignment="1">
      <alignment horizontal="left" vertical="top" wrapText="1"/>
    </xf>
    <xf numFmtId="4" fontId="5" fillId="0" borderId="5" xfId="0" applyNumberFormat="1" applyFont="1" applyFill="1" applyBorder="1" applyAlignment="1">
      <alignment horizontal="right" vertical="top" shrinkToFit="1"/>
    </xf>
    <xf numFmtId="14" fontId="5" fillId="0" borderId="0" xfId="0" applyNumberFormat="1" applyFont="1" applyFill="1" applyBorder="1" applyAlignment="1">
      <alignment horizontal="right" vertical="top" shrinkToFit="1"/>
    </xf>
    <xf numFmtId="14" fontId="5" fillId="3" borderId="0" xfId="0" applyNumberFormat="1" applyFont="1" applyFill="1" applyBorder="1" applyAlignment="1">
      <alignment horizontal="right" vertical="top" shrinkToFit="1"/>
    </xf>
    <xf numFmtId="164" fontId="5" fillId="0" borderId="0" xfId="0" applyNumberFormat="1" applyFont="1" applyFill="1" applyBorder="1" applyAlignment="1">
      <alignment horizontal="right" vertical="top" shrinkToFit="1"/>
    </xf>
    <xf numFmtId="164" fontId="5" fillId="3" borderId="0" xfId="0" applyNumberFormat="1" applyFont="1" applyFill="1" applyBorder="1" applyAlignment="1">
      <alignment horizontal="right" vertical="top" shrinkToFit="1"/>
    </xf>
    <xf numFmtId="0" fontId="8" fillId="0" borderId="0" xfId="0" applyFont="1" applyFill="1" applyBorder="1" applyAlignment="1">
      <alignment horizontal="center" vertical="top" wrapText="1"/>
    </xf>
    <xf numFmtId="0" fontId="13" fillId="0" borderId="2" xfId="0" applyFont="1" applyFill="1" applyBorder="1" applyAlignment="1">
      <alignment vertical="top" wrapText="1"/>
    </xf>
    <xf numFmtId="0" fontId="0" fillId="3" borderId="0" xfId="0" applyFill="1" applyBorder="1" applyAlignment="1">
      <alignment vertical="top" wrapText="1"/>
    </xf>
    <xf numFmtId="8" fontId="0" fillId="3" borderId="0" xfId="0" applyNumberFormat="1" applyFill="1" applyBorder="1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17" fillId="6" borderId="7" xfId="0" applyFont="1" applyFill="1" applyBorder="1" applyAlignment="1">
      <alignment horizontal="center" vertical="top" wrapText="1"/>
    </xf>
    <xf numFmtId="0" fontId="17" fillId="6" borderId="7" xfId="0" applyFont="1" applyFill="1" applyBorder="1" applyAlignment="1">
      <alignment horizontal="left" vertical="top" wrapText="1" indent="1"/>
    </xf>
    <xf numFmtId="0" fontId="17" fillId="6" borderId="7" xfId="0" applyFont="1" applyFill="1" applyBorder="1" applyAlignment="1">
      <alignment horizontal="left" vertical="top" wrapText="1" indent="3"/>
    </xf>
    <xf numFmtId="0" fontId="17" fillId="6" borderId="7" xfId="0" applyFont="1" applyFill="1" applyBorder="1" applyAlignment="1">
      <alignment horizontal="left" vertical="top" wrapText="1" indent="2"/>
    </xf>
    <xf numFmtId="0" fontId="0" fillId="6" borderId="7" xfId="0" applyFill="1" applyBorder="1" applyAlignment="1">
      <alignment horizontal="left" vertical="top" wrapText="1" indent="2"/>
    </xf>
    <xf numFmtId="1" fontId="19" fillId="0" borderId="7" xfId="0" applyNumberFormat="1" applyFont="1" applyBorder="1" applyAlignment="1">
      <alignment horizontal="center" vertical="top" shrinkToFit="1"/>
    </xf>
    <xf numFmtId="0" fontId="20" fillId="0" borderId="7" xfId="0" applyFont="1" applyBorder="1" applyAlignment="1">
      <alignment horizontal="left" vertical="top" wrapText="1"/>
    </xf>
    <xf numFmtId="3" fontId="19" fillId="0" borderId="7" xfId="0" applyNumberFormat="1" applyFont="1" applyBorder="1" applyAlignment="1">
      <alignment horizontal="center" vertical="top" shrinkToFit="1"/>
    </xf>
    <xf numFmtId="0" fontId="20" fillId="0" borderId="8" xfId="0" applyFont="1" applyBorder="1" applyAlignment="1">
      <alignment horizontal="left" vertical="top" wrapText="1"/>
    </xf>
    <xf numFmtId="1" fontId="19" fillId="0" borderId="8" xfId="0" applyNumberFormat="1" applyFont="1" applyBorder="1" applyAlignment="1">
      <alignment horizontal="center" vertical="top" shrinkToFit="1"/>
    </xf>
    <xf numFmtId="3" fontId="23" fillId="3" borderId="9" xfId="0" applyNumberFormat="1" applyFont="1" applyFill="1" applyBorder="1" applyAlignment="1">
      <alignment horizontal="center" vertical="top" shrinkToFit="1"/>
    </xf>
    <xf numFmtId="0" fontId="24" fillId="6" borderId="7" xfId="0" applyFont="1" applyFill="1" applyBorder="1" applyAlignment="1">
      <alignment horizontal="center" vertical="top" wrapText="1"/>
    </xf>
    <xf numFmtId="14" fontId="25" fillId="0" borderId="0" xfId="0" applyNumberFormat="1" applyFont="1" applyFill="1" applyBorder="1" applyAlignment="1">
      <alignment horizontal="right" vertical="top" shrinkToFit="1"/>
    </xf>
    <xf numFmtId="2" fontId="25" fillId="0" borderId="0" xfId="0" applyNumberFormat="1" applyFont="1" applyFill="1" applyBorder="1" applyAlignment="1">
      <alignment horizontal="right" vertical="top" shrinkToFit="1"/>
    </xf>
    <xf numFmtId="0" fontId="13" fillId="0" borderId="2" xfId="0" applyFont="1" applyFill="1" applyBorder="1" applyAlignment="1">
      <alignment vertical="top"/>
    </xf>
    <xf numFmtId="49" fontId="5" fillId="3" borderId="0" xfId="0" applyNumberFormat="1" applyFont="1" applyFill="1" applyBorder="1" applyAlignment="1">
      <alignment horizontal="right" vertical="top" shrinkToFit="1"/>
    </xf>
    <xf numFmtId="49" fontId="5" fillId="0" borderId="0" xfId="0" applyNumberFormat="1" applyFont="1" applyFill="1" applyBorder="1" applyAlignment="1">
      <alignment horizontal="right" vertical="top" shrinkToFit="1"/>
    </xf>
    <xf numFmtId="49" fontId="26" fillId="0" borderId="0" xfId="0" applyNumberFormat="1" applyFont="1" applyFill="1" applyBorder="1" applyAlignment="1">
      <alignment horizontal="center" vertical="top" wrapText="1" shrinkToFit="1"/>
    </xf>
    <xf numFmtId="49" fontId="27" fillId="0" borderId="0" xfId="0" applyNumberFormat="1" applyFont="1" applyFill="1" applyBorder="1" applyAlignment="1">
      <alignment horizontal="right" vertical="top" wrapText="1" shrinkToFit="1"/>
    </xf>
    <xf numFmtId="0" fontId="8" fillId="3" borderId="0" xfId="0" applyFont="1" applyFill="1" applyBorder="1" applyAlignment="1">
      <alignment horizontal="center" vertical="top" wrapText="1"/>
    </xf>
    <xf numFmtId="44" fontId="14" fillId="4" borderId="0" xfId="1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 vertical="top" wrapText="1"/>
    </xf>
    <xf numFmtId="0" fontId="28" fillId="0" borderId="0" xfId="0" applyFont="1" applyFill="1" applyBorder="1" applyAlignment="1">
      <alignment horizontal="left" vertical="top" wrapText="1"/>
    </xf>
    <xf numFmtId="0" fontId="31" fillId="0" borderId="0" xfId="0" applyFont="1" applyFill="1" applyBorder="1" applyAlignment="1">
      <alignment horizontal="left" vertical="top" wrapText="1"/>
    </xf>
    <xf numFmtId="0" fontId="9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12" fillId="0" borderId="2" xfId="0" applyFont="1" applyFill="1" applyBorder="1" applyAlignment="1">
      <alignment horizontal="center" vertical="top" wrapText="1"/>
    </xf>
    <xf numFmtId="0" fontId="7" fillId="4" borderId="4" xfId="0" applyFont="1" applyFill="1" applyBorder="1" applyAlignment="1">
      <alignment horizontal="center" vertical="top" wrapText="1"/>
    </xf>
    <xf numFmtId="44" fontId="7" fillId="4" borderId="4" xfId="1" applyFont="1" applyFill="1" applyBorder="1" applyAlignment="1">
      <alignment horizontal="center" vertical="top" wrapText="1"/>
    </xf>
    <xf numFmtId="0" fontId="15" fillId="5" borderId="6" xfId="0" applyFont="1" applyFill="1" applyBorder="1" applyAlignment="1">
      <alignment horizontal="center" vertical="top" wrapText="1"/>
    </xf>
    <xf numFmtId="0" fontId="15" fillId="5" borderId="0" xfId="0" applyFont="1" applyFill="1" applyAlignment="1">
      <alignment horizontal="center" vertical="top" wrapText="1"/>
    </xf>
    <xf numFmtId="1" fontId="19" fillId="0" borderId="8" xfId="0" applyNumberFormat="1" applyFont="1" applyBorder="1" applyAlignment="1">
      <alignment horizontal="center" vertical="center" shrinkToFit="1"/>
    </xf>
    <xf numFmtId="1" fontId="19" fillId="0" borderId="9" xfId="0" applyNumberFormat="1" applyFont="1" applyBorder="1" applyAlignment="1">
      <alignment horizontal="center" vertical="center" shrinkToFit="1"/>
    </xf>
    <xf numFmtId="0" fontId="20" fillId="0" borderId="8" xfId="0" applyFont="1" applyBorder="1" applyAlignment="1">
      <alignment horizontal="left" vertical="center" wrapText="1" indent="2"/>
    </xf>
    <xf numFmtId="0" fontId="20" fillId="0" borderId="9" xfId="0" applyFont="1" applyBorder="1" applyAlignment="1">
      <alignment horizontal="left" vertical="center" wrapText="1" indent="2"/>
    </xf>
    <xf numFmtId="0" fontId="20" fillId="0" borderId="8" xfId="0" applyFont="1" applyBorder="1" applyAlignment="1">
      <alignment horizontal="left" vertical="top" wrapText="1" indent="1"/>
    </xf>
    <xf numFmtId="0" fontId="20" fillId="0" borderId="9" xfId="0" applyFont="1" applyBorder="1" applyAlignment="1">
      <alignment horizontal="left" vertical="top" wrapText="1" indent="1"/>
    </xf>
    <xf numFmtId="0" fontId="17" fillId="3" borderId="6" xfId="0" applyFont="1" applyFill="1" applyBorder="1" applyAlignment="1">
      <alignment horizontal="right" vertical="top" wrapText="1"/>
    </xf>
    <xf numFmtId="0" fontId="17" fillId="3" borderId="0" xfId="0" applyFont="1" applyFill="1" applyAlignment="1">
      <alignment horizontal="right" vertical="top" wrapText="1"/>
    </xf>
    <xf numFmtId="0" fontId="17" fillId="3" borderId="10" xfId="0" applyFont="1" applyFill="1" applyBorder="1" applyAlignment="1">
      <alignment horizontal="right" vertical="top" wrapText="1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357904</xdr:colOff>
      <xdr:row>40</xdr:row>
      <xdr:rowOff>0</xdr:rowOff>
    </xdr:from>
    <xdr:ext cx="1299632" cy="9144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99632" cy="9144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41</xdr:row>
      <xdr:rowOff>0</xdr:rowOff>
    </xdr:from>
    <xdr:ext cx="1574800" cy="5461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4800" cy="5461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437148</xdr:colOff>
      <xdr:row>8</xdr:row>
      <xdr:rowOff>104140</xdr:rowOff>
    </xdr:from>
    <xdr:ext cx="1299632" cy="914400"/>
    <xdr:pic>
      <xdr:nvPicPr>
        <xdr:cNvPr id="2" name="image1.png">
          <a:extLst>
            <a:ext uri="{FF2B5EF4-FFF2-40B4-BE49-F238E27FC236}">
              <a16:creationId xmlns:a16="http://schemas.microsoft.com/office/drawing/2014/main" id="{D5A8C7B8-5E89-4DB4-ADF4-95517E132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8023" y="1132840"/>
          <a:ext cx="1299632" cy="914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"/>
  <sheetViews>
    <sheetView tabSelected="1" zoomScale="130" zoomScaleNormal="130" workbookViewId="0">
      <pane ySplit="3" topLeftCell="A4" activePane="bottomLeft" state="frozen"/>
      <selection pane="bottomLeft" activeCell="C15" sqref="C15"/>
    </sheetView>
  </sheetViews>
  <sheetFormatPr baseColWidth="10" defaultColWidth="9.33203125" defaultRowHeight="12.75" x14ac:dyDescent="0.2"/>
  <cols>
    <col min="1" max="1" width="27" customWidth="1"/>
    <col min="2" max="2" width="25.5" customWidth="1"/>
    <col min="3" max="3" width="12.6640625" customWidth="1"/>
    <col min="4" max="4" width="22" customWidth="1"/>
    <col min="5" max="5" width="3.5" customWidth="1"/>
    <col min="6" max="6" width="11.5" customWidth="1"/>
    <col min="7" max="7" width="19" customWidth="1"/>
    <col min="8" max="8" width="15.6640625" customWidth="1"/>
    <col min="9" max="9" width="10.6640625" customWidth="1"/>
    <col min="10" max="10" width="10.1640625" customWidth="1"/>
    <col min="11" max="11" width="12" customWidth="1"/>
    <col min="12" max="14" width="10.83203125" customWidth="1"/>
    <col min="15" max="15" width="12.5" customWidth="1"/>
  </cols>
  <sheetData>
    <row r="1" spans="1:16" ht="26.25" customHeight="1" x14ac:dyDescent="0.2">
      <c r="A1" s="74" t="s">
        <v>0</v>
      </c>
      <c r="B1" s="75"/>
      <c r="C1" s="75"/>
      <c r="D1" s="75"/>
      <c r="E1" s="75"/>
      <c r="F1" s="75"/>
      <c r="G1" s="76"/>
    </row>
    <row r="2" spans="1:16" ht="10.7" customHeight="1" x14ac:dyDescent="0.2">
      <c r="A2" s="1"/>
      <c r="B2" s="1"/>
      <c r="C2" s="1"/>
      <c r="D2" s="1"/>
      <c r="E2" s="1"/>
      <c r="F2" s="1"/>
      <c r="G2" s="1"/>
      <c r="H2" s="1"/>
      <c r="I2" s="1"/>
    </row>
    <row r="3" spans="1:16" ht="32.25" customHeight="1" x14ac:dyDescent="0.2">
      <c r="A3" s="48" t="s">
        <v>70</v>
      </c>
      <c r="B3" s="48" t="s">
        <v>71</v>
      </c>
      <c r="C3" s="48" t="s">
        <v>69</v>
      </c>
      <c r="D3" s="48" t="s">
        <v>68</v>
      </c>
      <c r="E3" s="81" t="s">
        <v>67</v>
      </c>
      <c r="F3" s="81"/>
      <c r="G3" s="2" t="s">
        <v>1</v>
      </c>
      <c r="H3" s="67" t="s">
        <v>63</v>
      </c>
      <c r="I3" s="48" t="s">
        <v>64</v>
      </c>
      <c r="J3" s="48" t="s">
        <v>113</v>
      </c>
      <c r="K3" s="48" t="s">
        <v>63</v>
      </c>
      <c r="L3" s="48" t="s">
        <v>64</v>
      </c>
      <c r="M3" s="48" t="s">
        <v>63</v>
      </c>
      <c r="N3" s="48" t="s">
        <v>64</v>
      </c>
      <c r="O3" s="48" t="s">
        <v>93</v>
      </c>
      <c r="P3" s="48" t="s">
        <v>113</v>
      </c>
    </row>
    <row r="4" spans="1:16" ht="21" customHeight="1" x14ac:dyDescent="0.2">
      <c r="A4" s="12" t="s">
        <v>74</v>
      </c>
      <c r="B4" s="13" t="s">
        <v>75</v>
      </c>
      <c r="C4" s="7" t="s">
        <v>73</v>
      </c>
      <c r="D4" s="14" t="s">
        <v>72</v>
      </c>
      <c r="E4" s="82" t="s">
        <v>92</v>
      </c>
      <c r="F4" s="82"/>
      <c r="G4" s="3" t="s">
        <v>2</v>
      </c>
      <c r="H4" s="44"/>
      <c r="I4" s="46"/>
      <c r="J4" s="68"/>
      <c r="K4" s="44"/>
      <c r="L4" s="46"/>
      <c r="M4" s="46"/>
      <c r="N4" s="46"/>
      <c r="O4" s="46"/>
      <c r="P4" s="68"/>
    </row>
    <row r="5" spans="1:16" ht="21" customHeight="1" x14ac:dyDescent="0.2">
      <c r="A5" s="77" t="s">
        <v>121</v>
      </c>
      <c r="B5" s="78"/>
      <c r="C5" s="78"/>
      <c r="D5" s="78"/>
      <c r="E5" s="83">
        <v>500</v>
      </c>
      <c r="F5" s="83"/>
      <c r="G5" s="5" t="s">
        <v>2</v>
      </c>
      <c r="H5" s="43"/>
      <c r="I5" s="45"/>
      <c r="J5" s="69"/>
      <c r="K5" s="43"/>
      <c r="L5" s="45"/>
      <c r="M5" s="45"/>
      <c r="N5" s="45"/>
      <c r="O5" s="45"/>
      <c r="P5" s="69"/>
    </row>
    <row r="6" spans="1:16" ht="21" customHeight="1" x14ac:dyDescent="0.2">
      <c r="A6" s="12" t="s">
        <v>78</v>
      </c>
      <c r="B6" s="13" t="s">
        <v>79</v>
      </c>
      <c r="C6" s="7" t="s">
        <v>77</v>
      </c>
      <c r="D6" s="14" t="s">
        <v>76</v>
      </c>
      <c r="E6" s="73">
        <v>2500</v>
      </c>
      <c r="F6" s="73"/>
      <c r="G6" s="7" t="s">
        <v>2</v>
      </c>
      <c r="H6" s="44"/>
      <c r="I6" s="46"/>
      <c r="J6" s="68"/>
      <c r="K6" s="44"/>
      <c r="L6" s="46"/>
      <c r="M6" s="46"/>
      <c r="N6" s="46"/>
      <c r="O6" s="46"/>
      <c r="P6" s="68"/>
    </row>
    <row r="7" spans="1:16" ht="21" customHeight="1" x14ac:dyDescent="0.2">
      <c r="A7" s="79" t="s">
        <v>66</v>
      </c>
      <c r="B7" s="80"/>
      <c r="C7" s="80"/>
      <c r="D7" s="80"/>
      <c r="E7" s="73">
        <v>1500</v>
      </c>
      <c r="F7" s="73"/>
      <c r="G7" s="5" t="s">
        <v>2</v>
      </c>
      <c r="H7" s="43">
        <v>46195</v>
      </c>
      <c r="I7" s="45">
        <v>1000</v>
      </c>
      <c r="J7" s="70" t="s">
        <v>114</v>
      </c>
      <c r="K7" s="43"/>
      <c r="L7" s="45"/>
      <c r="M7" s="45"/>
      <c r="N7" s="45"/>
      <c r="O7" s="45">
        <f>+E7-I7-L7</f>
        <v>500</v>
      </c>
      <c r="P7" s="69"/>
    </row>
    <row r="8" spans="1:16" ht="21" customHeight="1" x14ac:dyDescent="0.2">
      <c r="A8" s="12" t="s">
        <v>87</v>
      </c>
      <c r="B8" s="13" t="s">
        <v>88</v>
      </c>
      <c r="C8" s="7" t="s">
        <v>86</v>
      </c>
      <c r="D8" s="14" t="s">
        <v>85</v>
      </c>
      <c r="E8" s="73">
        <v>1500</v>
      </c>
      <c r="F8" s="73"/>
      <c r="G8" s="7" t="s">
        <v>2</v>
      </c>
      <c r="H8" s="44"/>
      <c r="I8" s="46"/>
      <c r="J8" s="68"/>
      <c r="K8" s="44"/>
      <c r="L8" s="46"/>
      <c r="M8" s="46"/>
      <c r="N8" s="46"/>
      <c r="O8" s="46"/>
      <c r="P8" s="68"/>
    </row>
    <row r="9" spans="1:16" ht="21" customHeight="1" x14ac:dyDescent="0.2">
      <c r="A9" s="8" t="s">
        <v>90</v>
      </c>
      <c r="B9" s="17" t="s">
        <v>91</v>
      </c>
      <c r="C9" s="5" t="s">
        <v>89</v>
      </c>
      <c r="D9" s="18" t="s">
        <v>85</v>
      </c>
      <c r="E9" s="73">
        <v>1500</v>
      </c>
      <c r="F9" s="73"/>
      <c r="G9" s="5" t="s">
        <v>2</v>
      </c>
      <c r="H9" s="43"/>
      <c r="I9" s="45"/>
      <c r="J9" s="69"/>
      <c r="K9" s="43"/>
      <c r="L9" s="45"/>
      <c r="M9" s="45"/>
      <c r="N9" s="45"/>
      <c r="O9" s="45"/>
      <c r="P9" s="69"/>
    </row>
    <row r="10" spans="1:16" ht="31.5" customHeight="1" x14ac:dyDescent="0.2">
      <c r="A10" s="12" t="s">
        <v>83</v>
      </c>
      <c r="B10" s="13" t="s">
        <v>84</v>
      </c>
      <c r="C10" s="7" t="s">
        <v>82</v>
      </c>
      <c r="D10" s="14" t="s">
        <v>81</v>
      </c>
      <c r="E10" s="49"/>
      <c r="F10" s="50">
        <v>700</v>
      </c>
      <c r="G10" s="49" t="s">
        <v>80</v>
      </c>
      <c r="H10" s="44"/>
      <c r="I10" s="46"/>
      <c r="J10" s="68"/>
      <c r="K10" s="44"/>
      <c r="L10" s="46"/>
      <c r="M10" s="46"/>
      <c r="N10" s="46"/>
      <c r="O10" s="46"/>
      <c r="P10" s="68"/>
    </row>
    <row r="11" spans="1:16" ht="15.95" customHeight="1" x14ac:dyDescent="0.2">
      <c r="A11" s="8" t="s">
        <v>3</v>
      </c>
      <c r="B11" s="9" t="s">
        <v>4</v>
      </c>
      <c r="C11" s="5" t="s">
        <v>5</v>
      </c>
      <c r="D11" s="5" t="s">
        <v>6</v>
      </c>
      <c r="E11" s="10" t="s">
        <v>7</v>
      </c>
      <c r="F11" s="11">
        <v>1500</v>
      </c>
      <c r="G11" s="5" t="s">
        <v>8</v>
      </c>
      <c r="H11" s="43"/>
      <c r="I11" s="45"/>
      <c r="J11" s="69"/>
      <c r="K11" s="43"/>
      <c r="L11" s="45"/>
      <c r="M11" s="45"/>
      <c r="N11" s="45"/>
      <c r="O11" s="45"/>
      <c r="P11" s="69"/>
    </row>
    <row r="12" spans="1:16" ht="24.95" customHeight="1" x14ac:dyDescent="0.2">
      <c r="A12" s="12" t="s">
        <v>9</v>
      </c>
      <c r="B12" s="13" t="s">
        <v>10</v>
      </c>
      <c r="C12" s="72" t="s">
        <v>116</v>
      </c>
      <c r="D12" s="14" t="s">
        <v>11</v>
      </c>
      <c r="E12" s="15" t="s">
        <v>7</v>
      </c>
      <c r="F12" s="16">
        <v>1500</v>
      </c>
      <c r="G12" s="7" t="s">
        <v>2</v>
      </c>
      <c r="H12" s="44"/>
      <c r="I12" s="46"/>
      <c r="J12" s="68"/>
      <c r="K12" s="44"/>
      <c r="L12" s="46"/>
      <c r="M12" s="46"/>
      <c r="N12" s="46"/>
      <c r="O12" s="46"/>
      <c r="P12" s="68"/>
    </row>
    <row r="13" spans="1:16" ht="24.95" customHeight="1" x14ac:dyDescent="0.2">
      <c r="A13" s="8" t="s">
        <v>12</v>
      </c>
      <c r="B13" s="17" t="s">
        <v>13</v>
      </c>
      <c r="C13" s="5" t="s">
        <v>14</v>
      </c>
      <c r="D13" s="18" t="s">
        <v>11</v>
      </c>
      <c r="E13" s="4"/>
      <c r="F13" s="11">
        <v>1500</v>
      </c>
      <c r="G13" s="5" t="s">
        <v>2</v>
      </c>
      <c r="H13" s="43"/>
      <c r="I13" s="45"/>
      <c r="J13" s="69"/>
      <c r="K13" s="43"/>
      <c r="L13" s="45"/>
      <c r="M13" s="45"/>
      <c r="N13" s="45"/>
      <c r="O13" s="45"/>
      <c r="P13" s="69"/>
    </row>
    <row r="14" spans="1:16" ht="24.95" customHeight="1" x14ac:dyDescent="0.2">
      <c r="A14" s="19" t="s">
        <v>15</v>
      </c>
      <c r="B14" s="6"/>
      <c r="C14" s="6"/>
      <c r="D14" s="14" t="s">
        <v>11</v>
      </c>
      <c r="E14" s="15" t="s">
        <v>7</v>
      </c>
      <c r="F14" s="20">
        <v>500</v>
      </c>
      <c r="G14" s="7" t="s">
        <v>2</v>
      </c>
      <c r="H14" s="44"/>
      <c r="I14" s="46"/>
      <c r="J14" s="68"/>
      <c r="K14" s="44"/>
      <c r="L14" s="46"/>
      <c r="M14" s="46"/>
      <c r="N14" s="46"/>
      <c r="O14" s="46"/>
      <c r="P14" s="68"/>
    </row>
    <row r="15" spans="1:16" ht="9.9499999999999993" customHeight="1" x14ac:dyDescent="0.2">
      <c r="A15" s="21" t="s">
        <v>16</v>
      </c>
      <c r="B15" s="9" t="s">
        <v>17</v>
      </c>
      <c r="C15" s="5" t="s">
        <v>18</v>
      </c>
      <c r="D15" s="5" t="s">
        <v>19</v>
      </c>
      <c r="E15" s="10" t="s">
        <v>7</v>
      </c>
      <c r="F15" s="11">
        <v>2500</v>
      </c>
      <c r="G15" s="5" t="s">
        <v>20</v>
      </c>
      <c r="H15" s="43">
        <v>46195</v>
      </c>
      <c r="I15" s="45">
        <v>1500</v>
      </c>
      <c r="J15" s="69"/>
      <c r="K15" s="43">
        <v>46200</v>
      </c>
      <c r="L15" s="45">
        <v>1000</v>
      </c>
      <c r="M15" s="45"/>
      <c r="N15" s="45"/>
      <c r="O15" s="45">
        <f>+F15-I15-L15</f>
        <v>0</v>
      </c>
      <c r="P15" s="69"/>
    </row>
    <row r="16" spans="1:16" ht="9.9499999999999993" customHeight="1" x14ac:dyDescent="0.2">
      <c r="A16" s="19" t="s">
        <v>21</v>
      </c>
      <c r="B16" s="22" t="s">
        <v>22</v>
      </c>
      <c r="C16" s="7" t="s">
        <v>23</v>
      </c>
      <c r="D16" s="7" t="s">
        <v>19</v>
      </c>
      <c r="E16" s="15" t="s">
        <v>7</v>
      </c>
      <c r="F16" s="16">
        <v>2500</v>
      </c>
      <c r="G16" s="7" t="s">
        <v>20</v>
      </c>
      <c r="H16" s="44">
        <v>46197</v>
      </c>
      <c r="I16" s="46">
        <v>1500</v>
      </c>
      <c r="J16" s="68"/>
      <c r="K16" s="43">
        <v>46200</v>
      </c>
      <c r="L16" s="45">
        <v>1000</v>
      </c>
      <c r="M16" s="46"/>
      <c r="N16" s="46"/>
      <c r="O16" s="45">
        <f>+F16-I16-L16</f>
        <v>0</v>
      </c>
      <c r="P16" s="68"/>
    </row>
    <row r="17" spans="1:16" ht="9.9499999999999993" customHeight="1" x14ac:dyDescent="0.2">
      <c r="A17" s="8" t="s">
        <v>24</v>
      </c>
      <c r="B17" s="17" t="s">
        <v>13</v>
      </c>
      <c r="C17" s="47" t="s">
        <v>65</v>
      </c>
      <c r="D17" s="5" t="s">
        <v>19</v>
      </c>
      <c r="E17" s="10" t="s">
        <v>7</v>
      </c>
      <c r="F17" s="11">
        <v>4000</v>
      </c>
      <c r="G17" s="5" t="s">
        <v>20</v>
      </c>
      <c r="H17" s="43">
        <v>46195</v>
      </c>
      <c r="I17" s="45">
        <v>1500</v>
      </c>
      <c r="J17" s="69"/>
      <c r="K17" s="43"/>
      <c r="L17" s="45"/>
      <c r="M17" s="45"/>
      <c r="N17" s="45"/>
      <c r="O17" s="45">
        <f>+F17-I17-L17</f>
        <v>2500</v>
      </c>
      <c r="P17" s="69"/>
    </row>
    <row r="18" spans="1:16" ht="9.9499999999999993" customHeight="1" x14ac:dyDescent="0.2">
      <c r="A18" s="12" t="s">
        <v>25</v>
      </c>
      <c r="B18" s="13" t="s">
        <v>17</v>
      </c>
      <c r="C18" s="72" t="s">
        <v>117</v>
      </c>
      <c r="D18" s="7" t="s">
        <v>26</v>
      </c>
      <c r="E18" s="15" t="s">
        <v>7</v>
      </c>
      <c r="F18" s="16">
        <v>2500</v>
      </c>
      <c r="G18" s="7" t="s">
        <v>2</v>
      </c>
      <c r="H18" s="44"/>
      <c r="I18" s="46"/>
      <c r="J18" s="68"/>
      <c r="K18" s="44"/>
      <c r="L18" s="46"/>
      <c r="M18" s="46"/>
      <c r="N18" s="46"/>
      <c r="O18" s="46"/>
      <c r="P18" s="68"/>
    </row>
    <row r="19" spans="1:16" ht="11.1" customHeight="1" x14ac:dyDescent="0.2">
      <c r="A19" s="8" t="s">
        <v>27</v>
      </c>
      <c r="B19" s="9" t="s">
        <v>17</v>
      </c>
      <c r="C19" s="47" t="s">
        <v>118</v>
      </c>
      <c r="D19" s="5" t="s">
        <v>26</v>
      </c>
      <c r="E19" s="10" t="s">
        <v>7</v>
      </c>
      <c r="F19" s="11">
        <v>1500</v>
      </c>
      <c r="G19" s="5" t="s">
        <v>2</v>
      </c>
      <c r="H19" s="43"/>
      <c r="I19" s="45"/>
      <c r="J19" s="69"/>
      <c r="K19" s="43"/>
      <c r="L19" s="45"/>
      <c r="M19" s="45"/>
      <c r="N19" s="45"/>
      <c r="O19" s="45"/>
      <c r="P19" s="69"/>
    </row>
    <row r="20" spans="1:16" ht="9.9499999999999993" customHeight="1" x14ac:dyDescent="0.2">
      <c r="A20" s="19" t="s">
        <v>28</v>
      </c>
      <c r="B20" s="22" t="s">
        <v>13</v>
      </c>
      <c r="C20" s="72" t="s">
        <v>119</v>
      </c>
      <c r="D20" s="7" t="s">
        <v>26</v>
      </c>
      <c r="E20" s="15" t="s">
        <v>7</v>
      </c>
      <c r="F20" s="16">
        <v>3000</v>
      </c>
      <c r="G20" s="7" t="s">
        <v>2</v>
      </c>
      <c r="H20" s="44"/>
      <c r="I20" s="46"/>
      <c r="J20" s="68"/>
      <c r="K20" s="44"/>
      <c r="L20" s="46"/>
      <c r="M20" s="46"/>
      <c r="N20" s="46"/>
      <c r="O20" s="46"/>
      <c r="P20" s="68"/>
    </row>
    <row r="21" spans="1:16" ht="9.9499999999999993" customHeight="1" x14ac:dyDescent="0.2">
      <c r="A21" s="8" t="s">
        <v>29</v>
      </c>
      <c r="B21" s="17" t="s">
        <v>30</v>
      </c>
      <c r="C21" s="47" t="s">
        <v>120</v>
      </c>
      <c r="D21" s="5" t="s">
        <v>26</v>
      </c>
      <c r="E21" s="10" t="s">
        <v>7</v>
      </c>
      <c r="F21" s="11">
        <v>2500</v>
      </c>
      <c r="G21" s="5" t="s">
        <v>2</v>
      </c>
      <c r="H21" s="43"/>
      <c r="I21" s="45"/>
      <c r="J21" s="69"/>
      <c r="K21" s="43"/>
      <c r="L21" s="45"/>
      <c r="M21" s="45"/>
      <c r="N21" s="45"/>
      <c r="O21" s="45"/>
      <c r="P21" s="69"/>
    </row>
    <row r="22" spans="1:16" ht="9.9499999999999993" customHeight="1" x14ac:dyDescent="0.2">
      <c r="A22" s="23" t="s">
        <v>31</v>
      </c>
      <c r="B22" s="24" t="s">
        <v>32</v>
      </c>
      <c r="C22" s="25"/>
      <c r="D22" s="26" t="s">
        <v>26</v>
      </c>
      <c r="E22" s="27" t="s">
        <v>7</v>
      </c>
      <c r="F22" s="28">
        <v>1000</v>
      </c>
      <c r="G22" s="7" t="s">
        <v>8</v>
      </c>
      <c r="H22" s="44"/>
      <c r="I22" s="46"/>
      <c r="J22" s="68"/>
      <c r="K22" s="44"/>
      <c r="L22" s="46"/>
      <c r="M22" s="46"/>
      <c r="N22" s="46"/>
      <c r="O22" s="46"/>
      <c r="P22" s="68"/>
    </row>
    <row r="23" spans="1:16" ht="9.9499999999999993" customHeight="1" x14ac:dyDescent="0.2">
      <c r="A23" s="23" t="s">
        <v>31</v>
      </c>
      <c r="B23" s="29" t="s">
        <v>33</v>
      </c>
      <c r="C23" s="25"/>
      <c r="D23" s="26" t="s">
        <v>26</v>
      </c>
      <c r="E23" s="25"/>
      <c r="F23" s="25"/>
      <c r="G23" s="5" t="s">
        <v>8</v>
      </c>
      <c r="H23" s="43"/>
      <c r="I23" s="45"/>
      <c r="J23" s="69"/>
      <c r="K23" s="43"/>
      <c r="L23" s="45"/>
      <c r="M23" s="45"/>
      <c r="N23" s="45"/>
      <c r="O23" s="45"/>
      <c r="P23" s="69"/>
    </row>
    <row r="24" spans="1:16" ht="11.1" customHeight="1" x14ac:dyDescent="0.2">
      <c r="A24" s="23" t="s">
        <v>31</v>
      </c>
      <c r="B24" s="29" t="s">
        <v>34</v>
      </c>
      <c r="C24" s="25"/>
      <c r="D24" s="26" t="s">
        <v>26</v>
      </c>
      <c r="E24" s="25"/>
      <c r="F24" s="25"/>
      <c r="G24" s="7" t="s">
        <v>8</v>
      </c>
      <c r="H24" s="44"/>
      <c r="I24" s="46"/>
      <c r="J24" s="68"/>
      <c r="K24" s="44"/>
      <c r="L24" s="46"/>
      <c r="M24" s="46"/>
      <c r="N24" s="46"/>
      <c r="O24" s="46"/>
      <c r="P24" s="68"/>
    </row>
    <row r="25" spans="1:16" ht="17.25" customHeight="1" x14ac:dyDescent="0.2">
      <c r="A25" s="21" t="s">
        <v>35</v>
      </c>
      <c r="B25" s="30" t="s">
        <v>36</v>
      </c>
      <c r="C25" s="5" t="s">
        <v>37</v>
      </c>
      <c r="D25" s="5" t="s">
        <v>38</v>
      </c>
      <c r="E25" s="10" t="s">
        <v>7</v>
      </c>
      <c r="F25" s="11">
        <v>2500</v>
      </c>
      <c r="G25" s="5" t="s">
        <v>20</v>
      </c>
      <c r="H25" s="43">
        <v>46195</v>
      </c>
      <c r="I25" s="45">
        <v>1000</v>
      </c>
      <c r="J25" s="71" t="s">
        <v>115</v>
      </c>
      <c r="K25" s="43">
        <v>46198</v>
      </c>
      <c r="L25" s="45">
        <v>1500</v>
      </c>
      <c r="M25" s="43">
        <v>46200</v>
      </c>
      <c r="N25" s="45">
        <v>500</v>
      </c>
      <c r="O25" s="45">
        <f>+F25-I25-L25-N25</f>
        <v>-500</v>
      </c>
      <c r="P25" s="69" t="s">
        <v>123</v>
      </c>
    </row>
    <row r="26" spans="1:16" ht="9.9499999999999993" customHeight="1" x14ac:dyDescent="0.2">
      <c r="A26" s="19" t="s">
        <v>39</v>
      </c>
      <c r="B26" s="31" t="s">
        <v>40</v>
      </c>
      <c r="C26" s="32"/>
      <c r="D26" s="7" t="s">
        <v>38</v>
      </c>
      <c r="E26" s="15" t="s">
        <v>7</v>
      </c>
      <c r="F26" s="16">
        <v>1000</v>
      </c>
      <c r="G26" s="7" t="s">
        <v>20</v>
      </c>
      <c r="H26" s="44"/>
      <c r="I26" s="46"/>
      <c r="J26" s="68"/>
      <c r="K26" s="44"/>
      <c r="L26" s="46"/>
      <c r="M26" s="46"/>
      <c r="N26" s="46"/>
      <c r="O26" s="46"/>
      <c r="P26" s="68"/>
    </row>
    <row r="27" spans="1:16" ht="17.25" customHeight="1" x14ac:dyDescent="0.2">
      <c r="A27" s="21" t="s">
        <v>41</v>
      </c>
      <c r="B27" s="9" t="s">
        <v>42</v>
      </c>
      <c r="C27" s="5" t="s">
        <v>43</v>
      </c>
      <c r="D27" s="5" t="s">
        <v>44</v>
      </c>
      <c r="E27" s="10" t="s">
        <v>7</v>
      </c>
      <c r="F27" s="11">
        <v>2500</v>
      </c>
      <c r="G27" s="5" t="s">
        <v>2</v>
      </c>
      <c r="H27" s="43">
        <v>46199</v>
      </c>
      <c r="I27" s="45">
        <v>1000</v>
      </c>
      <c r="J27" s="71" t="s">
        <v>122</v>
      </c>
      <c r="K27" s="43"/>
      <c r="L27" s="45"/>
      <c r="M27" s="45"/>
      <c r="N27" s="45"/>
      <c r="O27" s="45"/>
      <c r="P27" s="69"/>
    </row>
    <row r="28" spans="1:16" ht="9.9499999999999993" customHeight="1" x14ac:dyDescent="0.2">
      <c r="A28" s="12" t="s">
        <v>45</v>
      </c>
      <c r="B28" s="13" t="s">
        <v>46</v>
      </c>
      <c r="C28" s="7" t="s">
        <v>47</v>
      </c>
      <c r="D28" s="7" t="s">
        <v>44</v>
      </c>
      <c r="E28" s="15" t="s">
        <v>7</v>
      </c>
      <c r="F28" s="16">
        <v>1000</v>
      </c>
      <c r="G28" s="7" t="s">
        <v>2</v>
      </c>
      <c r="H28" s="44"/>
      <c r="I28" s="46"/>
      <c r="J28" s="68"/>
      <c r="K28" s="44"/>
      <c r="L28" s="46"/>
      <c r="M28" s="46"/>
      <c r="N28" s="46"/>
      <c r="O28" s="46"/>
      <c r="P28" s="68"/>
    </row>
    <row r="29" spans="1:16" ht="11.1" customHeight="1" x14ac:dyDescent="0.2">
      <c r="A29" s="8" t="s">
        <v>48</v>
      </c>
      <c r="B29" s="1"/>
      <c r="C29" s="1"/>
      <c r="D29" s="5" t="s">
        <v>44</v>
      </c>
      <c r="E29" s="10" t="s">
        <v>7</v>
      </c>
      <c r="F29" s="33">
        <v>500</v>
      </c>
      <c r="G29" s="5" t="s">
        <v>2</v>
      </c>
      <c r="H29" s="43"/>
      <c r="I29" s="45"/>
      <c r="J29" s="69"/>
      <c r="K29" s="43"/>
      <c r="L29" s="45"/>
      <c r="M29" s="45"/>
      <c r="N29" s="45"/>
      <c r="O29" s="45"/>
      <c r="P29" s="69"/>
    </row>
    <row r="30" spans="1:16" ht="9.9499999999999993" customHeight="1" x14ac:dyDescent="0.2">
      <c r="A30" s="19" t="s">
        <v>48</v>
      </c>
      <c r="B30" s="32"/>
      <c r="C30" s="32"/>
      <c r="D30" s="7" t="s">
        <v>44</v>
      </c>
      <c r="E30" s="15" t="s">
        <v>7</v>
      </c>
      <c r="F30" s="20">
        <v>500</v>
      </c>
      <c r="G30" s="7" t="s">
        <v>2</v>
      </c>
      <c r="H30" s="44"/>
      <c r="I30" s="46"/>
      <c r="J30" s="68"/>
      <c r="K30" s="44"/>
      <c r="L30" s="46"/>
      <c r="M30" s="46"/>
      <c r="N30" s="46"/>
      <c r="O30" s="46"/>
      <c r="P30" s="68"/>
    </row>
    <row r="31" spans="1:16" ht="17.100000000000001" customHeight="1" x14ac:dyDescent="0.2">
      <c r="A31" s="34" t="s">
        <v>49</v>
      </c>
      <c r="B31" s="35"/>
      <c r="C31" s="36" t="s">
        <v>50</v>
      </c>
      <c r="D31" s="37" t="s">
        <v>51</v>
      </c>
      <c r="E31" s="10" t="s">
        <v>7</v>
      </c>
      <c r="F31" s="33">
        <v>800</v>
      </c>
      <c r="G31" s="36" t="s">
        <v>2</v>
      </c>
      <c r="H31" s="43"/>
      <c r="I31" s="45"/>
      <c r="J31" s="69"/>
      <c r="K31" s="43"/>
      <c r="L31" s="45"/>
      <c r="M31" s="45"/>
      <c r="N31" s="45"/>
      <c r="O31" s="45"/>
      <c r="P31" s="69"/>
    </row>
    <row r="32" spans="1:16" ht="8.25" customHeight="1" x14ac:dyDescent="0.2">
      <c r="A32" s="1"/>
      <c r="B32" s="1"/>
      <c r="C32" s="1"/>
      <c r="D32" s="5" t="s">
        <v>52</v>
      </c>
      <c r="E32" s="1"/>
      <c r="F32" s="1"/>
      <c r="G32" s="1"/>
      <c r="H32" s="43"/>
      <c r="I32" s="45"/>
      <c r="J32" s="69"/>
      <c r="K32" s="44"/>
      <c r="L32" s="46"/>
      <c r="M32" s="46"/>
      <c r="N32" s="46"/>
      <c r="O32" s="46"/>
      <c r="P32" s="68"/>
    </row>
    <row r="33" spans="1:16" ht="8.25" customHeight="1" x14ac:dyDescent="0.2">
      <c r="A33" s="32"/>
      <c r="B33" s="32"/>
      <c r="C33" s="32"/>
      <c r="D33" s="7" t="s">
        <v>53</v>
      </c>
      <c r="E33" s="32"/>
      <c r="F33" s="32"/>
      <c r="G33" s="32"/>
      <c r="H33" s="44"/>
      <c r="I33" s="46"/>
      <c r="J33" s="68"/>
      <c r="K33" s="43"/>
      <c r="L33" s="45"/>
      <c r="M33" s="45"/>
      <c r="N33" s="45"/>
      <c r="O33" s="45"/>
      <c r="P33" s="69"/>
    </row>
    <row r="34" spans="1:16" ht="8.25" customHeight="1" x14ac:dyDescent="0.2">
      <c r="A34" s="19" t="s">
        <v>54</v>
      </c>
      <c r="B34" s="32"/>
      <c r="C34" s="32"/>
      <c r="D34" s="7" t="s">
        <v>55</v>
      </c>
      <c r="E34" s="32"/>
      <c r="F34" s="32"/>
      <c r="G34" s="7" t="s">
        <v>2</v>
      </c>
      <c r="H34" s="43"/>
      <c r="I34" s="45"/>
      <c r="J34" s="69"/>
      <c r="K34" s="44"/>
      <c r="L34" s="46"/>
      <c r="M34" s="46"/>
      <c r="N34" s="46"/>
      <c r="O34" s="46"/>
      <c r="P34" s="68"/>
    </row>
    <row r="35" spans="1:16" ht="8.25" customHeight="1" x14ac:dyDescent="0.2">
      <c r="A35" s="32"/>
      <c r="B35" s="32"/>
      <c r="C35" s="32"/>
      <c r="D35" s="7" t="s">
        <v>52</v>
      </c>
      <c r="E35" s="32"/>
      <c r="F35" s="32"/>
      <c r="G35" s="32"/>
      <c r="H35" s="44"/>
      <c r="I35" s="46"/>
      <c r="J35" s="68"/>
      <c r="K35" s="43"/>
      <c r="L35" s="45"/>
      <c r="M35" s="45"/>
      <c r="N35" s="45"/>
      <c r="O35" s="45"/>
      <c r="P35" s="69"/>
    </row>
    <row r="36" spans="1:16" ht="9.9499999999999993" customHeight="1" x14ac:dyDescent="0.2">
      <c r="A36" s="21" t="s">
        <v>56</v>
      </c>
      <c r="B36" s="9" t="s">
        <v>17</v>
      </c>
      <c r="C36" s="5" t="s">
        <v>57</v>
      </c>
      <c r="D36" s="1"/>
      <c r="E36" s="10" t="s">
        <v>7</v>
      </c>
      <c r="F36" s="11">
        <v>3000</v>
      </c>
      <c r="G36" s="5" t="s">
        <v>20</v>
      </c>
      <c r="H36" s="43">
        <v>46195</v>
      </c>
      <c r="I36" s="45">
        <v>1000</v>
      </c>
      <c r="J36" s="69"/>
      <c r="K36" s="44">
        <v>46197</v>
      </c>
      <c r="L36" s="46">
        <v>1000</v>
      </c>
      <c r="M36" s="43">
        <v>46199</v>
      </c>
      <c r="N36" s="46">
        <v>1000</v>
      </c>
      <c r="O36" s="45">
        <f>+F36-I36-L36-N36</f>
        <v>0</v>
      </c>
      <c r="P36" s="68"/>
    </row>
    <row r="37" spans="1:16" ht="11.1" customHeight="1" x14ac:dyDescent="0.2">
      <c r="A37" s="12" t="s">
        <v>58</v>
      </c>
      <c r="B37" s="32"/>
      <c r="C37" s="32"/>
      <c r="D37" s="7" t="s">
        <v>59</v>
      </c>
      <c r="E37" s="15" t="s">
        <v>7</v>
      </c>
      <c r="F37" s="16">
        <v>1700</v>
      </c>
      <c r="G37" s="7" t="s">
        <v>2</v>
      </c>
      <c r="H37" s="44"/>
      <c r="I37" s="46"/>
      <c r="J37" s="68"/>
      <c r="K37" s="43"/>
      <c r="L37" s="45"/>
      <c r="M37" s="45"/>
      <c r="N37" s="45"/>
      <c r="O37" s="45"/>
      <c r="P37" s="69"/>
    </row>
    <row r="38" spans="1:16" ht="9.9499999999999993" customHeight="1" x14ac:dyDescent="0.2">
      <c r="A38" s="21" t="s">
        <v>60</v>
      </c>
      <c r="B38" s="1"/>
      <c r="C38" s="1"/>
      <c r="D38" s="5" t="s">
        <v>59</v>
      </c>
      <c r="E38" s="10" t="s">
        <v>7</v>
      </c>
      <c r="F38" s="11">
        <v>2500</v>
      </c>
      <c r="G38" s="5" t="s">
        <v>2</v>
      </c>
      <c r="H38" s="43"/>
      <c r="I38" s="45"/>
      <c r="J38" s="69"/>
      <c r="K38" s="44"/>
      <c r="L38" s="46"/>
      <c r="M38" s="46"/>
      <c r="N38" s="46"/>
      <c r="O38" s="46"/>
      <c r="P38" s="68"/>
    </row>
    <row r="39" spans="1:16" ht="9.9499999999999993" customHeight="1" x14ac:dyDescent="0.2">
      <c r="A39" s="12" t="s">
        <v>61</v>
      </c>
      <c r="B39" s="32"/>
      <c r="C39" s="32"/>
      <c r="D39" s="7" t="s">
        <v>59</v>
      </c>
      <c r="E39" s="15" t="s">
        <v>7</v>
      </c>
      <c r="F39" s="16">
        <v>2000</v>
      </c>
      <c r="G39" s="7" t="s">
        <v>2</v>
      </c>
      <c r="H39" s="44"/>
      <c r="I39" s="46"/>
      <c r="J39" s="68"/>
      <c r="K39" s="43"/>
      <c r="L39" s="45"/>
      <c r="M39" s="45"/>
      <c r="N39" s="45"/>
      <c r="O39" s="45"/>
      <c r="P39" s="69"/>
    </row>
    <row r="40" spans="1:16" ht="10.35" customHeight="1" x14ac:dyDescent="0.2">
      <c r="A40" s="38" t="s">
        <v>62</v>
      </c>
      <c r="B40" s="39"/>
      <c r="C40" s="39"/>
      <c r="D40" s="40" t="s">
        <v>59</v>
      </c>
      <c r="E40" s="41" t="s">
        <v>7</v>
      </c>
      <c r="F40" s="42">
        <v>2000</v>
      </c>
      <c r="G40" s="40" t="s">
        <v>2</v>
      </c>
      <c r="H40" s="43"/>
      <c r="I40" s="45"/>
      <c r="J40" s="69"/>
      <c r="K40" s="44"/>
      <c r="L40" s="46"/>
      <c r="M40" s="46"/>
      <c r="N40" s="46"/>
      <c r="O40" s="46"/>
      <c r="P40" s="68"/>
    </row>
    <row r="41" spans="1:16" ht="72" customHeight="1" x14ac:dyDescent="0.2"/>
    <row r="42" spans="1:16" ht="42.95" customHeight="1" x14ac:dyDescent="0.2"/>
  </sheetData>
  <mergeCells count="10">
    <mergeCell ref="E8:F8"/>
    <mergeCell ref="E9:F9"/>
    <mergeCell ref="A1:G1"/>
    <mergeCell ref="A5:D5"/>
    <mergeCell ref="A7:D7"/>
    <mergeCell ref="E3:F3"/>
    <mergeCell ref="E4:F4"/>
    <mergeCell ref="E5:F5"/>
    <mergeCell ref="E6:F6"/>
    <mergeCell ref="E7:F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C89B8-2148-4381-B2B4-9D9EABA8A583}">
  <dimension ref="A1:Q10"/>
  <sheetViews>
    <sheetView zoomScale="160" zoomScaleNormal="160" workbookViewId="0">
      <selection sqref="A1:F1"/>
    </sheetView>
  </sheetViews>
  <sheetFormatPr baseColWidth="10" defaultColWidth="9.33203125" defaultRowHeight="12.75" x14ac:dyDescent="0.2"/>
  <cols>
    <col min="1" max="1" width="5.83203125" style="51" customWidth="1"/>
    <col min="2" max="2" width="22.33203125" style="51" customWidth="1"/>
    <col min="3" max="3" width="18.83203125" style="51" customWidth="1"/>
    <col min="4" max="4" width="19.33203125" style="51" customWidth="1"/>
    <col min="5" max="5" width="10.33203125" style="51" customWidth="1"/>
    <col min="6" max="6" width="13.6640625" style="51" customWidth="1"/>
    <col min="7" max="7" width="9.33203125" style="51"/>
    <col min="8" max="8" width="10.1640625" style="51" customWidth="1"/>
    <col min="9" max="16384" width="9.33203125" style="51"/>
  </cols>
  <sheetData>
    <row r="1" spans="1:17" ht="15" customHeight="1" x14ac:dyDescent="0.2">
      <c r="A1" s="84" t="s">
        <v>94</v>
      </c>
      <c r="B1" s="85"/>
      <c r="C1" s="85"/>
      <c r="D1" s="85"/>
      <c r="E1" s="85"/>
      <c r="F1" s="85"/>
    </row>
    <row r="2" spans="1:17" ht="8.25" customHeight="1" x14ac:dyDescent="0.2">
      <c r="A2" s="52"/>
      <c r="B2" s="52"/>
      <c r="C2" s="52"/>
      <c r="D2" s="52"/>
      <c r="E2" s="52"/>
      <c r="F2" s="52"/>
    </row>
    <row r="3" spans="1:17" ht="33" x14ac:dyDescent="0.2">
      <c r="A3" s="53" t="s">
        <v>95</v>
      </c>
      <c r="B3" s="54" t="s">
        <v>96</v>
      </c>
      <c r="C3" s="55" t="s">
        <v>97</v>
      </c>
      <c r="D3" s="56" t="s">
        <v>98</v>
      </c>
      <c r="E3" s="53" t="s">
        <v>99</v>
      </c>
      <c r="F3" s="57" t="s">
        <v>100</v>
      </c>
      <c r="G3" s="64" t="s">
        <v>63</v>
      </c>
      <c r="H3" s="64" t="s">
        <v>64</v>
      </c>
      <c r="I3" s="64" t="s">
        <v>63</v>
      </c>
      <c r="J3" s="64" t="s">
        <v>64</v>
      </c>
      <c r="K3" s="64" t="s">
        <v>63</v>
      </c>
      <c r="L3" s="64" t="s">
        <v>64</v>
      </c>
      <c r="M3" s="64" t="s">
        <v>63</v>
      </c>
      <c r="N3" s="64" t="s">
        <v>64</v>
      </c>
      <c r="O3" s="64" t="s">
        <v>63</v>
      </c>
      <c r="P3" s="64" t="s">
        <v>64</v>
      </c>
      <c r="Q3" s="64" t="s">
        <v>93</v>
      </c>
    </row>
    <row r="4" spans="1:17" x14ac:dyDescent="0.2">
      <c r="A4" s="58">
        <v>1</v>
      </c>
      <c r="B4" s="59" t="s">
        <v>101</v>
      </c>
      <c r="C4" s="59" t="s">
        <v>102</v>
      </c>
      <c r="D4" s="59" t="s">
        <v>103</v>
      </c>
      <c r="E4" s="58">
        <v>550</v>
      </c>
      <c r="F4" s="60">
        <v>2750</v>
      </c>
      <c r="G4" s="65">
        <v>46195</v>
      </c>
      <c r="H4" s="66">
        <v>660</v>
      </c>
      <c r="I4" s="65">
        <v>46197</v>
      </c>
      <c r="J4" s="66">
        <v>550</v>
      </c>
      <c r="K4" s="65">
        <v>46198</v>
      </c>
      <c r="L4" s="66">
        <v>550</v>
      </c>
      <c r="M4" s="65">
        <v>46199</v>
      </c>
      <c r="N4" s="66">
        <v>480</v>
      </c>
      <c r="O4" s="65">
        <v>46200</v>
      </c>
      <c r="P4" s="66">
        <v>290</v>
      </c>
      <c r="Q4" s="66">
        <f>+F4-H4-J4-L4-N4-P4</f>
        <v>220</v>
      </c>
    </row>
    <row r="5" spans="1:17" x14ac:dyDescent="0.2">
      <c r="A5" s="58">
        <v>2</v>
      </c>
      <c r="B5" s="59" t="s">
        <v>104</v>
      </c>
      <c r="C5" s="59" t="s">
        <v>105</v>
      </c>
      <c r="D5" s="59" t="s">
        <v>106</v>
      </c>
      <c r="E5" s="58">
        <v>500</v>
      </c>
      <c r="F5" s="60">
        <v>2500</v>
      </c>
      <c r="G5" s="65">
        <v>46198</v>
      </c>
      <c r="H5" s="66">
        <v>400</v>
      </c>
      <c r="I5" s="65">
        <v>46200</v>
      </c>
      <c r="J5" s="66">
        <v>600</v>
      </c>
      <c r="K5" s="65">
        <v>46201</v>
      </c>
      <c r="L5" s="66">
        <v>200</v>
      </c>
      <c r="Q5" s="66">
        <f>+F5-H5-J5-L5</f>
        <v>1300</v>
      </c>
    </row>
    <row r="6" spans="1:17" ht="8.25" customHeight="1" x14ac:dyDescent="0.2">
      <c r="A6" s="86">
        <v>3</v>
      </c>
      <c r="B6" s="88" t="s">
        <v>107</v>
      </c>
      <c r="C6" s="59" t="s">
        <v>108</v>
      </c>
      <c r="D6" s="90" t="s">
        <v>109</v>
      </c>
      <c r="E6" s="58">
        <v>400</v>
      </c>
      <c r="F6" s="60">
        <v>2000</v>
      </c>
      <c r="G6" s="65"/>
      <c r="H6" s="66"/>
    </row>
    <row r="7" spans="1:17" x14ac:dyDescent="0.2">
      <c r="A7" s="87"/>
      <c r="B7" s="89"/>
      <c r="C7" s="59" t="s">
        <v>110</v>
      </c>
      <c r="D7" s="91"/>
      <c r="E7" s="58">
        <v>1600</v>
      </c>
      <c r="F7" s="60">
        <v>1600</v>
      </c>
      <c r="G7" s="65"/>
      <c r="H7" s="66"/>
    </row>
    <row r="8" spans="1:17" ht="8.25" customHeight="1" x14ac:dyDescent="0.2">
      <c r="A8" s="87"/>
      <c r="B8" s="89"/>
      <c r="C8" s="61" t="s">
        <v>111</v>
      </c>
      <c r="D8" s="91"/>
      <c r="E8" s="62">
        <v>100</v>
      </c>
      <c r="F8" s="62">
        <v>500</v>
      </c>
      <c r="G8" s="65"/>
      <c r="H8" s="66"/>
    </row>
    <row r="9" spans="1:17" ht="8.25" customHeight="1" x14ac:dyDescent="0.2">
      <c r="A9" s="92" t="s">
        <v>112</v>
      </c>
      <c r="B9" s="93"/>
      <c r="C9" s="93"/>
      <c r="D9" s="93"/>
      <c r="E9" s="94"/>
      <c r="F9" s="63">
        <v>9350</v>
      </c>
    </row>
    <row r="10" spans="1:17" ht="72" customHeight="1" x14ac:dyDescent="0.2"/>
  </sheetData>
  <mergeCells count="5">
    <mergeCell ref="A1:F1"/>
    <mergeCell ref="A6:A8"/>
    <mergeCell ref="B6:B8"/>
    <mergeCell ref="D6:D8"/>
    <mergeCell ref="A9:E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UT</vt:lpstr>
      <vt:lpstr>DIESEL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TARJETAS SI  VALE 2026.xlsx</dc:title>
  <dc:creator>KARLA MALDONADO</dc:creator>
  <cp:lastModifiedBy>LENOVO</cp:lastModifiedBy>
  <dcterms:created xsi:type="dcterms:W3CDTF">2026-06-23T17:52:54Z</dcterms:created>
  <dcterms:modified xsi:type="dcterms:W3CDTF">2026-06-29T19:04:14Z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2026-06-22T00:00:00Z</vt:filetime>
  </property>
  <property fmtid="{D5CDD505-2E9C-101B-9397-08002B2CF9AE}" pid="4" name="LastSaved">
    <vt:filetime>2026-06-23T00:00:00Z</vt:filetime>
  </property>
  <property fmtid="{D5CDD505-2E9C-101B-9397-08002B2CF9AE}" pid="5" name="Producer">
    <vt:lpwstr>iOS Version 26.3 (Build 23D127) Quartz PDFContext</vt:lpwstr>
  </property>
</Properties>
</file>