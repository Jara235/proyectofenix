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Conciliacion_Facturas" sheetId="2" state="visible" r:id="rId2"/>
    <sheet name="Semana_28" sheetId="3" state="visible" r:id="rId3"/>
    <sheet name="Semana_29" sheetId="4" state="visible" r:id="rId4"/>
    <sheet name="Semana_30" sheetId="5" state="visible" r:id="rId5"/>
    <sheet name="Semana_31" sheetId="6" state="visible" r:id="rId6"/>
    <sheet name="Semana_32_Pendien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333333"/>
      <sz val="11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1E3A8A"/>
      <sz val="11"/>
    </font>
    <font>
      <name val="Calibr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  <fill>
      <patternFill patternType="solid">
        <fgColor rgb="00FFEB9C"/>
        <bgColor rgb="00FFEB9C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2" fillId="0" borderId="0" pivotButton="0" quotePrefix="0" xfId="0"/>
    <xf numFmtId="0" fontId="8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6" borderId="1" applyAlignment="1" pivotButton="0" quotePrefix="0" xfId="0">
      <alignment horizontal="right" vertical="center"/>
    </xf>
    <xf numFmtId="0" fontId="5" fillId="0" borderId="1" pivotButton="0" quotePrefix="0" xfId="0"/>
    <xf numFmtId="0" fontId="8" fillId="7" borderId="1" applyAlignment="1" pivotButton="0" quotePrefix="0" xfId="0">
      <alignment horizontal="center" vertical="center"/>
    </xf>
    <xf numFmtId="0" fontId="0" fillId="5" borderId="2" pivotButton="0" quotePrefix="0" xfId="0"/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0" fillId="4" borderId="2" pivotButton="0" quotePrefix="0" xfId="0"/>
    <xf numFmtId="164" fontId="7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 outlineLevelCol="0"/>
  <cols>
    <col width="54" customWidth="1" min="1" max="1"/>
    <col width="25" customWidth="1" min="2" max="2"/>
    <col width="24" customWidth="1" min="3" max="3"/>
    <col width="32" customWidth="1" min="4" max="4"/>
    <col width="30" customWidth="1" min="5" max="5"/>
    <col width="23" customWidth="1" min="6" max="6"/>
    <col width="19" customWidth="1" min="7" max="7"/>
    <col width="70" customWidth="1" min="8" max="8"/>
  </cols>
  <sheetData>
    <row r="1" ht="40" customHeight="1">
      <c r="A1" s="1" t="inlineStr">
        <is>
          <t>GRUPO TRUJANO - SISTEMA FÉNIX | CONCILIACIÓN DE FACTURAS Y PAGOS MOBIL HUIXQUILUCAN</t>
        </is>
      </c>
    </row>
    <row r="2" ht="22" customHeight="1">
      <c r="A2" s="2" t="inlineStr">
        <is>
          <t>Proveedor: Derivados de Petróleo Castilla S.A. de C.V. | Periodo: Semanas 28 a 32 de 2026 | Fecha Conciliación: Agosto 2026</t>
        </is>
      </c>
    </row>
    <row r="3"/>
    <row r="4" ht="28" customHeight="1">
      <c r="A4" s="3" t="inlineStr">
        <is>
          <t>Semana Operativa</t>
        </is>
      </c>
      <c r="B4" s="3" t="inlineStr">
        <is>
          <t>Periodo de Suministro</t>
        </is>
      </c>
      <c r="C4" s="3" t="inlineStr">
        <is>
          <t>No. Facturas Pagadas</t>
        </is>
      </c>
      <c r="D4" s="3" t="inlineStr">
        <is>
          <t>Monto Pagado en Imágenes ($)</t>
        </is>
      </c>
      <c r="E4" s="3" t="inlineStr">
        <is>
          <t>Monto Estado de Cuenta ($)</t>
        </is>
      </c>
      <c r="F4" s="3" t="inlineStr">
        <is>
          <t>Diferencia ($)</t>
        </is>
      </c>
      <c r="G4" s="3" t="inlineStr">
        <is>
          <t>Estatus Pago</t>
        </is>
      </c>
      <c r="H4" s="3" t="inlineStr">
        <is>
          <t>Concepto Principal Pagado</t>
        </is>
      </c>
    </row>
    <row r="5" ht="22" customHeight="1">
      <c r="A5" s="4" t="inlineStr">
        <is>
          <t>Semana 28</t>
        </is>
      </c>
      <c r="B5" s="4" t="inlineStr">
        <is>
          <t>06 Jul - 12 Jul 2026</t>
        </is>
      </c>
      <c r="C5" s="4" t="n">
        <v>27</v>
      </c>
      <c r="D5" s="5" t="n">
        <v>398354.22</v>
      </c>
      <c r="E5" s="5" t="n">
        <v>334052.62</v>
      </c>
      <c r="F5" s="5" t="n">
        <v>64301.59999999998</v>
      </c>
      <c r="G5" s="6" t="inlineStr">
        <is>
          <t>PAGADO</t>
        </is>
      </c>
      <c r="H5" s="7" t="inlineStr">
        <is>
          <t>Diesel Obra ($328.7k) + Tanque Pegaso ($66.6k) + Gasolina ($3k)</t>
        </is>
      </c>
    </row>
    <row r="6" ht="22" customHeight="1">
      <c r="A6" s="4" t="inlineStr">
        <is>
          <t>Semana 29</t>
        </is>
      </c>
      <c r="B6" s="4" t="inlineStr">
        <is>
          <t>13 Jul - 19 Jul 2026</t>
        </is>
      </c>
      <c r="C6" s="4" t="n">
        <v>27</v>
      </c>
      <c r="D6" s="5" t="n">
        <v>494202.83</v>
      </c>
      <c r="E6" s="5" t="n">
        <v>391703.36</v>
      </c>
      <c r="F6" s="5" t="n">
        <v>102499.47</v>
      </c>
      <c r="G6" s="6" t="inlineStr">
        <is>
          <t>PAGADO</t>
        </is>
      </c>
      <c r="H6" s="7" t="inlineStr">
        <is>
          <t>Diesel Obra ($376.6k) + Tanque Pegaso ($112.8k) + Gasolina ($4.8k)</t>
        </is>
      </c>
    </row>
    <row r="7" ht="22" customHeight="1">
      <c r="A7" s="4" t="inlineStr">
        <is>
          <t>Semana 30</t>
        </is>
      </c>
      <c r="B7" s="4" t="inlineStr">
        <is>
          <t>20 Jul - 26 Jul 2026</t>
        </is>
      </c>
      <c r="C7" s="4" t="n">
        <v>27</v>
      </c>
      <c r="D7" s="5" t="n">
        <v>387511.94</v>
      </c>
      <c r="E7" s="5" t="n">
        <v>410312.1</v>
      </c>
      <c r="F7" s="5" t="n">
        <v>-22800.15999999997</v>
      </c>
      <c r="G7" s="6" t="inlineStr">
        <is>
          <t>PAGADO (Diesel)</t>
        </is>
      </c>
      <c r="H7" s="7" t="inlineStr">
        <is>
          <t>Diesel Obra 100% Pagado ($387.5k). Gasolina pendiente ($12k)</t>
        </is>
      </c>
    </row>
    <row r="8" ht="22" customHeight="1">
      <c r="A8" s="4" t="inlineStr">
        <is>
          <t>Semana 31</t>
        </is>
      </c>
      <c r="B8" s="4" t="inlineStr">
        <is>
          <t>27 Jul - 01 Ago 2026</t>
        </is>
      </c>
      <c r="C8" s="4" t="n">
        <v>27</v>
      </c>
      <c r="D8" s="5" t="n">
        <v>382774.78</v>
      </c>
      <c r="E8" s="5" t="n">
        <v>384745.72</v>
      </c>
      <c r="F8" s="5" t="n">
        <v>-1970.939999999944</v>
      </c>
      <c r="G8" s="6" t="inlineStr">
        <is>
          <t>PAGADO (Diesel)</t>
        </is>
      </c>
      <c r="H8" s="7" t="inlineStr">
        <is>
          <t>Diesel Obra 100% Pagado ($382.7k). Gasolina pendiente ($10.8k)</t>
        </is>
      </c>
    </row>
    <row r="9" ht="22" customHeight="1">
      <c r="A9" s="4" t="inlineStr">
        <is>
          <t>Semana 32</t>
        </is>
      </c>
      <c r="B9" s="4" t="inlineStr">
        <is>
          <t>03 Ago - 09 Ago 2026</t>
        </is>
      </c>
      <c r="C9" s="4" t="n">
        <v>0</v>
      </c>
      <c r="D9" s="5" t="n">
        <v>0</v>
      </c>
      <c r="E9" s="5" t="n">
        <v>341114.27</v>
      </c>
      <c r="F9" s="5" t="n">
        <v>-341114.27</v>
      </c>
      <c r="G9" s="8" t="inlineStr">
        <is>
          <t>PENDIENTE</t>
        </is>
      </c>
      <c r="H9" s="7" t="inlineStr">
        <is>
          <t>Semana completa sin pago en este paquete ($341.1k)</t>
        </is>
      </c>
    </row>
    <row r="10" ht="25" customHeight="1">
      <c r="A10" s="9" t="inlineStr">
        <is>
          <t>TOTAL GENERAL</t>
        </is>
      </c>
      <c r="B10" s="10" t="inlineStr">
        <is>
          <t>Semanas 28 a 32</t>
        </is>
      </c>
      <c r="C10" s="10" t="n">
        <v>108</v>
      </c>
      <c r="D10" s="11">
        <f>SUM(D5:D9)</f>
        <v/>
      </c>
      <c r="E10" s="11">
        <f>SUM(E5:E9)</f>
        <v/>
      </c>
      <c r="F10" s="11">
        <f>D10-E10</f>
        <v/>
      </c>
      <c r="G10" s="9" t="inlineStr">
        <is>
          <t>CONCILIADO</t>
        </is>
      </c>
      <c r="H10" s="12" t="inlineStr">
        <is>
          <t>Diesel Sem 28-31 Pagado | Sem 32 y Gasolina Pendientes</t>
        </is>
      </c>
    </row>
    <row r="11"/>
    <row r="12"/>
    <row r="13" ht="22" customHeight="1">
      <c r="A13" s="13" t="inlineStr">
        <is>
          <t>EXPLICACIÓN DETALLADA DE LA CONCILIACIÓN DE SALDOS</t>
        </is>
      </c>
    </row>
    <row r="14" ht="22" customHeight="1">
      <c r="A14" s="14" t="inlineStr">
        <is>
          <t>1. Suma Real de las Tablas Pagadas (Imágenes)</t>
        </is>
      </c>
      <c r="B14" s="15" t="n"/>
      <c r="C14" s="15" t="n"/>
      <c r="D14" s="16" t="inlineStr">
        <is>
          <t>$1,662,843.77</t>
        </is>
      </c>
      <c r="E14" s="17" t="inlineStr">
        <is>
          <t>Corresponde a Tabla 1 ($747,843.77) + Tabla 2 ($915,000.00), totalizando exactamente 108 partidas.</t>
        </is>
      </c>
      <c r="F14" s="15" t="n"/>
      <c r="G14" s="15" t="n"/>
      <c r="H14" s="15" t="n"/>
    </row>
    <row r="15" ht="22" customHeight="1">
      <c r="A15" s="14" t="inlineStr">
        <is>
          <t>2. Total Reportado Inicialmente como Pagado</t>
        </is>
      </c>
      <c r="B15" s="15" t="n"/>
      <c r="C15" s="15" t="n"/>
      <c r="D15" s="16" t="inlineStr">
        <is>
          <t>$1,675,551.72</t>
        </is>
      </c>
      <c r="E15" s="17" t="inlineStr">
        <is>
          <t>Existe una partida de $12,707.95 pendiente de identificar en fichas bancarias/recibos complementarios.</t>
        </is>
      </c>
      <c r="F15" s="15" t="n"/>
      <c r="G15" s="15" t="n"/>
      <c r="H15" s="15" t="n"/>
    </row>
    <row r="16" ht="22" customHeight="1">
      <c r="A16" s="14" t="inlineStr">
        <is>
          <t>3. Saldo Registrado en Estado de Cuenta CON Semana 28</t>
        </is>
      </c>
      <c r="B16" s="15" t="n"/>
      <c r="C16" s="15" t="n"/>
      <c r="D16" s="16" t="inlineStr">
        <is>
          <t>$1,861,928.07</t>
        </is>
      </c>
      <c r="E16" s="17" t="inlineStr">
        <is>
          <t>Incluye Semanas 28, 29, 30, 31 Y ADEMÁS LA SEMANA 32 ($341,114.27). No contemplaba tanques granel Pegaso.</t>
        </is>
      </c>
      <c r="F16" s="15" t="n"/>
      <c r="G16" s="15" t="n"/>
      <c r="H16" s="15" t="n"/>
    </row>
    <row r="17" ht="22" customHeight="1">
      <c r="A17" s="14" t="inlineStr">
        <is>
          <t>4. Saldo Registrado en Estado de Cuenta SIN Semana 28</t>
        </is>
      </c>
      <c r="B17" s="15" t="n"/>
      <c r="C17" s="15" t="n"/>
      <c r="D17" s="16" t="inlineStr">
        <is>
          <t>$1,527,875.45</t>
        </is>
      </c>
      <c r="E17" s="17" t="inlineStr">
        <is>
          <t>Incluye Semanas 29, 30, 31 Y 32 ($341,114.27). La semana 28 del Estado de Cuenta sumaba $334,052.62.</t>
        </is>
      </c>
      <c r="F17" s="15" t="n"/>
      <c r="G17" s="15" t="n"/>
      <c r="H17" s="15" t="n"/>
    </row>
    <row r="18" ht="22" customHeight="1">
      <c r="A18" s="14" t="inlineStr">
        <is>
          <t>5. Monto Pendiente Real de Pago a Mobil Huixquilucan</t>
        </is>
      </c>
      <c r="B18" s="15" t="n"/>
      <c r="C18" s="15" t="n"/>
      <c r="D18" s="16" t="inlineStr">
        <is>
          <t>$378,511.30</t>
        </is>
      </c>
      <c r="E18" s="17" t="inlineStr">
        <is>
          <t>Semana 32 completa ($341,114.27) + Facturas de gasolina pendientes de Semanas 29, 30 y 31 ($37,397.03).</t>
        </is>
      </c>
      <c r="F18" s="15" t="n"/>
      <c r="G18" s="15" t="n"/>
      <c r="H18" s="15" t="n"/>
    </row>
  </sheetData>
  <mergeCells count="12">
    <mergeCell ref="E14:H14"/>
    <mergeCell ref="E17:H17"/>
    <mergeCell ref="E18:H18"/>
    <mergeCell ref="A14:C14"/>
    <mergeCell ref="A2:H2"/>
    <mergeCell ref="A17:C17"/>
    <mergeCell ref="E16:H16"/>
    <mergeCell ref="A18:C18"/>
    <mergeCell ref="E15:H15"/>
    <mergeCell ref="A1:H1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8" customWidth="1" min="2" max="2"/>
    <col width="21" customWidth="1" min="3" max="3"/>
    <col width="50" customWidth="1" min="4" max="4"/>
    <col width="20" customWidth="1" min="5" max="5"/>
    <col width="34" customWidth="1" min="6" max="6"/>
    <col width="32" customWidth="1" min="7" max="7"/>
    <col width="26" customWidth="1" min="8" max="8"/>
    <col width="24" customWidth="1" min="9" max="9"/>
  </cols>
  <sheetData>
    <row r="1" ht="35" customHeight="1">
      <c r="A1" s="1" t="inlineStr">
        <is>
          <t>CONCILIACIÓN DETALLADA DE FACTURAS: ESTADO DE CUENTA VS PAGOS REALIZADOS (MOBIL HUIXQUILUCAN)</t>
        </is>
      </c>
    </row>
    <row r="2"/>
    <row r="3" ht="25" customHeight="1">
      <c r="A3" s="3" t="inlineStr">
        <is>
          <t>Semana</t>
        </is>
      </c>
      <c r="B3" s="3" t="inlineStr">
        <is>
          <t>No. Factura</t>
        </is>
      </c>
      <c r="C3" s="3" t="inlineStr">
        <is>
          <t>Tipo Combustible</t>
        </is>
      </c>
      <c r="D3" s="3" t="inlineStr">
        <is>
          <t>Centro de Trabajo / Obra</t>
        </is>
      </c>
      <c r="E3" s="3" t="inlineStr">
        <is>
          <t>Fecha Suministro</t>
        </is>
      </c>
      <c r="F3" s="3" t="inlineStr">
        <is>
          <t>Monto en Factura / Edo Cta ($)</t>
        </is>
      </c>
      <c r="G3" s="3" t="inlineStr">
        <is>
          <t>Monto Pagado en Imágenes ($)</t>
        </is>
      </c>
      <c r="H3" s="3" t="inlineStr">
        <is>
          <t>Saldo Pendiente ($)</t>
        </is>
      </c>
      <c r="I3" s="3" t="inlineStr">
        <is>
          <t>Estatus Conciliación</t>
        </is>
      </c>
    </row>
    <row r="4" ht="20" customHeight="1">
      <c r="A4" s="4" t="inlineStr">
        <is>
          <t>Semana 28</t>
        </is>
      </c>
      <c r="B4" s="4" t="inlineStr">
        <is>
          <t>A-10360</t>
        </is>
      </c>
      <c r="C4" s="4" t="inlineStr">
        <is>
          <t>DIESEL</t>
        </is>
      </c>
      <c r="D4" s="7" t="inlineStr">
        <is>
          <t>Tanque Pegaso</t>
        </is>
      </c>
      <c r="E4" s="4" t="inlineStr">
        <is>
          <t>06/07/2026</t>
        </is>
      </c>
      <c r="F4" s="5" t="n">
        <v>108000.33</v>
      </c>
      <c r="G4" s="5" t="n">
        <v>66605.39999999999</v>
      </c>
      <c r="H4" s="5" t="n">
        <v>41394.93000000001</v>
      </c>
      <c r="I4" s="18" t="inlineStr">
        <is>
          <t>PAGADO PARCIAL</t>
        </is>
      </c>
    </row>
    <row r="5" ht="20" customHeight="1">
      <c r="A5" s="4" t="inlineStr">
        <is>
          <t>Semana 28</t>
        </is>
      </c>
      <c r="B5" s="4" t="inlineStr">
        <is>
          <t>A-10361</t>
        </is>
      </c>
      <c r="C5" s="4" t="inlineStr">
        <is>
          <t>DIESEL</t>
        </is>
      </c>
      <c r="D5" s="7" t="inlineStr">
        <is>
          <t>Planta Pegaso</t>
        </is>
      </c>
      <c r="E5" s="4" t="inlineStr">
        <is>
          <t>06/07/2026</t>
        </is>
      </c>
      <c r="F5" s="5" t="n">
        <v>8100.05</v>
      </c>
      <c r="G5" s="5" t="n">
        <v>8100.05</v>
      </c>
      <c r="H5" s="5" t="n">
        <v>0</v>
      </c>
      <c r="I5" s="6" t="inlineStr">
        <is>
          <t>PAGADO AL 100%</t>
        </is>
      </c>
    </row>
    <row r="6" ht="20" customHeight="1">
      <c r="A6" s="4" t="inlineStr">
        <is>
          <t>Semana 28</t>
        </is>
      </c>
      <c r="B6" s="4" t="inlineStr">
        <is>
          <t>A-10362</t>
        </is>
      </c>
      <c r="C6" s="4" t="inlineStr">
        <is>
          <t>DIESEL</t>
        </is>
      </c>
      <c r="D6" s="7" t="inlineStr">
        <is>
          <t>Providencia</t>
        </is>
      </c>
      <c r="E6" s="4" t="inlineStr">
        <is>
          <t>06/07/2026</t>
        </is>
      </c>
      <c r="F6" s="5" t="n">
        <v>6291</v>
      </c>
      <c r="G6" s="5" t="n">
        <v>6291</v>
      </c>
      <c r="H6" s="5" t="n">
        <v>0</v>
      </c>
      <c r="I6" s="6" t="inlineStr">
        <is>
          <t>PAGADO AL 100%</t>
        </is>
      </c>
    </row>
    <row r="7" ht="20" customHeight="1">
      <c r="A7" s="4" t="inlineStr">
        <is>
          <t>Semana 28</t>
        </is>
      </c>
      <c r="B7" s="4" t="inlineStr">
        <is>
          <t>A-10365</t>
        </is>
      </c>
      <c r="C7" s="4" t="inlineStr">
        <is>
          <t>DIESEL</t>
        </is>
      </c>
      <c r="D7" s="7" t="inlineStr">
        <is>
          <t>Planta Huixquilucan</t>
        </is>
      </c>
      <c r="E7" s="4" t="inlineStr">
        <is>
          <t>06/07/2026</t>
        </is>
      </c>
      <c r="F7" s="5" t="n">
        <v>10800.1</v>
      </c>
      <c r="G7" s="5" t="n">
        <v>10800.1</v>
      </c>
      <c r="H7" s="5" t="n">
        <v>0</v>
      </c>
      <c r="I7" s="6" t="inlineStr">
        <is>
          <t>PAGADO AL 100%</t>
        </is>
      </c>
    </row>
    <row r="8" ht="20" customHeight="1">
      <c r="A8" s="4" t="inlineStr">
        <is>
          <t>Semana 28</t>
        </is>
      </c>
      <c r="B8" s="4" t="inlineStr">
        <is>
          <t>A-10366</t>
        </is>
      </c>
      <c r="C8" s="4" t="inlineStr">
        <is>
          <t>DIESEL</t>
        </is>
      </c>
      <c r="D8" s="7" t="inlineStr">
        <is>
          <t>Bacheo Toluca</t>
        </is>
      </c>
      <c r="E8" s="4" t="inlineStr">
        <is>
          <t>06/07/2026</t>
        </is>
      </c>
      <c r="F8" s="5" t="n">
        <v>7695.05</v>
      </c>
      <c r="G8" s="5" t="n">
        <v>7695</v>
      </c>
      <c r="H8" s="5" t="n">
        <v>0.0500000000001819</v>
      </c>
      <c r="I8" s="18" t="inlineStr">
        <is>
          <t>PAGADO PARCIAL</t>
        </is>
      </c>
    </row>
    <row r="9" ht="20" customHeight="1">
      <c r="A9" s="4" t="inlineStr">
        <is>
          <t>Semana 28</t>
        </is>
      </c>
      <c r="B9" s="4" t="inlineStr">
        <is>
          <t>A-10367</t>
        </is>
      </c>
      <c r="C9" s="4" t="inlineStr">
        <is>
          <t>DIESEL</t>
        </is>
      </c>
      <c r="D9" s="7" t="inlineStr">
        <is>
          <t>México - Toluca</t>
        </is>
      </c>
      <c r="E9" s="4" t="inlineStr">
        <is>
          <t>06/07/2026</t>
        </is>
      </c>
      <c r="F9" s="5" t="n">
        <v>19305.1</v>
      </c>
      <c r="G9" s="5" t="n">
        <v>19305.1</v>
      </c>
      <c r="H9" s="5" t="n">
        <v>0</v>
      </c>
      <c r="I9" s="6" t="inlineStr">
        <is>
          <t>PAGADO AL 100%</t>
        </is>
      </c>
    </row>
    <row r="10" ht="20" customHeight="1">
      <c r="A10" s="4" t="inlineStr">
        <is>
          <t>Semana 28</t>
        </is>
      </c>
      <c r="B10" s="4" t="inlineStr">
        <is>
          <t>A-10368</t>
        </is>
      </c>
      <c r="C10" s="4" t="inlineStr">
        <is>
          <t>DIESEL</t>
        </is>
      </c>
      <c r="D10" s="7" t="inlineStr">
        <is>
          <t>Planta Huixquilucan</t>
        </is>
      </c>
      <c r="E10" s="4" t="inlineStr">
        <is>
          <t>06/07/2026</t>
        </is>
      </c>
      <c r="F10" s="5" t="n">
        <v>16200.1</v>
      </c>
      <c r="G10" s="5" t="n">
        <v>16200.1</v>
      </c>
      <c r="H10" s="5" t="n">
        <v>0</v>
      </c>
      <c r="I10" s="6" t="inlineStr">
        <is>
          <t>PAGADO AL 100%</t>
        </is>
      </c>
    </row>
    <row r="11" ht="20" customHeight="1">
      <c r="A11" s="4" t="inlineStr">
        <is>
          <t>Semana 28</t>
        </is>
      </c>
      <c r="B11" s="4" t="inlineStr">
        <is>
          <t>A-10380</t>
        </is>
      </c>
      <c r="C11" s="4" t="inlineStr">
        <is>
          <t>DIESEL</t>
        </is>
      </c>
      <c r="D11" s="7" t="inlineStr">
        <is>
          <t>Planta Pegaso</t>
        </is>
      </c>
      <c r="E11" s="4" t="inlineStr">
        <is>
          <t>07/07/2026</t>
        </is>
      </c>
      <c r="F11" s="5" t="n">
        <v>8100.05</v>
      </c>
      <c r="G11" s="5" t="n">
        <v>8100.05</v>
      </c>
      <c r="H11" s="5" t="n">
        <v>0</v>
      </c>
      <c r="I11" s="6" t="inlineStr">
        <is>
          <t>PAGADO AL 100%</t>
        </is>
      </c>
    </row>
    <row r="12" ht="20" customHeight="1">
      <c r="A12" s="4" t="inlineStr">
        <is>
          <t>Semana 28</t>
        </is>
      </c>
      <c r="B12" s="4" t="inlineStr">
        <is>
          <t>A-10381</t>
        </is>
      </c>
      <c r="C12" s="4" t="inlineStr">
        <is>
          <t>DIESEL</t>
        </is>
      </c>
      <c r="D12" s="7" t="inlineStr">
        <is>
          <t>Lerma - Tres Marías</t>
        </is>
      </c>
      <c r="E12" s="4" t="inlineStr">
        <is>
          <t>07/07/2026</t>
        </is>
      </c>
      <c r="F12" s="5" t="n">
        <v>18900.06</v>
      </c>
      <c r="G12" s="5" t="n">
        <v>18900.06</v>
      </c>
      <c r="H12" s="5" t="n">
        <v>0</v>
      </c>
      <c r="I12" s="6" t="inlineStr">
        <is>
          <t>PAGADO AL 100%</t>
        </is>
      </c>
    </row>
    <row r="13" ht="20" customHeight="1">
      <c r="A13" s="4" t="inlineStr">
        <is>
          <t>Semana 28</t>
        </is>
      </c>
      <c r="B13" s="4" t="inlineStr">
        <is>
          <t>A-10386</t>
        </is>
      </c>
      <c r="C13" s="4" t="inlineStr">
        <is>
          <t>GASOLINA / MENOR</t>
        </is>
      </c>
      <c r="D13" s="7" t="inlineStr">
        <is>
          <t>TANQUE PEGASO</t>
        </is>
      </c>
      <c r="E13" s="4" t="inlineStr">
        <is>
          <t>07/07/2026</t>
        </is>
      </c>
      <c r="F13" s="5" t="n">
        <v>3000</v>
      </c>
      <c r="G13" s="5" t="n">
        <v>3000</v>
      </c>
      <c r="H13" s="5" t="n">
        <v>0</v>
      </c>
      <c r="I13" s="6" t="inlineStr">
        <is>
          <t>PAGADO AL 100%</t>
        </is>
      </c>
    </row>
    <row r="14" ht="20" customHeight="1">
      <c r="A14" s="4" t="inlineStr">
        <is>
          <t>Semana 28</t>
        </is>
      </c>
      <c r="B14" s="4" t="inlineStr">
        <is>
          <t>A-10387</t>
        </is>
      </c>
      <c r="C14" s="4" t="inlineStr">
        <is>
          <t>DIESEL</t>
        </is>
      </c>
      <c r="D14" s="7" t="inlineStr">
        <is>
          <t>Bacheo Toluca</t>
        </is>
      </c>
      <c r="E14" s="4" t="inlineStr">
        <is>
          <t>07/07/2026</t>
        </is>
      </c>
      <c r="F14" s="5" t="n">
        <v>21600.15</v>
      </c>
      <c r="G14" s="5" t="n">
        <v>21600.15</v>
      </c>
      <c r="H14" s="5" t="n">
        <v>0</v>
      </c>
      <c r="I14" s="6" t="inlineStr">
        <is>
          <t>PAGADO AL 100%</t>
        </is>
      </c>
    </row>
    <row r="15" ht="20" customHeight="1">
      <c r="A15" s="4" t="inlineStr">
        <is>
          <t>Semana 28</t>
        </is>
      </c>
      <c r="B15" s="4" t="inlineStr">
        <is>
          <t>A-10388</t>
        </is>
      </c>
      <c r="C15" s="4" t="inlineStr">
        <is>
          <t>DIESEL</t>
        </is>
      </c>
      <c r="D15" s="7" t="inlineStr">
        <is>
          <t>Lerma - Tres Marías</t>
        </is>
      </c>
      <c r="E15" s="4" t="inlineStr">
        <is>
          <t>07/07/2026</t>
        </is>
      </c>
      <c r="F15" s="5" t="n">
        <v>2700.08</v>
      </c>
      <c r="G15" s="5" t="n">
        <v>2700.08</v>
      </c>
      <c r="H15" s="5" t="n">
        <v>0</v>
      </c>
      <c r="I15" s="6" t="inlineStr">
        <is>
          <t>PAGADO AL 100%</t>
        </is>
      </c>
    </row>
    <row r="16" ht="20" customHeight="1">
      <c r="A16" s="4" t="inlineStr">
        <is>
          <t>Semana 28</t>
        </is>
      </c>
      <c r="B16" s="4" t="inlineStr">
        <is>
          <t>A-10884</t>
        </is>
      </c>
      <c r="C16" s="4" t="inlineStr">
        <is>
          <t>DIESEL</t>
        </is>
      </c>
      <c r="D16" s="7" t="inlineStr">
        <is>
          <t>Planta Pegaso</t>
        </is>
      </c>
      <c r="E16" s="4" t="inlineStr">
        <is>
          <t>07/07/2026</t>
        </is>
      </c>
      <c r="F16" s="5" t="n">
        <v>16200.1</v>
      </c>
      <c r="G16" s="5" t="n">
        <v>16200.1</v>
      </c>
      <c r="H16" s="5" t="n">
        <v>0</v>
      </c>
      <c r="I16" s="6" t="inlineStr">
        <is>
          <t>PAGADO AL 100%</t>
        </is>
      </c>
    </row>
    <row r="17" ht="20" customHeight="1">
      <c r="A17" s="4" t="inlineStr">
        <is>
          <t>Semana 28</t>
        </is>
      </c>
      <c r="B17" s="4" t="inlineStr">
        <is>
          <t>A-10398</t>
        </is>
      </c>
      <c r="C17" s="4" t="inlineStr">
        <is>
          <t>DIESEL</t>
        </is>
      </c>
      <c r="D17" s="7" t="inlineStr">
        <is>
          <t>México - Toluca</t>
        </is>
      </c>
      <c r="E17" s="4" t="inlineStr">
        <is>
          <t>08/07/2026</t>
        </is>
      </c>
      <c r="F17" s="5" t="n">
        <v>16200.1</v>
      </c>
      <c r="G17" s="5" t="n">
        <v>16200.1</v>
      </c>
      <c r="H17" s="5" t="n">
        <v>0</v>
      </c>
      <c r="I17" s="6" t="inlineStr">
        <is>
          <t>PAGADO AL 100%</t>
        </is>
      </c>
    </row>
    <row r="18" ht="20" customHeight="1">
      <c r="A18" s="4" t="inlineStr">
        <is>
          <t>Semana 28</t>
        </is>
      </c>
      <c r="B18" s="4" t="inlineStr">
        <is>
          <t>A-10405</t>
        </is>
      </c>
      <c r="C18" s="4" t="inlineStr">
        <is>
          <t>DIESEL</t>
        </is>
      </c>
      <c r="D18" s="7" t="inlineStr">
        <is>
          <t>Planta Huixquilucan</t>
        </is>
      </c>
      <c r="E18" s="4" t="inlineStr">
        <is>
          <t>08/07/2026</t>
        </is>
      </c>
      <c r="F18" s="5" t="n">
        <v>10800.1</v>
      </c>
      <c r="G18" s="5" t="n">
        <v>10800.1</v>
      </c>
      <c r="H18" s="5" t="n">
        <v>0</v>
      </c>
      <c r="I18" s="6" t="inlineStr">
        <is>
          <t>PAGADO AL 100%</t>
        </is>
      </c>
    </row>
    <row r="19" ht="20" customHeight="1">
      <c r="A19" s="4" t="inlineStr">
        <is>
          <t>Semana 28</t>
        </is>
      </c>
      <c r="B19" s="4" t="inlineStr">
        <is>
          <t>A-10406</t>
        </is>
      </c>
      <c r="C19" s="4" t="inlineStr">
        <is>
          <t>DIESEL</t>
        </is>
      </c>
      <c r="D19" s="7" t="inlineStr">
        <is>
          <t>Planta Huixquilucan</t>
        </is>
      </c>
      <c r="E19" s="4" t="inlineStr">
        <is>
          <t>08/07/2026</t>
        </is>
      </c>
      <c r="F19" s="5" t="n">
        <v>8100.05</v>
      </c>
      <c r="G19" s="5" t="n">
        <v>8100.05</v>
      </c>
      <c r="H19" s="5" t="n">
        <v>0</v>
      </c>
      <c r="I19" s="6" t="inlineStr">
        <is>
          <t>PAGADO AL 100%</t>
        </is>
      </c>
    </row>
    <row r="20" ht="20" customHeight="1">
      <c r="A20" s="4" t="inlineStr">
        <is>
          <t>Semana 28</t>
        </is>
      </c>
      <c r="B20" s="4" t="inlineStr">
        <is>
          <t>A-10408</t>
        </is>
      </c>
      <c r="C20" s="4" t="inlineStr">
        <is>
          <t>DIESEL</t>
        </is>
      </c>
      <c r="D20" s="7" t="inlineStr">
        <is>
          <t>Planta Pegaso</t>
        </is>
      </c>
      <c r="E20" s="4" t="inlineStr">
        <is>
          <t>08/07/2026</t>
        </is>
      </c>
      <c r="F20" s="5" t="n">
        <v>8100.05</v>
      </c>
      <c r="G20" s="5" t="n">
        <v>8100.05</v>
      </c>
      <c r="H20" s="5" t="n">
        <v>0</v>
      </c>
      <c r="I20" s="6" t="inlineStr">
        <is>
          <t>PAGADO AL 100%</t>
        </is>
      </c>
    </row>
    <row r="21" ht="20" customHeight="1">
      <c r="A21" s="4" t="inlineStr">
        <is>
          <t>Semana 28</t>
        </is>
      </c>
      <c r="B21" s="4" t="inlineStr">
        <is>
          <t>A-10409</t>
        </is>
      </c>
      <c r="C21" s="4" t="inlineStr">
        <is>
          <t>DIESEL</t>
        </is>
      </c>
      <c r="D21" s="7" t="inlineStr">
        <is>
          <t>Desasolve</t>
        </is>
      </c>
      <c r="E21" s="4" t="inlineStr">
        <is>
          <t>08/07/2026</t>
        </is>
      </c>
      <c r="F21" s="5" t="n">
        <v>23206.21</v>
      </c>
      <c r="G21" s="5" t="n">
        <v>23206.21</v>
      </c>
      <c r="H21" s="5" t="n">
        <v>0</v>
      </c>
      <c r="I21" s="6" t="inlineStr">
        <is>
          <t>PAGADO AL 100%</t>
        </is>
      </c>
    </row>
    <row r="22" ht="20" customHeight="1">
      <c r="A22" s="4" t="inlineStr">
        <is>
          <t>Semana 28</t>
        </is>
      </c>
      <c r="B22" s="4" t="inlineStr">
        <is>
          <t>A-10886</t>
        </is>
      </c>
      <c r="C22" s="4" t="inlineStr">
        <is>
          <t>DIESEL</t>
        </is>
      </c>
      <c r="D22" s="7" t="inlineStr">
        <is>
          <t>Planta Pegaso</t>
        </is>
      </c>
      <c r="E22" s="4" t="inlineStr">
        <is>
          <t>09/07/2026</t>
        </is>
      </c>
      <c r="F22" s="5" t="n">
        <v>2700.08</v>
      </c>
      <c r="G22" s="5" t="n">
        <v>2700.08</v>
      </c>
      <c r="H22" s="5" t="n">
        <v>0</v>
      </c>
      <c r="I22" s="6" t="inlineStr">
        <is>
          <t>PAGADO AL 100%</t>
        </is>
      </c>
    </row>
    <row r="23" ht="20" customHeight="1">
      <c r="A23" s="4" t="inlineStr">
        <is>
          <t>Semana 28</t>
        </is>
      </c>
      <c r="B23" s="4" t="inlineStr">
        <is>
          <t>A-10887</t>
        </is>
      </c>
      <c r="C23" s="4" t="inlineStr">
        <is>
          <t>DIESEL</t>
        </is>
      </c>
      <c r="D23" s="7" t="inlineStr">
        <is>
          <t>Providencia</t>
        </is>
      </c>
      <c r="E23" s="4" t="inlineStr">
        <is>
          <t>09/07/2026</t>
        </is>
      </c>
      <c r="F23" s="5" t="n">
        <v>10800.1</v>
      </c>
      <c r="G23" s="5" t="n">
        <v>10800.1</v>
      </c>
      <c r="H23" s="5" t="n">
        <v>0</v>
      </c>
      <c r="I23" s="6" t="inlineStr">
        <is>
          <t>PAGADO AL 100%</t>
        </is>
      </c>
    </row>
    <row r="24" ht="20" customHeight="1">
      <c r="A24" s="4" t="inlineStr">
        <is>
          <t>Semana 28</t>
        </is>
      </c>
      <c r="B24" s="4" t="inlineStr">
        <is>
          <t>A-10888</t>
        </is>
      </c>
      <c r="C24" s="4" t="inlineStr">
        <is>
          <t>DIESEL</t>
        </is>
      </c>
      <c r="D24" s="7" t="inlineStr">
        <is>
          <t>Planta Pegaso</t>
        </is>
      </c>
      <c r="E24" s="4" t="inlineStr">
        <is>
          <t>09/07/2026</t>
        </is>
      </c>
      <c r="F24" s="5" t="n">
        <v>16201.8</v>
      </c>
      <c r="G24" s="5" t="n">
        <v>16201.8</v>
      </c>
      <c r="H24" s="5" t="n">
        <v>0</v>
      </c>
      <c r="I24" s="6" t="inlineStr">
        <is>
          <t>PAGADO AL 100%</t>
        </is>
      </c>
    </row>
    <row r="25" ht="20" customHeight="1">
      <c r="A25" s="4" t="inlineStr">
        <is>
          <t>Semana 28</t>
        </is>
      </c>
      <c r="B25" s="4" t="inlineStr">
        <is>
          <t>A-10893</t>
        </is>
      </c>
      <c r="C25" s="4" t="inlineStr">
        <is>
          <t>DIESEL</t>
        </is>
      </c>
      <c r="D25" s="7" t="inlineStr">
        <is>
          <t>Alfredo del Mazo</t>
        </is>
      </c>
      <c r="E25" s="4" t="inlineStr">
        <is>
          <t>10/07/2026</t>
        </is>
      </c>
      <c r="F25" s="5" t="n">
        <v>5400.05</v>
      </c>
      <c r="G25" s="5" t="n">
        <v>5400.05</v>
      </c>
      <c r="H25" s="5" t="n">
        <v>0</v>
      </c>
      <c r="I25" s="6" t="inlineStr">
        <is>
          <t>PAGADO AL 100%</t>
        </is>
      </c>
    </row>
    <row r="26" ht="20" customHeight="1">
      <c r="A26" s="4" t="inlineStr">
        <is>
          <t>Semana 28</t>
        </is>
      </c>
      <c r="B26" s="4" t="inlineStr">
        <is>
          <t>A-10894</t>
        </is>
      </c>
      <c r="C26" s="4" t="inlineStr">
        <is>
          <t>DIESEL</t>
        </is>
      </c>
      <c r="D26" s="7" t="inlineStr">
        <is>
          <t>Lerma - Tres Marías</t>
        </is>
      </c>
      <c r="E26" s="4" t="inlineStr">
        <is>
          <t>10/07/2026</t>
        </is>
      </c>
      <c r="F26" s="5" t="n">
        <v>18043.21</v>
      </c>
      <c r="G26" s="5" t="n">
        <v>18043.21</v>
      </c>
      <c r="H26" s="5" t="n">
        <v>0</v>
      </c>
      <c r="I26" s="6" t="inlineStr">
        <is>
          <t>PAGADO AL 100%</t>
        </is>
      </c>
    </row>
    <row r="27" ht="20" customHeight="1">
      <c r="A27" s="4" t="inlineStr">
        <is>
          <t>Semana 28</t>
        </is>
      </c>
      <c r="B27" s="4" t="inlineStr">
        <is>
          <t>A-10899</t>
        </is>
      </c>
      <c r="C27" s="4" t="inlineStr">
        <is>
          <t>DIESEL</t>
        </is>
      </c>
      <c r="D27" s="7" t="inlineStr">
        <is>
          <t>Planta Pegaso</t>
        </is>
      </c>
      <c r="E27" s="4" t="inlineStr">
        <is>
          <t>10/07/2026</t>
        </is>
      </c>
      <c r="F27" s="5" t="n">
        <v>27000.11</v>
      </c>
      <c r="G27" s="5" t="n">
        <v>27000.11</v>
      </c>
      <c r="H27" s="5" t="n">
        <v>0</v>
      </c>
      <c r="I27" s="6" t="inlineStr">
        <is>
          <t>PAGADO AL 100%</t>
        </is>
      </c>
    </row>
    <row r="28" ht="20" customHeight="1">
      <c r="A28" s="4" t="inlineStr">
        <is>
          <t>Semana 28</t>
        </is>
      </c>
      <c r="B28" s="4" t="inlineStr">
        <is>
          <t>A-10900</t>
        </is>
      </c>
      <c r="C28" s="4" t="inlineStr">
        <is>
          <t>DIESEL</t>
        </is>
      </c>
      <c r="D28" s="7" t="inlineStr">
        <is>
          <t>Desasolve</t>
        </is>
      </c>
      <c r="E28" s="4" t="inlineStr">
        <is>
          <t>10/07/2026</t>
        </is>
      </c>
      <c r="F28" s="5" t="n">
        <v>24705.06</v>
      </c>
      <c r="G28" s="5" t="n">
        <v>24705.06</v>
      </c>
      <c r="H28" s="5" t="n">
        <v>0</v>
      </c>
      <c r="I28" s="6" t="inlineStr">
        <is>
          <t>PAGADO AL 100%</t>
        </is>
      </c>
    </row>
    <row r="29" ht="20" customHeight="1">
      <c r="A29" s="4" t="inlineStr">
        <is>
          <t>Semana 28</t>
        </is>
      </c>
      <c r="B29" s="4" t="inlineStr">
        <is>
          <t>A-10904</t>
        </is>
      </c>
      <c r="C29" s="4" t="inlineStr">
        <is>
          <t>DIESEL</t>
        </is>
      </c>
      <c r="D29" s="7" t="inlineStr">
        <is>
          <t>Planta Pegaso</t>
        </is>
      </c>
      <c r="E29" s="4" t="inlineStr">
        <is>
          <t>11/07/2026</t>
        </is>
      </c>
      <c r="F29" s="5" t="n">
        <v>13500.06</v>
      </c>
      <c r="G29" s="5" t="n">
        <v>13500.06</v>
      </c>
      <c r="H29" s="5" t="n">
        <v>0</v>
      </c>
      <c r="I29" s="6" t="inlineStr">
        <is>
          <t>PAGADO AL 100%</t>
        </is>
      </c>
    </row>
    <row r="30" ht="20" customHeight="1">
      <c r="A30" s="4" t="inlineStr">
        <is>
          <t>Semana 28</t>
        </is>
      </c>
      <c r="B30" s="4" t="inlineStr">
        <is>
          <t>A-10912</t>
        </is>
      </c>
      <c r="C30" s="4" t="inlineStr">
        <is>
          <t>DIESEL</t>
        </is>
      </c>
      <c r="D30" s="7" t="inlineStr">
        <is>
          <t>Planta Pegaso</t>
        </is>
      </c>
      <c r="E30" s="4" t="inlineStr">
        <is>
          <t>12/07/2026</t>
        </is>
      </c>
      <c r="F30" s="5" t="n">
        <v>8100.05</v>
      </c>
      <c r="G30" s="5" t="n">
        <v>8100.05</v>
      </c>
      <c r="H30" s="5" t="n">
        <v>0</v>
      </c>
      <c r="I30" s="6" t="inlineStr">
        <is>
          <t>PAGADO AL 100%</t>
        </is>
      </c>
    </row>
    <row r="31" ht="20" customHeight="1">
      <c r="A31" s="4" t="inlineStr">
        <is>
          <t>Semana 29</t>
        </is>
      </c>
      <c r="B31" s="4" t="inlineStr">
        <is>
          <t>A-10420</t>
        </is>
      </c>
      <c r="C31" s="4" t="inlineStr">
        <is>
          <t>DIESEL</t>
        </is>
      </c>
      <c r="D31" s="7" t="inlineStr">
        <is>
          <t>Tanque Pegaso</t>
        </is>
      </c>
      <c r="E31" s="4" t="inlineStr">
        <is>
          <t>13/07/2026</t>
        </is>
      </c>
      <c r="F31" s="5" t="n">
        <v>108000.36</v>
      </c>
      <c r="G31" s="5" t="n">
        <v>601.4299999999999</v>
      </c>
      <c r="H31" s="5" t="n">
        <v>107398.93</v>
      </c>
      <c r="I31" s="18" t="inlineStr">
        <is>
          <t>PAGADO PARCIAL</t>
        </is>
      </c>
    </row>
    <row r="32" ht="20" customHeight="1">
      <c r="A32" s="4" t="inlineStr">
        <is>
          <t>Semana 29</t>
        </is>
      </c>
      <c r="B32" s="4" t="inlineStr">
        <is>
          <t>A-10422</t>
        </is>
      </c>
      <c r="C32" s="4" t="inlineStr">
        <is>
          <t>DIESEL</t>
        </is>
      </c>
      <c r="D32" s="7" t="inlineStr">
        <is>
          <t>Bacheo Toluca</t>
        </is>
      </c>
      <c r="E32" s="4" t="inlineStr">
        <is>
          <t>13/07/2026</t>
        </is>
      </c>
      <c r="F32" s="5" t="n">
        <v>14445.05</v>
      </c>
      <c r="G32" s="5" t="n">
        <v>14445.05</v>
      </c>
      <c r="H32" s="5" t="n">
        <v>0</v>
      </c>
      <c r="I32" s="6" t="inlineStr">
        <is>
          <t>PAGADO AL 100%</t>
        </is>
      </c>
    </row>
    <row r="33" ht="20" customHeight="1">
      <c r="A33" s="4" t="inlineStr">
        <is>
          <t>Semana 29</t>
        </is>
      </c>
      <c r="B33" s="4" t="inlineStr">
        <is>
          <t>A-10423</t>
        </is>
      </c>
      <c r="C33" s="4" t="inlineStr">
        <is>
          <t>DIESEL</t>
        </is>
      </c>
      <c r="D33" s="7" t="inlineStr">
        <is>
          <t>Desasolve</t>
        </is>
      </c>
      <c r="E33" s="4" t="inlineStr">
        <is>
          <t>13/07/2026</t>
        </is>
      </c>
      <c r="F33" s="5" t="n">
        <v>14445.05</v>
      </c>
      <c r="G33" s="5" t="n">
        <v>14445.05</v>
      </c>
      <c r="H33" s="5" t="n">
        <v>0</v>
      </c>
      <c r="I33" s="6" t="inlineStr">
        <is>
          <t>PAGADO AL 100%</t>
        </is>
      </c>
    </row>
    <row r="34" ht="20" customHeight="1">
      <c r="A34" s="4" t="inlineStr">
        <is>
          <t>Semana 29</t>
        </is>
      </c>
      <c r="B34" s="4" t="inlineStr">
        <is>
          <t>A-10425</t>
        </is>
      </c>
      <c r="C34" s="4" t="inlineStr">
        <is>
          <t>DIESEL</t>
        </is>
      </c>
      <c r="D34" s="7" t="inlineStr">
        <is>
          <t>Alfredo del Mazo</t>
        </is>
      </c>
      <c r="E34" s="4" t="inlineStr">
        <is>
          <t>13/07/2026</t>
        </is>
      </c>
      <c r="F34" s="5" t="n">
        <v>22652.97</v>
      </c>
      <c r="G34" s="5" t="n">
        <v>22652.97</v>
      </c>
      <c r="H34" s="5" t="n">
        <v>0</v>
      </c>
      <c r="I34" s="6" t="inlineStr">
        <is>
          <t>PAGADO AL 100%</t>
        </is>
      </c>
    </row>
    <row r="35" ht="20" customHeight="1">
      <c r="A35" s="4" t="inlineStr">
        <is>
          <t>Semana 29</t>
        </is>
      </c>
      <c r="B35" s="4" t="inlineStr">
        <is>
          <t>A-10426</t>
        </is>
      </c>
      <c r="C35" s="4" t="inlineStr">
        <is>
          <t>DIESEL</t>
        </is>
      </c>
      <c r="D35" s="7" t="inlineStr">
        <is>
          <t>Lerma - Tres Marías</t>
        </is>
      </c>
      <c r="E35" s="4" t="inlineStr">
        <is>
          <t>13/07/2026</t>
        </is>
      </c>
      <c r="F35" s="5" t="n">
        <v>17804.45</v>
      </c>
      <c r="G35" s="5" t="n">
        <v>17804.45</v>
      </c>
      <c r="H35" s="5" t="n">
        <v>0</v>
      </c>
      <c r="I35" s="6" t="inlineStr">
        <is>
          <t>PAGADO AL 100%</t>
        </is>
      </c>
    </row>
    <row r="36" ht="20" customHeight="1">
      <c r="A36" s="4" t="inlineStr">
        <is>
          <t>Semana 29</t>
        </is>
      </c>
      <c r="B36" s="4" t="inlineStr">
        <is>
          <t>A-10427</t>
        </is>
      </c>
      <c r="C36" s="4" t="inlineStr">
        <is>
          <t>GASOLINA / MENOR</t>
        </is>
      </c>
      <c r="D36" s="7" t="inlineStr">
        <is>
          <t>LERMA</t>
        </is>
      </c>
      <c r="E36" s="4" t="inlineStr">
        <is>
          <t>13/07/2026</t>
        </is>
      </c>
      <c r="F36" s="5" t="n">
        <v>3000</v>
      </c>
      <c r="G36" s="5" t="n">
        <v>3000</v>
      </c>
      <c r="H36" s="5" t="n">
        <v>0</v>
      </c>
      <c r="I36" s="6" t="inlineStr">
        <is>
          <t>PAGADO AL 100%</t>
        </is>
      </c>
    </row>
    <row r="37" ht="20" customHeight="1">
      <c r="A37" s="4" t="inlineStr">
        <is>
          <t>Semana 29</t>
        </is>
      </c>
      <c r="B37" s="4" t="inlineStr">
        <is>
          <t>A-10511</t>
        </is>
      </c>
      <c r="C37" s="4" t="inlineStr">
        <is>
          <t>DIESEL</t>
        </is>
      </c>
      <c r="D37" s="7" t="inlineStr">
        <is>
          <t>TANQUE PEGASO</t>
        </is>
      </c>
      <c r="E37" s="4" t="inlineStr">
        <is>
          <t>13/07/2026</t>
        </is>
      </c>
      <c r="F37" s="5" t="n">
        <v>4197.68</v>
      </c>
      <c r="G37" s="5" t="n">
        <v>4197.68</v>
      </c>
      <c r="H37" s="5" t="n">
        <v>0</v>
      </c>
      <c r="I37" s="6" t="inlineStr">
        <is>
          <t>PAGADO AL 100%</t>
        </is>
      </c>
    </row>
    <row r="38" ht="20" customHeight="1">
      <c r="A38" s="4" t="inlineStr">
        <is>
          <t>Semana 29</t>
        </is>
      </c>
      <c r="B38" s="4" t="inlineStr">
        <is>
          <t>A-10495</t>
        </is>
      </c>
      <c r="C38" s="4" t="inlineStr">
        <is>
          <t>DIESEL</t>
        </is>
      </c>
      <c r="D38" s="7" t="inlineStr">
        <is>
          <t>Planta Huixquilucan</t>
        </is>
      </c>
      <c r="E38" s="4" t="inlineStr">
        <is>
          <t>14/07/2026</t>
        </is>
      </c>
      <c r="F38" s="5" t="n">
        <v>16200.1</v>
      </c>
      <c r="G38" s="5" t="n">
        <v>16200.1</v>
      </c>
      <c r="H38" s="5" t="n">
        <v>0</v>
      </c>
      <c r="I38" s="6" t="inlineStr">
        <is>
          <t>PAGADO AL 100%</t>
        </is>
      </c>
    </row>
    <row r="39" ht="20" customHeight="1">
      <c r="A39" s="4" t="inlineStr">
        <is>
          <t>Semana 29</t>
        </is>
      </c>
      <c r="B39" s="4" t="inlineStr">
        <is>
          <t>A-10496</t>
        </is>
      </c>
      <c r="C39" s="4" t="inlineStr">
        <is>
          <t>DIESEL</t>
        </is>
      </c>
      <c r="D39" s="7" t="inlineStr">
        <is>
          <t>Colegio Militar</t>
        </is>
      </c>
      <c r="E39" s="4" t="inlineStr">
        <is>
          <t>14/07/2026</t>
        </is>
      </c>
      <c r="F39" s="5" t="n">
        <v>27000.11</v>
      </c>
      <c r="G39" s="5" t="n">
        <v>27000.11</v>
      </c>
      <c r="H39" s="5" t="n">
        <v>0</v>
      </c>
      <c r="I39" s="6" t="inlineStr">
        <is>
          <t>PAGADO AL 100%</t>
        </is>
      </c>
    </row>
    <row r="40" ht="20" customHeight="1">
      <c r="A40" s="4" t="inlineStr">
        <is>
          <t>Semana 29</t>
        </is>
      </c>
      <c r="B40" s="4" t="inlineStr">
        <is>
          <t>A-10499</t>
        </is>
      </c>
      <c r="C40" s="4" t="inlineStr">
        <is>
          <t>DIESEL</t>
        </is>
      </c>
      <c r="D40" s="7" t="inlineStr">
        <is>
          <t>Bacheo Toluca</t>
        </is>
      </c>
      <c r="E40" s="4" t="inlineStr">
        <is>
          <t>14/07/2026</t>
        </is>
      </c>
      <c r="F40" s="5" t="n">
        <v>11880</v>
      </c>
      <c r="G40" s="5" t="n">
        <v>11880</v>
      </c>
      <c r="H40" s="5" t="n">
        <v>0</v>
      </c>
      <c r="I40" s="6" t="inlineStr">
        <is>
          <t>PAGADO AL 100%</t>
        </is>
      </c>
    </row>
    <row r="41" ht="20" customHeight="1">
      <c r="A41" s="4" t="inlineStr">
        <is>
          <t>Semana 29</t>
        </is>
      </c>
      <c r="B41" s="4" t="inlineStr">
        <is>
          <t>A-10500</t>
        </is>
      </c>
      <c r="C41" s="4" t="inlineStr">
        <is>
          <t>DIESEL</t>
        </is>
      </c>
      <c r="D41" s="7" t="inlineStr">
        <is>
          <t>DEZAZOLVE CANALES</t>
        </is>
      </c>
      <c r="E41" s="4" t="inlineStr">
        <is>
          <t>14/07/2026</t>
        </is>
      </c>
      <c r="F41" s="5" t="n">
        <v>11880</v>
      </c>
      <c r="G41" s="5" t="n">
        <v>11880</v>
      </c>
      <c r="H41" s="5" t="n">
        <v>0</v>
      </c>
      <c r="I41" s="6" t="inlineStr">
        <is>
          <t>PAGADO AL 100%</t>
        </is>
      </c>
    </row>
    <row r="42" ht="20" customHeight="1">
      <c r="A42" s="4" t="inlineStr">
        <is>
          <t>Semana 29</t>
        </is>
      </c>
      <c r="B42" s="4" t="inlineStr">
        <is>
          <t>A-10438</t>
        </is>
      </c>
      <c r="C42" s="4" t="inlineStr">
        <is>
          <t>DIESEL</t>
        </is>
      </c>
      <c r="D42" s="7" t="inlineStr">
        <is>
          <t>Planta Huixquilucan</t>
        </is>
      </c>
      <c r="E42" s="4" t="inlineStr">
        <is>
          <t>15/07/2026</t>
        </is>
      </c>
      <c r="F42" s="5" t="n">
        <v>8100.05</v>
      </c>
      <c r="G42" s="5" t="n">
        <v>8100.05</v>
      </c>
      <c r="H42" s="5" t="n">
        <v>0</v>
      </c>
      <c r="I42" s="6" t="inlineStr">
        <is>
          <t>PAGADO AL 100%</t>
        </is>
      </c>
    </row>
    <row r="43" ht="20" customHeight="1">
      <c r="A43" s="4" t="inlineStr">
        <is>
          <t>Semana 29</t>
        </is>
      </c>
      <c r="B43" s="4" t="inlineStr">
        <is>
          <t>A-10509</t>
        </is>
      </c>
      <c r="C43" s="4" t="inlineStr">
        <is>
          <t>DIESEL</t>
        </is>
      </c>
      <c r="D43" s="7" t="inlineStr">
        <is>
          <t>México - Toluca</t>
        </is>
      </c>
      <c r="E43" s="4" t="inlineStr">
        <is>
          <t>15/07/2026</t>
        </is>
      </c>
      <c r="F43" s="5" t="n">
        <v>29693.92</v>
      </c>
      <c r="G43" s="5" t="n">
        <v>29693.92</v>
      </c>
      <c r="H43" s="5" t="n">
        <v>3.637978807091713e-12</v>
      </c>
      <c r="I43" s="6" t="inlineStr">
        <is>
          <t>PAGADO AL 100%</t>
        </is>
      </c>
    </row>
    <row r="44" ht="20" customHeight="1">
      <c r="A44" s="4" t="inlineStr">
        <is>
          <t>Semana 29</t>
        </is>
      </c>
      <c r="B44" s="4" t="inlineStr">
        <is>
          <t>A-10510</t>
        </is>
      </c>
      <c r="C44" s="4" t="inlineStr">
        <is>
          <t>DIESEL</t>
        </is>
      </c>
      <c r="D44" s="7" t="inlineStr">
        <is>
          <t>Tanque Pegaso</t>
        </is>
      </c>
      <c r="E44" s="4" t="inlineStr">
        <is>
          <t>15/07/2026</t>
        </is>
      </c>
      <c r="F44" s="5" t="n">
        <v>108000.36</v>
      </c>
      <c r="G44" s="5" t="n">
        <v>108000.36</v>
      </c>
      <c r="H44" s="5" t="n">
        <v>0</v>
      </c>
      <c r="I44" s="6" t="inlineStr">
        <is>
          <t>PAGADO AL 100%</t>
        </is>
      </c>
    </row>
    <row r="45" ht="20" customHeight="1">
      <c r="A45" s="4" t="inlineStr">
        <is>
          <t>Semana 29</t>
        </is>
      </c>
      <c r="B45" s="4" t="inlineStr">
        <is>
          <t>A-10512</t>
        </is>
      </c>
      <c r="C45" s="4" t="inlineStr">
        <is>
          <t>DIESEL</t>
        </is>
      </c>
      <c r="D45" s="7" t="inlineStr">
        <is>
          <t>Alfredo del Mazo</t>
        </is>
      </c>
      <c r="E45" s="4" t="inlineStr">
        <is>
          <t>15/07/2026</t>
        </is>
      </c>
      <c r="F45" s="5" t="n">
        <v>10800.13</v>
      </c>
      <c r="G45" s="5" t="n">
        <v>10800.13</v>
      </c>
      <c r="H45" s="5" t="n">
        <v>1.818989403545856e-12</v>
      </c>
      <c r="I45" s="6" t="inlineStr">
        <is>
          <t>PAGADO AL 100%</t>
        </is>
      </c>
    </row>
    <row r="46" ht="20" customHeight="1">
      <c r="A46" s="4" t="inlineStr">
        <is>
          <t>Semana 29</t>
        </is>
      </c>
      <c r="B46" s="4" t="inlineStr">
        <is>
          <t>A-10513</t>
        </is>
      </c>
      <c r="C46" s="4" t="inlineStr">
        <is>
          <t>DIESEL</t>
        </is>
      </c>
      <c r="D46" s="7" t="inlineStr">
        <is>
          <t>Providencia</t>
        </is>
      </c>
      <c r="E46" s="4" t="inlineStr">
        <is>
          <t>15/07/2026</t>
        </is>
      </c>
      <c r="F46" s="5" t="n">
        <v>5400.05</v>
      </c>
      <c r="G46" s="5" t="n">
        <v>5400.05</v>
      </c>
      <c r="H46" s="5" t="n">
        <v>0</v>
      </c>
      <c r="I46" s="6" t="inlineStr">
        <is>
          <t>PAGADO AL 100%</t>
        </is>
      </c>
    </row>
    <row r="47" ht="20" customHeight="1">
      <c r="A47" s="4" t="inlineStr">
        <is>
          <t>Semana 29</t>
        </is>
      </c>
      <c r="B47" s="4" t="inlineStr">
        <is>
          <t>A-10514</t>
        </is>
      </c>
      <c r="C47" s="4" t="inlineStr">
        <is>
          <t>DIESEL</t>
        </is>
      </c>
      <c r="D47" s="7" t="inlineStr">
        <is>
          <t>Planta Pegaso</t>
        </is>
      </c>
      <c r="E47" s="4" t="inlineStr">
        <is>
          <t>15/07/2026</t>
        </is>
      </c>
      <c r="F47" s="5" t="n">
        <v>27000.11</v>
      </c>
      <c r="G47" s="5" t="n">
        <v>27000.11</v>
      </c>
      <c r="H47" s="5" t="n">
        <v>0</v>
      </c>
      <c r="I47" s="6" t="inlineStr">
        <is>
          <t>PAGADO AL 100%</t>
        </is>
      </c>
    </row>
    <row r="48" ht="20" customHeight="1">
      <c r="A48" s="4" t="inlineStr">
        <is>
          <t>Semana 29</t>
        </is>
      </c>
      <c r="B48" s="4" t="inlineStr">
        <is>
          <t>A-10446</t>
        </is>
      </c>
      <c r="C48" s="4" t="inlineStr">
        <is>
          <t>DIESEL</t>
        </is>
      </c>
      <c r="D48" s="7" t="inlineStr">
        <is>
          <t>Alfredo del Mazo</t>
        </is>
      </c>
      <c r="E48" s="4" t="inlineStr">
        <is>
          <t>16/07/2026</t>
        </is>
      </c>
      <c r="F48" s="5" t="n">
        <v>16200.1</v>
      </c>
      <c r="G48" s="5" t="n">
        <v>16200.1</v>
      </c>
      <c r="H48" s="5" t="n">
        <v>0</v>
      </c>
      <c r="I48" s="6" t="inlineStr">
        <is>
          <t>PAGADO AL 100%</t>
        </is>
      </c>
    </row>
    <row r="49" ht="20" customHeight="1">
      <c r="A49" s="4" t="inlineStr">
        <is>
          <t>Semana 29</t>
        </is>
      </c>
      <c r="B49" s="4" t="inlineStr">
        <is>
          <t>A-10447</t>
        </is>
      </c>
      <c r="C49" s="4" t="inlineStr">
        <is>
          <t>DIESEL</t>
        </is>
      </c>
      <c r="D49" s="7" t="inlineStr">
        <is>
          <t>Providencia</t>
        </is>
      </c>
      <c r="E49" s="4" t="inlineStr">
        <is>
          <t>16/07/2026</t>
        </is>
      </c>
      <c r="F49" s="5" t="n">
        <v>10800.1</v>
      </c>
      <c r="G49" s="5" t="n">
        <v>10800.1</v>
      </c>
      <c r="H49" s="5" t="n">
        <v>0</v>
      </c>
      <c r="I49" s="6" t="inlineStr">
        <is>
          <t>PAGADO AL 100%</t>
        </is>
      </c>
    </row>
    <row r="50" ht="20" customHeight="1">
      <c r="A50" s="4" t="inlineStr">
        <is>
          <t>Semana 29</t>
        </is>
      </c>
      <c r="B50" s="4" t="inlineStr">
        <is>
          <t>A-10449</t>
        </is>
      </c>
      <c r="C50" s="4" t="inlineStr">
        <is>
          <t>DIESEL</t>
        </is>
      </c>
      <c r="D50" s="7" t="inlineStr">
        <is>
          <t>Planta Huixquilucan</t>
        </is>
      </c>
      <c r="E50" s="4" t="inlineStr">
        <is>
          <t>16/07/2026</t>
        </is>
      </c>
      <c r="F50" s="5" t="n">
        <v>13500.55</v>
      </c>
      <c r="G50" s="5" t="n">
        <v>13500.55</v>
      </c>
      <c r="H50" s="5" t="n">
        <v>0</v>
      </c>
      <c r="I50" s="6" t="inlineStr">
        <is>
          <t>PAGADO AL 100%</t>
        </is>
      </c>
    </row>
    <row r="51" ht="20" customHeight="1">
      <c r="A51" s="4" t="inlineStr">
        <is>
          <t>Semana 29</t>
        </is>
      </c>
      <c r="B51" s="4" t="inlineStr">
        <is>
          <t>A-10453</t>
        </is>
      </c>
      <c r="C51" s="4" t="inlineStr">
        <is>
          <t>DIESEL</t>
        </is>
      </c>
      <c r="D51" s="7" t="inlineStr">
        <is>
          <t>Desasolve</t>
        </is>
      </c>
      <c r="E51" s="4" t="inlineStr">
        <is>
          <t>16/07/2026</t>
        </is>
      </c>
      <c r="F51" s="5" t="n">
        <v>22950.13</v>
      </c>
      <c r="G51" s="5" t="n">
        <v>22950.13</v>
      </c>
      <c r="H51" s="5" t="n">
        <v>0</v>
      </c>
      <c r="I51" s="6" t="inlineStr">
        <is>
          <t>PAGADO AL 100%</t>
        </is>
      </c>
    </row>
    <row r="52" ht="20" customHeight="1">
      <c r="A52" s="4" t="inlineStr">
        <is>
          <t>Semana 29</t>
        </is>
      </c>
      <c r="B52" s="4" t="inlineStr">
        <is>
          <t>A-10454</t>
        </is>
      </c>
      <c r="C52" s="4" t="inlineStr">
        <is>
          <t>GASOLINA / MENOR</t>
        </is>
      </c>
      <c r="D52" s="7" t="inlineStr">
        <is>
          <t>TANQUE PEGASO</t>
        </is>
      </c>
      <c r="E52" s="4" t="inlineStr">
        <is>
          <t>16/07/2026</t>
        </is>
      </c>
      <c r="F52" s="5" t="n">
        <v>1800.02</v>
      </c>
      <c r="G52" s="5" t="n">
        <v>1800.02</v>
      </c>
      <c r="H52" s="5" t="n">
        <v>0</v>
      </c>
      <c r="I52" s="6" t="inlineStr">
        <is>
          <t>PAGADO AL 100%</t>
        </is>
      </c>
    </row>
    <row r="53" ht="20" customHeight="1">
      <c r="A53" s="4" t="inlineStr">
        <is>
          <t>Semana 29</t>
        </is>
      </c>
      <c r="B53" s="4" t="inlineStr">
        <is>
          <t>A-10457</t>
        </is>
      </c>
      <c r="C53" s="4" t="inlineStr">
        <is>
          <t>DIESEL</t>
        </is>
      </c>
      <c r="D53" s="7" t="inlineStr">
        <is>
          <t>Lerma - Tres Marías</t>
        </is>
      </c>
      <c r="E53" s="4" t="inlineStr">
        <is>
          <t>17/07/2026</t>
        </is>
      </c>
      <c r="F53" s="5" t="n">
        <v>27000.11</v>
      </c>
      <c r="G53" s="5" t="n">
        <v>27000.11</v>
      </c>
      <c r="H53" s="5" t="n">
        <v>0</v>
      </c>
      <c r="I53" s="6" t="inlineStr">
        <is>
          <t>PAGADO AL 100%</t>
        </is>
      </c>
    </row>
    <row r="54" ht="20" customHeight="1">
      <c r="A54" s="4" t="inlineStr">
        <is>
          <t>Semana 29</t>
        </is>
      </c>
      <c r="B54" s="4" t="inlineStr">
        <is>
          <t>A-10458</t>
        </is>
      </c>
      <c r="C54" s="4" t="inlineStr">
        <is>
          <t>DIESEL</t>
        </is>
      </c>
      <c r="D54" s="7" t="inlineStr">
        <is>
          <t>Planta Pegaso</t>
        </is>
      </c>
      <c r="E54" s="4" t="inlineStr">
        <is>
          <t>17/07/2026</t>
        </is>
      </c>
      <c r="F54" s="5" t="n">
        <v>10800.06</v>
      </c>
      <c r="G54" s="5" t="n">
        <v>10800.06</v>
      </c>
      <c r="H54" s="5" t="n">
        <v>1.818989403545856e-12</v>
      </c>
      <c r="I54" s="6" t="inlineStr">
        <is>
          <t>PAGADO AL 100%</t>
        </is>
      </c>
    </row>
    <row r="55" ht="20" customHeight="1">
      <c r="A55" s="4" t="inlineStr">
        <is>
          <t>Semana 29</t>
        </is>
      </c>
      <c r="B55" s="4" t="inlineStr">
        <is>
          <t>A-10459</t>
        </is>
      </c>
      <c r="C55" s="4" t="inlineStr">
        <is>
          <t>DIESEL</t>
        </is>
      </c>
      <c r="D55" s="7" t="inlineStr">
        <is>
          <t>México - Toluca</t>
        </is>
      </c>
      <c r="E55" s="4" t="inlineStr">
        <is>
          <t>17/07/2026</t>
        </is>
      </c>
      <c r="F55" s="5" t="n">
        <v>32400.12</v>
      </c>
      <c r="G55" s="5" t="n">
        <v>32400.12</v>
      </c>
      <c r="H55" s="5" t="n">
        <v>3.637978807091713e-12</v>
      </c>
      <c r="I55" s="6" t="inlineStr">
        <is>
          <t>PAGADO AL 100%</t>
        </is>
      </c>
    </row>
    <row r="56" ht="20" customHeight="1">
      <c r="A56" s="4" t="inlineStr">
        <is>
          <t>Semana 29</t>
        </is>
      </c>
      <c r="B56" s="4" t="inlineStr">
        <is>
          <t>A-23783100</t>
        </is>
      </c>
      <c r="C56" s="4" t="inlineStr">
        <is>
          <t>DIESEL</t>
        </is>
      </c>
      <c r="D56" s="7" t="inlineStr">
        <is>
          <t>Planta Pegaso</t>
        </is>
      </c>
      <c r="E56" s="4" t="inlineStr">
        <is>
          <t>17/07/2026</t>
        </is>
      </c>
      <c r="F56" s="5" t="n">
        <v>5400.05</v>
      </c>
      <c r="G56" s="5" t="n">
        <v>5400.05</v>
      </c>
      <c r="H56" s="5" t="n">
        <v>0</v>
      </c>
      <c r="I56" s="6" t="inlineStr">
        <is>
          <t>PAGADO AL 100%</t>
        </is>
      </c>
    </row>
    <row r="57" ht="20" customHeight="1">
      <c r="A57" s="4" t="inlineStr">
        <is>
          <t>Semana 29</t>
        </is>
      </c>
      <c r="B57" s="4" t="inlineStr">
        <is>
          <t>A-10474</t>
        </is>
      </c>
      <c r="C57" s="4" t="inlineStr">
        <is>
          <t>DIESEL</t>
        </is>
      </c>
      <c r="D57" s="7" t="inlineStr">
        <is>
          <t>Alfredo del Mazo</t>
        </is>
      </c>
      <c r="E57" s="4" t="inlineStr">
        <is>
          <t>18/07/2026</t>
        </is>
      </c>
      <c r="F57" s="5" t="n">
        <v>20250.13</v>
      </c>
      <c r="G57" s="5" t="n">
        <v>20250.13</v>
      </c>
      <c r="H57" s="5" t="n">
        <v>0</v>
      </c>
      <c r="I57" s="6" t="inlineStr">
        <is>
          <t>PAGADO AL 100%</t>
        </is>
      </c>
    </row>
    <row r="58" ht="20" customHeight="1">
      <c r="A58" s="4" t="inlineStr">
        <is>
          <t>Semana 29</t>
        </is>
      </c>
      <c r="B58" s="4" t="inlineStr">
        <is>
          <t>A-10424</t>
        </is>
      </c>
      <c r="C58" s="4" t="inlineStr">
        <is>
          <t>GASOLINA</t>
        </is>
      </c>
      <c r="D58" s="7" t="inlineStr">
        <is>
          <t>Vehículos Menores</t>
        </is>
      </c>
      <c r="E58" s="4" t="inlineStr">
        <is>
          <t>Agosto 2026</t>
        </is>
      </c>
      <c r="F58" s="5" t="n">
        <v>1500</v>
      </c>
      <c r="G58" s="5" t="n">
        <v>0</v>
      </c>
      <c r="H58" s="5" t="n">
        <v>1500</v>
      </c>
      <c r="I58" s="8" t="inlineStr">
        <is>
          <t>PENDIENTE POR PAGAR</t>
        </is>
      </c>
    </row>
    <row r="59" ht="20" customHeight="1">
      <c r="A59" s="4" t="inlineStr">
        <is>
          <t>Semana 29</t>
        </is>
      </c>
      <c r="B59" s="4" t="inlineStr">
        <is>
          <t>A-10434</t>
        </is>
      </c>
      <c r="C59" s="4" t="inlineStr">
        <is>
          <t>GASOLINA</t>
        </is>
      </c>
      <c r="D59" s="7" t="inlineStr">
        <is>
          <t>Vehículos Menores</t>
        </is>
      </c>
      <c r="E59" s="4" t="inlineStr">
        <is>
          <t>Agosto 2026</t>
        </is>
      </c>
      <c r="F59" s="5" t="n">
        <v>1200</v>
      </c>
      <c r="G59" s="5" t="n">
        <v>0</v>
      </c>
      <c r="H59" s="5" t="n">
        <v>1200</v>
      </c>
      <c r="I59" s="8" t="inlineStr">
        <is>
          <t>PENDIENTE POR PAGAR</t>
        </is>
      </c>
    </row>
    <row r="60" ht="20" customHeight="1">
      <c r="A60" s="4" t="inlineStr">
        <is>
          <t>Semana 29</t>
        </is>
      </c>
      <c r="B60" s="4" t="inlineStr">
        <is>
          <t>A-10450</t>
        </is>
      </c>
      <c r="C60" s="4" t="inlineStr">
        <is>
          <t>GASOLINA</t>
        </is>
      </c>
      <c r="D60" s="7" t="inlineStr">
        <is>
          <t>Vehículos Menores</t>
        </is>
      </c>
      <c r="E60" s="4" t="inlineStr">
        <is>
          <t>Agosto 2026</t>
        </is>
      </c>
      <c r="F60" s="5" t="n">
        <v>1500</v>
      </c>
      <c r="G60" s="5" t="n">
        <v>0</v>
      </c>
      <c r="H60" s="5" t="n">
        <v>1500</v>
      </c>
      <c r="I60" s="8" t="inlineStr">
        <is>
          <t>PENDIENTE POR PAGAR</t>
        </is>
      </c>
    </row>
    <row r="61" ht="20" customHeight="1">
      <c r="A61" s="4" t="inlineStr">
        <is>
          <t>Semana 29</t>
        </is>
      </c>
      <c r="B61" s="4" t="inlineStr">
        <is>
          <t>A-10451</t>
        </is>
      </c>
      <c r="C61" s="4" t="inlineStr">
        <is>
          <t>GASOLINA</t>
        </is>
      </c>
      <c r="D61" s="7" t="inlineStr">
        <is>
          <t>Vehículos Menores</t>
        </is>
      </c>
      <c r="E61" s="4" t="inlineStr">
        <is>
          <t>Agosto 2026</t>
        </is>
      </c>
      <c r="F61" s="5" t="n">
        <v>1500</v>
      </c>
      <c r="G61" s="5" t="n">
        <v>0</v>
      </c>
      <c r="H61" s="5" t="n">
        <v>1500</v>
      </c>
      <c r="I61" s="8" t="inlineStr">
        <is>
          <t>PENDIENTE POR PAGAR</t>
        </is>
      </c>
    </row>
    <row r="62" ht="20" customHeight="1">
      <c r="A62" s="4" t="inlineStr">
        <is>
          <t>Semana 29</t>
        </is>
      </c>
      <c r="B62" s="4" t="inlineStr">
        <is>
          <t>A-10460</t>
        </is>
      </c>
      <c r="C62" s="4" t="inlineStr">
        <is>
          <t>GASOLINA</t>
        </is>
      </c>
      <c r="D62" s="7" t="inlineStr">
        <is>
          <t>Vehículos Menores</t>
        </is>
      </c>
      <c r="E62" s="4" t="inlineStr">
        <is>
          <t>Agosto 2026</t>
        </is>
      </c>
      <c r="F62" s="5" t="n">
        <v>1500</v>
      </c>
      <c r="G62" s="5" t="n">
        <v>0</v>
      </c>
      <c r="H62" s="5" t="n">
        <v>1500</v>
      </c>
      <c r="I62" s="8" t="inlineStr">
        <is>
          <t>PENDIENTE POR PAGAR</t>
        </is>
      </c>
    </row>
    <row r="63" ht="20" customHeight="1">
      <c r="A63" s="4" t="inlineStr">
        <is>
          <t>Semana 29</t>
        </is>
      </c>
      <c r="B63" s="4" t="inlineStr">
        <is>
          <t>A-10470</t>
        </is>
      </c>
      <c r="C63" s="4" t="inlineStr">
        <is>
          <t>GASOLINA</t>
        </is>
      </c>
      <c r="D63" s="7" t="inlineStr">
        <is>
          <t>Vehículos Menores</t>
        </is>
      </c>
      <c r="E63" s="4" t="inlineStr">
        <is>
          <t>Agosto 2026</t>
        </is>
      </c>
      <c r="F63" s="5" t="n">
        <v>1500</v>
      </c>
      <c r="G63" s="5" t="n">
        <v>0</v>
      </c>
      <c r="H63" s="5" t="n">
        <v>1500</v>
      </c>
      <c r="I63" s="8" t="inlineStr">
        <is>
          <t>PENDIENTE POR PAGAR</t>
        </is>
      </c>
    </row>
    <row r="64" ht="20" customHeight="1">
      <c r="A64" s="4" t="inlineStr">
        <is>
          <t>Semana 29</t>
        </is>
      </c>
      <c r="B64" s="4" t="inlineStr">
        <is>
          <t>A-10515</t>
        </is>
      </c>
      <c r="C64" s="4" t="inlineStr">
        <is>
          <t>GASOLINA</t>
        </is>
      </c>
      <c r="D64" s="7" t="inlineStr">
        <is>
          <t>Vehículos Menores</t>
        </is>
      </c>
      <c r="E64" s="4" t="inlineStr">
        <is>
          <t>Agosto 2026</t>
        </is>
      </c>
      <c r="F64" s="5" t="n">
        <v>1600</v>
      </c>
      <c r="G64" s="5" t="n">
        <v>0</v>
      </c>
      <c r="H64" s="5" t="n">
        <v>1600</v>
      </c>
      <c r="I64" s="8" t="inlineStr">
        <is>
          <t>PENDIENTE POR PAGAR</t>
        </is>
      </c>
    </row>
    <row r="65" ht="20" customHeight="1">
      <c r="A65" s="4" t="inlineStr">
        <is>
          <t>Semana 29</t>
        </is>
      </c>
      <c r="B65" s="4" t="inlineStr">
        <is>
          <t>A-23783097</t>
        </is>
      </c>
      <c r="C65" s="4" t="inlineStr">
        <is>
          <t>GASOLINA</t>
        </is>
      </c>
      <c r="D65" s="7" t="inlineStr">
        <is>
          <t>Vehículos Menores</t>
        </is>
      </c>
      <c r="E65" s="4" t="inlineStr">
        <is>
          <t>Agosto 2026</t>
        </is>
      </c>
      <c r="F65" s="5" t="n">
        <v>1500</v>
      </c>
      <c r="G65" s="5" t="n">
        <v>0</v>
      </c>
      <c r="H65" s="5" t="n">
        <v>1500</v>
      </c>
      <c r="I65" s="8" t="inlineStr">
        <is>
          <t>PENDIENTE POR PAGAR</t>
        </is>
      </c>
    </row>
    <row r="66" ht="20" customHeight="1">
      <c r="A66" s="4" t="inlineStr">
        <is>
          <t>Semana 29</t>
        </is>
      </c>
      <c r="B66" s="4" t="inlineStr">
        <is>
          <t>A-23783099</t>
        </is>
      </c>
      <c r="C66" s="4" t="inlineStr">
        <is>
          <t>GASOLINA</t>
        </is>
      </c>
      <c r="D66" s="7" t="inlineStr">
        <is>
          <t>Vehículos Menores</t>
        </is>
      </c>
      <c r="E66" s="4" t="inlineStr">
        <is>
          <t>Agosto 2026</t>
        </is>
      </c>
      <c r="F66" s="5" t="n">
        <v>1500</v>
      </c>
      <c r="G66" s="5" t="n">
        <v>0</v>
      </c>
      <c r="H66" s="5" t="n">
        <v>1500</v>
      </c>
      <c r="I66" s="8" t="inlineStr">
        <is>
          <t>PENDIENTE POR PAGAR</t>
        </is>
      </c>
    </row>
    <row r="67" ht="20" customHeight="1">
      <c r="A67" s="4" t="inlineStr">
        <is>
          <t>Semana 30</t>
        </is>
      </c>
      <c r="B67" s="4" t="inlineStr">
        <is>
          <t>A-10479</t>
        </is>
      </c>
      <c r="C67" s="4" t="inlineStr">
        <is>
          <t>DIESEL</t>
        </is>
      </c>
      <c r="D67" s="7" t="inlineStr">
        <is>
          <t>Providencia</t>
        </is>
      </c>
      <c r="E67" s="4" t="inlineStr">
        <is>
          <t>20/07/2026</t>
        </is>
      </c>
      <c r="F67" s="5" t="n">
        <v>12285.08</v>
      </c>
      <c r="G67" s="5" t="n">
        <v>12285.08</v>
      </c>
      <c r="H67" s="5" t="n">
        <v>0</v>
      </c>
      <c r="I67" s="6" t="inlineStr">
        <is>
          <t>PAGADO AL 100%</t>
        </is>
      </c>
    </row>
    <row r="68" ht="20" customHeight="1">
      <c r="A68" s="4" t="inlineStr">
        <is>
          <t>Semana 30</t>
        </is>
      </c>
      <c r="B68" s="4" t="inlineStr">
        <is>
          <t>A-10480</t>
        </is>
      </c>
      <c r="C68" s="4" t="inlineStr">
        <is>
          <t>DIESEL</t>
        </is>
      </c>
      <c r="D68" s="7" t="inlineStr">
        <is>
          <t>Lerma - Tres Marías</t>
        </is>
      </c>
      <c r="E68" s="4" t="inlineStr">
        <is>
          <t>20/07/2026</t>
        </is>
      </c>
      <c r="F68" s="5" t="n">
        <v>14715.08</v>
      </c>
      <c r="G68" s="5" t="n">
        <v>14715.08</v>
      </c>
      <c r="H68" s="5" t="n">
        <v>0</v>
      </c>
      <c r="I68" s="6" t="inlineStr">
        <is>
          <t>PAGADO AL 100%</t>
        </is>
      </c>
    </row>
    <row r="69" ht="20" customHeight="1">
      <c r="A69" s="4" t="inlineStr">
        <is>
          <t>Semana 30</t>
        </is>
      </c>
      <c r="B69" s="4" t="inlineStr">
        <is>
          <t>A-10483</t>
        </is>
      </c>
      <c r="C69" s="4" t="inlineStr">
        <is>
          <t>DIESEL</t>
        </is>
      </c>
      <c r="D69" s="7" t="inlineStr">
        <is>
          <t>Desasolve</t>
        </is>
      </c>
      <c r="E69" s="4" t="inlineStr">
        <is>
          <t>20/07/2026</t>
        </is>
      </c>
      <c r="F69" s="5" t="n">
        <v>16200.1</v>
      </c>
      <c r="G69" s="5" t="n">
        <v>16200.1</v>
      </c>
      <c r="H69" s="5" t="n">
        <v>0</v>
      </c>
      <c r="I69" s="6" t="inlineStr">
        <is>
          <t>PAGADO AL 100%</t>
        </is>
      </c>
    </row>
    <row r="70" ht="20" customHeight="1">
      <c r="A70" s="4" t="inlineStr">
        <is>
          <t>Semana 30</t>
        </is>
      </c>
      <c r="B70" s="4" t="inlineStr">
        <is>
          <t>A-10484</t>
        </is>
      </c>
      <c r="C70" s="4" t="inlineStr">
        <is>
          <t>DIESEL</t>
        </is>
      </c>
      <c r="D70" s="7" t="inlineStr">
        <is>
          <t>Bacheo Toluca</t>
        </is>
      </c>
      <c r="E70" s="4" t="inlineStr">
        <is>
          <t>20/07/2026</t>
        </is>
      </c>
      <c r="F70" s="5" t="n">
        <v>13500.06</v>
      </c>
      <c r="G70" s="5" t="n">
        <v>13500</v>
      </c>
      <c r="H70" s="5" t="n">
        <v>0.05999999999949068</v>
      </c>
      <c r="I70" s="18" t="inlineStr">
        <is>
          <t>PAGADO PARCIAL</t>
        </is>
      </c>
    </row>
    <row r="71" ht="20" customHeight="1">
      <c r="A71" s="4" t="inlineStr">
        <is>
          <t>Semana 30</t>
        </is>
      </c>
      <c r="B71" s="4" t="inlineStr">
        <is>
          <t>A-10485</t>
        </is>
      </c>
      <c r="C71" s="4" t="inlineStr">
        <is>
          <t>DIESEL</t>
        </is>
      </c>
      <c r="D71" s="7" t="inlineStr">
        <is>
          <t>Planta Huixquilucan</t>
        </is>
      </c>
      <c r="E71" s="4" t="inlineStr">
        <is>
          <t>20/07/2026</t>
        </is>
      </c>
      <c r="F71" s="5" t="n">
        <v>12150.08</v>
      </c>
      <c r="G71" s="5" t="n">
        <v>12150.08</v>
      </c>
      <c r="H71" s="5" t="n">
        <v>0</v>
      </c>
      <c r="I71" s="6" t="inlineStr">
        <is>
          <t>PAGADO AL 100%</t>
        </is>
      </c>
    </row>
    <row r="72" ht="20" customHeight="1">
      <c r="A72" s="4" t="inlineStr">
        <is>
          <t>Semana 30</t>
        </is>
      </c>
      <c r="B72" s="4" t="inlineStr">
        <is>
          <t>A-10491</t>
        </is>
      </c>
      <c r="C72" s="4" t="inlineStr">
        <is>
          <t>DIESEL</t>
        </is>
      </c>
      <c r="D72" s="7" t="inlineStr">
        <is>
          <t>Planta Pegaso</t>
        </is>
      </c>
      <c r="E72" s="4" t="inlineStr">
        <is>
          <t>20/07/2026</t>
        </is>
      </c>
      <c r="F72" s="5" t="n">
        <v>21600.09</v>
      </c>
      <c r="G72" s="5" t="n">
        <v>21600.09</v>
      </c>
      <c r="H72" s="5" t="n">
        <v>0</v>
      </c>
      <c r="I72" s="6" t="inlineStr">
        <is>
          <t>PAGADO AL 100%</t>
        </is>
      </c>
    </row>
    <row r="73" ht="20" customHeight="1">
      <c r="A73" s="4" t="inlineStr">
        <is>
          <t>Semana 30</t>
        </is>
      </c>
      <c r="B73" s="4" t="inlineStr">
        <is>
          <t>A-10492</t>
        </is>
      </c>
      <c r="C73" s="4" t="inlineStr">
        <is>
          <t>DIESEL</t>
        </is>
      </c>
      <c r="D73" s="7" t="inlineStr">
        <is>
          <t>Alfredo del Mazo</t>
        </is>
      </c>
      <c r="E73" s="4" t="inlineStr">
        <is>
          <t>20/07/2026</t>
        </is>
      </c>
      <c r="F73" s="5" t="n">
        <v>10800.97</v>
      </c>
      <c r="G73" s="5" t="n">
        <v>10800.97</v>
      </c>
      <c r="H73" s="5" t="n">
        <v>1.818989403545856e-12</v>
      </c>
      <c r="I73" s="6" t="inlineStr">
        <is>
          <t>PAGADO AL 100%</t>
        </is>
      </c>
    </row>
    <row r="74" ht="20" customHeight="1">
      <c r="A74" s="4" t="inlineStr">
        <is>
          <t>Semana 30</t>
        </is>
      </c>
      <c r="B74" s="4" t="inlineStr">
        <is>
          <t>A-10520</t>
        </is>
      </c>
      <c r="C74" s="4" t="inlineStr">
        <is>
          <t>DIESEL</t>
        </is>
      </c>
      <c r="D74" s="7" t="inlineStr">
        <is>
          <t>Planta Huixquilucan</t>
        </is>
      </c>
      <c r="E74" s="4" t="inlineStr">
        <is>
          <t>21/07/2026</t>
        </is>
      </c>
      <c r="F74" s="5" t="n">
        <v>10800.13</v>
      </c>
      <c r="G74" s="5" t="n">
        <v>10800.13</v>
      </c>
      <c r="H74" s="5" t="n">
        <v>1.818989403545856e-12</v>
      </c>
      <c r="I74" s="6" t="inlineStr">
        <is>
          <t>PAGADO AL 100%</t>
        </is>
      </c>
    </row>
    <row r="75" ht="20" customHeight="1">
      <c r="A75" s="4" t="inlineStr">
        <is>
          <t>Semana 30</t>
        </is>
      </c>
      <c r="B75" s="4" t="inlineStr">
        <is>
          <t>A-10521</t>
        </is>
      </c>
      <c r="C75" s="4" t="inlineStr">
        <is>
          <t>DIESEL</t>
        </is>
      </c>
      <c r="D75" s="7" t="inlineStr">
        <is>
          <t>Desasolve</t>
        </is>
      </c>
      <c r="E75" s="4" t="inlineStr">
        <is>
          <t>21/07/2026</t>
        </is>
      </c>
      <c r="F75" s="5" t="n">
        <v>21600.15</v>
      </c>
      <c r="G75" s="5" t="n">
        <v>21600.15</v>
      </c>
      <c r="H75" s="5" t="n">
        <v>0</v>
      </c>
      <c r="I75" s="6" t="inlineStr">
        <is>
          <t>PAGADO AL 100%</t>
        </is>
      </c>
    </row>
    <row r="76" ht="20" customHeight="1">
      <c r="A76" s="4" t="inlineStr">
        <is>
          <t>Semana 30</t>
        </is>
      </c>
      <c r="B76" s="4" t="inlineStr">
        <is>
          <t>A-10522</t>
        </is>
      </c>
      <c r="C76" s="4" t="inlineStr">
        <is>
          <t>DIESEL</t>
        </is>
      </c>
      <c r="D76" s="7" t="inlineStr">
        <is>
          <t>México - Toluca</t>
        </is>
      </c>
      <c r="E76" s="4" t="inlineStr">
        <is>
          <t>21/07/2026</t>
        </is>
      </c>
      <c r="F76" s="5" t="n">
        <v>25925</v>
      </c>
      <c r="G76" s="5" t="n">
        <v>25925</v>
      </c>
      <c r="H76" s="5" t="n">
        <v>0</v>
      </c>
      <c r="I76" s="6" t="inlineStr">
        <is>
          <t>PAGADO AL 100%</t>
        </is>
      </c>
    </row>
    <row r="77" ht="20" customHeight="1">
      <c r="A77" s="4" t="inlineStr">
        <is>
          <t>Semana 30</t>
        </is>
      </c>
      <c r="B77" s="4" t="inlineStr">
        <is>
          <t>A-10532</t>
        </is>
      </c>
      <c r="C77" s="4" t="inlineStr">
        <is>
          <t>DIESEL</t>
        </is>
      </c>
      <c r="D77" s="7" t="inlineStr">
        <is>
          <t>Alfredo del Mazo</t>
        </is>
      </c>
      <c r="E77" s="4" t="inlineStr">
        <is>
          <t>21/07/2026</t>
        </is>
      </c>
      <c r="F77" s="5" t="n">
        <v>5400.05</v>
      </c>
      <c r="G77" s="5" t="n">
        <v>5400.05</v>
      </c>
      <c r="H77" s="5" t="n">
        <v>0</v>
      </c>
      <c r="I77" s="6" t="inlineStr">
        <is>
          <t>PAGADO AL 100%</t>
        </is>
      </c>
    </row>
    <row r="78" ht="20" customHeight="1">
      <c r="A78" s="4" t="inlineStr">
        <is>
          <t>Semana 30</t>
        </is>
      </c>
      <c r="B78" s="4" t="inlineStr">
        <is>
          <t>A-10535</t>
        </is>
      </c>
      <c r="C78" s="4" t="inlineStr">
        <is>
          <t>DIESEL</t>
        </is>
      </c>
      <c r="D78" s="7" t="inlineStr">
        <is>
          <t>Planta Pegaso</t>
        </is>
      </c>
      <c r="E78" s="4" t="inlineStr">
        <is>
          <t>22/07/2026</t>
        </is>
      </c>
      <c r="F78" s="5" t="n">
        <v>21600.15</v>
      </c>
      <c r="G78" s="5" t="n">
        <v>21600.15</v>
      </c>
      <c r="H78" s="5" t="n">
        <v>0</v>
      </c>
      <c r="I78" s="6" t="inlineStr">
        <is>
          <t>PAGADO AL 100%</t>
        </is>
      </c>
    </row>
    <row r="79" ht="20" customHeight="1">
      <c r="A79" s="4" t="inlineStr">
        <is>
          <t>Semana 30</t>
        </is>
      </c>
      <c r="B79" s="4" t="inlineStr">
        <is>
          <t>A-10543</t>
        </is>
      </c>
      <c r="C79" s="4" t="inlineStr">
        <is>
          <t>DIESEL</t>
        </is>
      </c>
      <c r="D79" s="7" t="inlineStr">
        <is>
          <t>Desasolve</t>
        </is>
      </c>
      <c r="E79" s="4" t="inlineStr">
        <is>
          <t>22/07/2026</t>
        </is>
      </c>
      <c r="F79" s="5" t="n">
        <v>21600.15</v>
      </c>
      <c r="G79" s="5" t="n">
        <v>21600.15</v>
      </c>
      <c r="H79" s="5" t="n">
        <v>0</v>
      </c>
      <c r="I79" s="6" t="inlineStr">
        <is>
          <t>PAGADO AL 100%</t>
        </is>
      </c>
    </row>
    <row r="80" ht="20" customHeight="1">
      <c r="A80" s="4" t="inlineStr">
        <is>
          <t>Semana 30</t>
        </is>
      </c>
      <c r="B80" s="4" t="inlineStr">
        <is>
          <t>A-10544</t>
        </is>
      </c>
      <c r="C80" s="4" t="inlineStr">
        <is>
          <t>DIESEL</t>
        </is>
      </c>
      <c r="D80" s="7" t="inlineStr">
        <is>
          <t>Planta Huixquilucan</t>
        </is>
      </c>
      <c r="E80" s="4" t="inlineStr">
        <is>
          <t>23/07/2026</t>
        </is>
      </c>
      <c r="F80" s="5" t="n">
        <v>8100</v>
      </c>
      <c r="G80" s="5" t="n">
        <v>8100</v>
      </c>
      <c r="H80" s="5" t="n">
        <v>0</v>
      </c>
      <c r="I80" s="6" t="inlineStr">
        <is>
          <t>PAGADO AL 100%</t>
        </is>
      </c>
    </row>
    <row r="81" ht="20" customHeight="1">
      <c r="A81" s="4" t="inlineStr">
        <is>
          <t>Semana 30</t>
        </is>
      </c>
      <c r="B81" s="4" t="inlineStr">
        <is>
          <t>A-10556</t>
        </is>
      </c>
      <c r="C81" s="4" t="inlineStr">
        <is>
          <t>DIESEL</t>
        </is>
      </c>
      <c r="D81" s="7" t="inlineStr">
        <is>
          <t>Planta Huixquilucan</t>
        </is>
      </c>
      <c r="E81" s="4" t="inlineStr">
        <is>
          <t>23/07/2026</t>
        </is>
      </c>
      <c r="F81" s="5" t="n">
        <v>10800.1</v>
      </c>
      <c r="G81" s="5" t="n">
        <v>10800.1</v>
      </c>
      <c r="H81" s="5" t="n">
        <v>0</v>
      </c>
      <c r="I81" s="6" t="inlineStr">
        <is>
          <t>PAGADO AL 100%</t>
        </is>
      </c>
    </row>
    <row r="82" ht="20" customHeight="1">
      <c r="A82" s="4" t="inlineStr">
        <is>
          <t>Semana 30</t>
        </is>
      </c>
      <c r="B82" s="4" t="inlineStr">
        <is>
          <t>A-10563</t>
        </is>
      </c>
      <c r="C82" s="4" t="inlineStr">
        <is>
          <t>DIESEL</t>
        </is>
      </c>
      <c r="D82" s="7" t="inlineStr">
        <is>
          <t>México - Toluca</t>
        </is>
      </c>
      <c r="E82" s="4" t="inlineStr">
        <is>
          <t>23/07/2026</t>
        </is>
      </c>
      <c r="F82" s="5" t="n">
        <v>25650.13</v>
      </c>
      <c r="G82" s="5" t="n">
        <v>25650.13</v>
      </c>
      <c r="H82" s="5" t="n">
        <v>0</v>
      </c>
      <c r="I82" s="6" t="inlineStr">
        <is>
          <t>PAGADO AL 100%</t>
        </is>
      </c>
    </row>
    <row r="83" ht="20" customHeight="1">
      <c r="A83" s="4" t="inlineStr">
        <is>
          <t>Semana 30</t>
        </is>
      </c>
      <c r="B83" s="4" t="inlineStr">
        <is>
          <t>A-10564</t>
        </is>
      </c>
      <c r="C83" s="4" t="inlineStr">
        <is>
          <t>DIESEL</t>
        </is>
      </c>
      <c r="D83" s="7" t="inlineStr">
        <is>
          <t>Desasolve</t>
        </is>
      </c>
      <c r="E83" s="4" t="inlineStr">
        <is>
          <t>23/07/2026</t>
        </is>
      </c>
      <c r="F83" s="5" t="n">
        <v>4860.05</v>
      </c>
      <c r="G83" s="5" t="n">
        <v>4860.05</v>
      </c>
      <c r="H83" s="5" t="n">
        <v>0</v>
      </c>
      <c r="I83" s="6" t="inlineStr">
        <is>
          <t>PAGADO AL 100%</t>
        </is>
      </c>
    </row>
    <row r="84" ht="20" customHeight="1">
      <c r="A84" s="4" t="inlineStr">
        <is>
          <t>Semana 30</t>
        </is>
      </c>
      <c r="B84" s="4" t="inlineStr">
        <is>
          <t>A-10565</t>
        </is>
      </c>
      <c r="C84" s="4" t="inlineStr">
        <is>
          <t>DIESEL</t>
        </is>
      </c>
      <c r="D84" s="7" t="inlineStr">
        <is>
          <t>Bacheo Toluca</t>
        </is>
      </c>
      <c r="E84" s="4" t="inlineStr">
        <is>
          <t>23/07/2026</t>
        </is>
      </c>
      <c r="F84" s="5" t="n">
        <v>7290.05</v>
      </c>
      <c r="G84" s="5" t="n">
        <v>7290.05</v>
      </c>
      <c r="H84" s="5" t="n">
        <v>0</v>
      </c>
      <c r="I84" s="6" t="inlineStr">
        <is>
          <t>PAGADO AL 100%</t>
        </is>
      </c>
    </row>
    <row r="85" ht="20" customHeight="1">
      <c r="A85" s="4" t="inlineStr">
        <is>
          <t>Semana 30</t>
        </is>
      </c>
      <c r="B85" s="4" t="inlineStr">
        <is>
          <t>A-10572</t>
        </is>
      </c>
      <c r="C85" s="4" t="inlineStr">
        <is>
          <t>DIESEL</t>
        </is>
      </c>
      <c r="D85" s="7" t="inlineStr">
        <is>
          <t>Alfredo del Mazo</t>
        </is>
      </c>
      <c r="E85" s="4" t="inlineStr">
        <is>
          <t>23/07/2026</t>
        </is>
      </c>
      <c r="F85" s="5" t="n">
        <v>14850.08</v>
      </c>
      <c r="G85" s="5" t="n">
        <v>14850.08</v>
      </c>
      <c r="H85" s="5" t="n">
        <v>1.818989403545856e-12</v>
      </c>
      <c r="I85" s="6" t="inlineStr">
        <is>
          <t>PAGADO AL 100%</t>
        </is>
      </c>
    </row>
    <row r="86" ht="20" customHeight="1">
      <c r="A86" s="4" t="inlineStr">
        <is>
          <t>Semana 30</t>
        </is>
      </c>
      <c r="B86" s="4" t="inlineStr">
        <is>
          <t>A-10577</t>
        </is>
      </c>
      <c r="C86" s="4" t="inlineStr">
        <is>
          <t>DIESEL</t>
        </is>
      </c>
      <c r="D86" s="7" t="inlineStr">
        <is>
          <t>Alfredo del Mazo</t>
        </is>
      </c>
      <c r="E86" s="4" t="inlineStr">
        <is>
          <t>23/07/2026</t>
        </is>
      </c>
      <c r="F86" s="5" t="n">
        <v>24840.1</v>
      </c>
      <c r="G86" s="5" t="n">
        <v>24840.1</v>
      </c>
      <c r="H86" s="5" t="n">
        <v>0</v>
      </c>
      <c r="I86" s="6" t="inlineStr">
        <is>
          <t>PAGADO AL 100%</t>
        </is>
      </c>
    </row>
    <row r="87" ht="20" customHeight="1">
      <c r="A87" s="4" t="inlineStr">
        <is>
          <t>Semana 30</t>
        </is>
      </c>
      <c r="B87" s="4" t="inlineStr">
        <is>
          <t>A-10579</t>
        </is>
      </c>
      <c r="C87" s="4" t="inlineStr">
        <is>
          <t>DIESEL</t>
        </is>
      </c>
      <c r="D87" s="7" t="inlineStr">
        <is>
          <t>Planta Huixquilucan</t>
        </is>
      </c>
      <c r="E87" s="4" t="inlineStr">
        <is>
          <t>24/07/2026</t>
        </is>
      </c>
      <c r="F87" s="5" t="n">
        <v>10800.1</v>
      </c>
      <c r="G87" s="5" t="n">
        <v>10800.1</v>
      </c>
      <c r="H87" s="5" t="n">
        <v>0</v>
      </c>
      <c r="I87" s="6" t="inlineStr">
        <is>
          <t>PAGADO AL 100%</t>
        </is>
      </c>
    </row>
    <row r="88" ht="20" customHeight="1">
      <c r="A88" s="4" t="inlineStr">
        <is>
          <t>Semana 30</t>
        </is>
      </c>
      <c r="B88" s="4" t="inlineStr">
        <is>
          <t>A-10583</t>
        </is>
      </c>
      <c r="C88" s="4" t="inlineStr">
        <is>
          <t>DIESEL</t>
        </is>
      </c>
      <c r="D88" s="7" t="inlineStr">
        <is>
          <t>Alfredo del Mazo</t>
        </is>
      </c>
      <c r="E88" s="4" t="inlineStr">
        <is>
          <t>24/07/2026</t>
        </is>
      </c>
      <c r="F88" s="5" t="n">
        <v>18900.06</v>
      </c>
      <c r="G88" s="5" t="n">
        <v>18900.06</v>
      </c>
      <c r="H88" s="5" t="n">
        <v>0</v>
      </c>
      <c r="I88" s="6" t="inlineStr">
        <is>
          <t>PAGADO AL 100%</t>
        </is>
      </c>
    </row>
    <row r="89" ht="20" customHeight="1">
      <c r="A89" s="4" t="inlineStr">
        <is>
          <t>Semana 30</t>
        </is>
      </c>
      <c r="B89" s="4" t="inlineStr">
        <is>
          <t>A-10586</t>
        </is>
      </c>
      <c r="C89" s="4" t="inlineStr">
        <is>
          <t>DIESEL</t>
        </is>
      </c>
      <c r="D89" s="7" t="inlineStr">
        <is>
          <t>Desasolve</t>
        </is>
      </c>
      <c r="E89" s="4" t="inlineStr">
        <is>
          <t>24/07/2026</t>
        </is>
      </c>
      <c r="F89" s="5" t="n">
        <v>14364.05</v>
      </c>
      <c r="G89" s="5" t="n">
        <v>14364.05</v>
      </c>
      <c r="H89" s="5" t="n">
        <v>0</v>
      </c>
      <c r="I89" s="6" t="inlineStr">
        <is>
          <t>PAGADO AL 100%</t>
        </is>
      </c>
    </row>
    <row r="90" ht="20" customHeight="1">
      <c r="A90" s="4" t="inlineStr">
        <is>
          <t>Semana 30</t>
        </is>
      </c>
      <c r="B90" s="4" t="inlineStr">
        <is>
          <t>A-10587</t>
        </is>
      </c>
      <c r="C90" s="4" t="inlineStr">
        <is>
          <t>DIESEL</t>
        </is>
      </c>
      <c r="D90" s="7" t="inlineStr">
        <is>
          <t>México - Toluca</t>
        </is>
      </c>
      <c r="E90" s="4" t="inlineStr">
        <is>
          <t>24/07/2026</t>
        </is>
      </c>
      <c r="F90" s="5" t="n">
        <v>1080.03</v>
      </c>
      <c r="G90" s="5" t="n">
        <v>1080.03</v>
      </c>
      <c r="H90" s="5" t="n">
        <v>0</v>
      </c>
      <c r="I90" s="6" t="inlineStr">
        <is>
          <t>PAGADO AL 100%</t>
        </is>
      </c>
    </row>
    <row r="91" ht="20" customHeight="1">
      <c r="A91" s="4" t="inlineStr">
        <is>
          <t>Semana 30</t>
        </is>
      </c>
      <c r="B91" s="4" t="inlineStr">
        <is>
          <t>A-10588</t>
        </is>
      </c>
      <c r="C91" s="4" t="inlineStr">
        <is>
          <t>DIESEL</t>
        </is>
      </c>
      <c r="D91" s="7" t="inlineStr">
        <is>
          <t>Alfredo del Mazo</t>
        </is>
      </c>
      <c r="E91" s="4" t="inlineStr">
        <is>
          <t>24/07/2026</t>
        </is>
      </c>
      <c r="F91" s="5" t="n">
        <v>12960.06</v>
      </c>
      <c r="G91" s="5" t="n">
        <v>12960.06</v>
      </c>
      <c r="H91" s="5" t="n">
        <v>0</v>
      </c>
      <c r="I91" s="6" t="inlineStr">
        <is>
          <t>PAGADO AL 100%</t>
        </is>
      </c>
    </row>
    <row r="92" ht="20" customHeight="1">
      <c r="A92" s="4" t="inlineStr">
        <is>
          <t>Semana 30</t>
        </is>
      </c>
      <c r="B92" s="4" t="inlineStr">
        <is>
          <t>A-10589</t>
        </is>
      </c>
      <c r="C92" s="4" t="inlineStr">
        <is>
          <t>DIESEL</t>
        </is>
      </c>
      <c r="D92" s="7" t="inlineStr">
        <is>
          <t>México - Toluca</t>
        </is>
      </c>
      <c r="E92" s="4" t="inlineStr">
        <is>
          <t>25/07/2026</t>
        </is>
      </c>
      <c r="F92" s="5" t="n">
        <v>24840.1</v>
      </c>
      <c r="G92" s="5" t="n">
        <v>24840.1</v>
      </c>
      <c r="H92" s="5" t="n">
        <v>0</v>
      </c>
      <c r="I92" s="6" t="inlineStr">
        <is>
          <t>PAGADO AL 100%</t>
        </is>
      </c>
    </row>
    <row r="93" ht="20" customHeight="1">
      <c r="A93" s="4" t="inlineStr">
        <is>
          <t>Semana 30</t>
        </is>
      </c>
      <c r="B93" s="4" t="inlineStr">
        <is>
          <t>A-10482</t>
        </is>
      </c>
      <c r="C93" s="4" t="inlineStr">
        <is>
          <t>GASOLINA</t>
        </is>
      </c>
      <c r="D93" s="7" t="inlineStr">
        <is>
          <t>Vehículos Menores</t>
        </is>
      </c>
      <c r="E93" s="4" t="inlineStr">
        <is>
          <t>Agosto 2026</t>
        </is>
      </c>
      <c r="F93" s="5" t="n">
        <v>2500</v>
      </c>
      <c r="G93" s="5" t="n">
        <v>0</v>
      </c>
      <c r="H93" s="5" t="n">
        <v>2500</v>
      </c>
      <c r="I93" s="8" t="inlineStr">
        <is>
          <t>PENDIENTE POR PAGAR</t>
        </is>
      </c>
    </row>
    <row r="94" ht="20" customHeight="1">
      <c r="A94" s="4" t="inlineStr">
        <is>
          <t>Semana 30</t>
        </is>
      </c>
      <c r="B94" s="4" t="inlineStr">
        <is>
          <t>A-10486</t>
        </is>
      </c>
      <c r="C94" s="4" t="inlineStr">
        <is>
          <t>GASOLINA</t>
        </is>
      </c>
      <c r="D94" s="7" t="inlineStr">
        <is>
          <t>Vehículos Menores</t>
        </is>
      </c>
      <c r="E94" s="4" t="inlineStr">
        <is>
          <t>Agosto 2026</t>
        </is>
      </c>
      <c r="F94" s="5" t="n">
        <v>2000</v>
      </c>
      <c r="G94" s="5" t="n">
        <v>0</v>
      </c>
      <c r="H94" s="5" t="n">
        <v>2000</v>
      </c>
      <c r="I94" s="8" t="inlineStr">
        <is>
          <t>PENDIENTE POR PAGAR</t>
        </is>
      </c>
    </row>
    <row r="95" ht="20" customHeight="1">
      <c r="A95" s="4" t="inlineStr">
        <is>
          <t>Semana 30</t>
        </is>
      </c>
      <c r="B95" s="4" t="inlineStr">
        <is>
          <t>A-10518</t>
        </is>
      </c>
      <c r="C95" s="4" t="inlineStr">
        <is>
          <t>GASOLINA</t>
        </is>
      </c>
      <c r="D95" s="7" t="inlineStr">
        <is>
          <t>Vehículos Menores</t>
        </is>
      </c>
      <c r="E95" s="4" t="inlineStr">
        <is>
          <t>Agosto 2026</t>
        </is>
      </c>
      <c r="F95" s="5" t="n">
        <v>1200</v>
      </c>
      <c r="G95" s="5" t="n">
        <v>0</v>
      </c>
      <c r="H95" s="5" t="n">
        <v>1200</v>
      </c>
      <c r="I95" s="8" t="inlineStr">
        <is>
          <t>PENDIENTE POR PAGAR</t>
        </is>
      </c>
    </row>
    <row r="96" ht="20" customHeight="1">
      <c r="A96" s="4" t="inlineStr">
        <is>
          <t>Semana 30</t>
        </is>
      </c>
      <c r="B96" s="4" t="inlineStr">
        <is>
          <t>A-10545</t>
        </is>
      </c>
      <c r="C96" s="4" t="inlineStr">
        <is>
          <t>GASOLINA</t>
        </is>
      </c>
      <c r="D96" s="7" t="inlineStr">
        <is>
          <t>Vehículos Menores</t>
        </is>
      </c>
      <c r="E96" s="4" t="inlineStr">
        <is>
          <t>Agosto 2026</t>
        </is>
      </c>
      <c r="F96" s="5" t="n">
        <v>1500</v>
      </c>
      <c r="G96" s="5" t="n">
        <v>0</v>
      </c>
      <c r="H96" s="5" t="n">
        <v>1500</v>
      </c>
      <c r="I96" s="8" t="inlineStr">
        <is>
          <t>PENDIENTE POR PAGAR</t>
        </is>
      </c>
    </row>
    <row r="97" ht="20" customHeight="1">
      <c r="A97" s="4" t="inlineStr">
        <is>
          <t>Semana 30</t>
        </is>
      </c>
      <c r="B97" s="4" t="inlineStr">
        <is>
          <t>A-10552</t>
        </is>
      </c>
      <c r="C97" s="4" t="inlineStr">
        <is>
          <t>GASOLINA</t>
        </is>
      </c>
      <c r="D97" s="7" t="inlineStr">
        <is>
          <t>Vehículos Menores</t>
        </is>
      </c>
      <c r="E97" s="4" t="inlineStr">
        <is>
          <t>Agosto 2026</t>
        </is>
      </c>
      <c r="F97" s="5" t="n">
        <v>1500</v>
      </c>
      <c r="G97" s="5" t="n">
        <v>0</v>
      </c>
      <c r="H97" s="5" t="n">
        <v>1500</v>
      </c>
      <c r="I97" s="8" t="inlineStr">
        <is>
          <t>PENDIENTE POR PAGAR</t>
        </is>
      </c>
    </row>
    <row r="98" ht="20" customHeight="1">
      <c r="A98" s="4" t="inlineStr">
        <is>
          <t>Semana 30</t>
        </is>
      </c>
      <c r="B98" s="4" t="inlineStr">
        <is>
          <t>A-10567</t>
        </is>
      </c>
      <c r="C98" s="4" t="inlineStr">
        <is>
          <t>GASOLINA</t>
        </is>
      </c>
      <c r="D98" s="7" t="inlineStr">
        <is>
          <t>Vehículos Menores</t>
        </is>
      </c>
      <c r="E98" s="4" t="inlineStr">
        <is>
          <t>Agosto 2026</t>
        </is>
      </c>
      <c r="F98" s="5" t="n">
        <v>800</v>
      </c>
      <c r="G98" s="5" t="n">
        <v>0</v>
      </c>
      <c r="H98" s="5" t="n">
        <v>800</v>
      </c>
      <c r="I98" s="8" t="inlineStr">
        <is>
          <t>PENDIENTE POR PAGAR</t>
        </is>
      </c>
    </row>
    <row r="99" ht="20" customHeight="1">
      <c r="A99" s="4" t="inlineStr">
        <is>
          <t>Semana 30</t>
        </is>
      </c>
      <c r="B99" s="4" t="inlineStr">
        <is>
          <t>A-10571</t>
        </is>
      </c>
      <c r="C99" s="4" t="inlineStr">
        <is>
          <t>GASOLINA</t>
        </is>
      </c>
      <c r="D99" s="7" t="inlineStr">
        <is>
          <t>Vehículos Menores</t>
        </is>
      </c>
      <c r="E99" s="4" t="inlineStr">
        <is>
          <t>Agosto 2026</t>
        </is>
      </c>
      <c r="F99" s="5" t="n">
        <v>500</v>
      </c>
      <c r="G99" s="5" t="n">
        <v>0</v>
      </c>
      <c r="H99" s="5" t="n">
        <v>500</v>
      </c>
      <c r="I99" s="8" t="inlineStr">
        <is>
          <t>PENDIENTE POR PAGAR</t>
        </is>
      </c>
    </row>
    <row r="100" ht="20" customHeight="1">
      <c r="A100" s="4" t="inlineStr">
        <is>
          <t>Semana 30</t>
        </is>
      </c>
      <c r="B100" s="4" t="inlineStr">
        <is>
          <t>A-10580</t>
        </is>
      </c>
      <c r="C100" s="4" t="inlineStr">
        <is>
          <t>GASOLINA</t>
        </is>
      </c>
      <c r="D100" s="7" t="inlineStr">
        <is>
          <t>Vehículos Menores</t>
        </is>
      </c>
      <c r="E100" s="4" t="inlineStr">
        <is>
          <t>Agosto 2026</t>
        </is>
      </c>
      <c r="F100" s="5" t="n">
        <v>1000</v>
      </c>
      <c r="G100" s="5" t="n">
        <v>0</v>
      </c>
      <c r="H100" s="5" t="n">
        <v>1000</v>
      </c>
      <c r="I100" s="8" t="inlineStr">
        <is>
          <t>PENDIENTE POR PAGAR</t>
        </is>
      </c>
    </row>
    <row r="101" ht="20" customHeight="1">
      <c r="A101" s="4" t="inlineStr">
        <is>
          <t>Semana 30</t>
        </is>
      </c>
      <c r="B101" s="4" t="inlineStr">
        <is>
          <t>A-10585</t>
        </is>
      </c>
      <c r="C101" s="4" t="inlineStr">
        <is>
          <t>GASOLINA</t>
        </is>
      </c>
      <c r="D101" s="7" t="inlineStr">
        <is>
          <t>Vehículos Menores</t>
        </is>
      </c>
      <c r="E101" s="4" t="inlineStr">
        <is>
          <t>Agosto 2026</t>
        </is>
      </c>
      <c r="F101" s="5" t="n">
        <v>1000</v>
      </c>
      <c r="G101" s="5" t="n">
        <v>0</v>
      </c>
      <c r="H101" s="5" t="n">
        <v>1000</v>
      </c>
      <c r="I101" s="8" t="inlineStr">
        <is>
          <t>PENDIENTE POR PAGAR</t>
        </is>
      </c>
    </row>
    <row r="102" ht="20" customHeight="1">
      <c r="A102" s="4" t="inlineStr">
        <is>
          <t>Semana 31</t>
        </is>
      </c>
      <c r="B102" s="4" t="inlineStr">
        <is>
          <t>A-10581</t>
        </is>
      </c>
      <c r="C102" s="4" t="inlineStr">
        <is>
          <t>DIESEL</t>
        </is>
      </c>
      <c r="D102" s="7" t="inlineStr">
        <is>
          <t>Planta Huixquilucan</t>
        </is>
      </c>
      <c r="E102" s="4" t="inlineStr">
        <is>
          <t>27/07/2026</t>
        </is>
      </c>
      <c r="F102" s="5" t="n">
        <v>10800.1</v>
      </c>
      <c r="G102" s="5" t="n">
        <v>10800.1</v>
      </c>
      <c r="H102" s="5" t="n">
        <v>0</v>
      </c>
      <c r="I102" s="6" t="inlineStr">
        <is>
          <t>PAGADO AL 100%</t>
        </is>
      </c>
    </row>
    <row r="103" ht="20" customHeight="1">
      <c r="A103" s="4" t="inlineStr">
        <is>
          <t>Semana 31</t>
        </is>
      </c>
      <c r="B103" s="4" t="inlineStr">
        <is>
          <t>A-10603</t>
        </is>
      </c>
      <c r="C103" s="4" t="inlineStr">
        <is>
          <t>DIESEL</t>
        </is>
      </c>
      <c r="D103" s="7" t="inlineStr">
        <is>
          <t>Lerma - Tres Marías</t>
        </is>
      </c>
      <c r="E103" s="4" t="inlineStr">
        <is>
          <t>27/07/2026</t>
        </is>
      </c>
      <c r="F103" s="5" t="n">
        <v>9720.030000000001</v>
      </c>
      <c r="G103" s="5" t="n">
        <v>9720.030000000001</v>
      </c>
      <c r="H103" s="5" t="n">
        <v>0</v>
      </c>
      <c r="I103" s="6" t="inlineStr">
        <is>
          <t>PAGADO AL 100%</t>
        </is>
      </c>
    </row>
    <row r="104" ht="20" customHeight="1">
      <c r="A104" s="4" t="inlineStr">
        <is>
          <t>Semana 31</t>
        </is>
      </c>
      <c r="B104" s="4" t="inlineStr">
        <is>
          <t>A-10604</t>
        </is>
      </c>
      <c r="C104" s="4" t="inlineStr">
        <is>
          <t>DIESEL</t>
        </is>
      </c>
      <c r="D104" s="7" t="inlineStr">
        <is>
          <t>Providencia</t>
        </is>
      </c>
      <c r="E104" s="4" t="inlineStr">
        <is>
          <t>27/07/2026</t>
        </is>
      </c>
      <c r="F104" s="5" t="n">
        <v>3240</v>
      </c>
      <c r="G104" s="5" t="n">
        <v>3240</v>
      </c>
      <c r="H104" s="5" t="n">
        <v>0</v>
      </c>
      <c r="I104" s="6" t="inlineStr">
        <is>
          <t>PAGADO AL 100%</t>
        </is>
      </c>
    </row>
    <row r="105" ht="20" customHeight="1">
      <c r="A105" s="4" t="inlineStr">
        <is>
          <t>Semana 31</t>
        </is>
      </c>
      <c r="B105" s="4" t="inlineStr">
        <is>
          <t>A-10653</t>
        </is>
      </c>
      <c r="C105" s="4" t="inlineStr">
        <is>
          <t>DIESEL</t>
        </is>
      </c>
      <c r="D105" s="7" t="inlineStr">
        <is>
          <t>Bacheo Toluca</t>
        </is>
      </c>
      <c r="E105" s="4" t="inlineStr">
        <is>
          <t>27/07/2026</t>
        </is>
      </c>
      <c r="F105" s="5" t="n">
        <v>3105</v>
      </c>
      <c r="G105" s="5" t="n">
        <v>3105</v>
      </c>
      <c r="H105" s="5" t="n">
        <v>0</v>
      </c>
      <c r="I105" s="6" t="inlineStr">
        <is>
          <t>PAGADO AL 100%</t>
        </is>
      </c>
    </row>
    <row r="106" ht="20" customHeight="1">
      <c r="A106" s="4" t="inlineStr">
        <is>
          <t>Semana 31</t>
        </is>
      </c>
      <c r="B106" s="4" t="inlineStr">
        <is>
          <t>A-10654</t>
        </is>
      </c>
      <c r="C106" s="4" t="inlineStr">
        <is>
          <t>DIESEL</t>
        </is>
      </c>
      <c r="D106" s="7" t="inlineStr">
        <is>
          <t>Desasolve</t>
        </is>
      </c>
      <c r="E106" s="4" t="inlineStr">
        <is>
          <t>27/07/2026</t>
        </is>
      </c>
      <c r="F106" s="5" t="n">
        <v>24852.31</v>
      </c>
      <c r="G106" s="5" t="n">
        <v>24852.31</v>
      </c>
      <c r="H106" s="5" t="n">
        <v>0</v>
      </c>
      <c r="I106" s="6" t="inlineStr">
        <is>
          <t>PAGADO AL 100%</t>
        </is>
      </c>
    </row>
    <row r="107" ht="20" customHeight="1">
      <c r="A107" s="4" t="inlineStr">
        <is>
          <t>Semana 31</t>
        </is>
      </c>
      <c r="B107" s="4" t="inlineStr">
        <is>
          <t>A-10605</t>
        </is>
      </c>
      <c r="C107" s="4" t="inlineStr">
        <is>
          <t>DIESEL</t>
        </is>
      </c>
      <c r="D107" s="7" t="inlineStr">
        <is>
          <t>Planta Huixquilucan</t>
        </is>
      </c>
      <c r="E107" s="4" t="inlineStr">
        <is>
          <t>28/07/2026</t>
        </is>
      </c>
      <c r="F107" s="5" t="n">
        <v>10800.03</v>
      </c>
      <c r="G107" s="5" t="n">
        <v>10800.03</v>
      </c>
      <c r="H107" s="5" t="n">
        <v>0</v>
      </c>
      <c r="I107" s="6" t="inlineStr">
        <is>
          <t>PAGADO AL 100%</t>
        </is>
      </c>
    </row>
    <row r="108" ht="20" customHeight="1">
      <c r="A108" s="4" t="inlineStr">
        <is>
          <t>Semana 31</t>
        </is>
      </c>
      <c r="B108" s="4" t="inlineStr">
        <is>
          <t>A-10623</t>
        </is>
      </c>
      <c r="C108" s="4" t="inlineStr">
        <is>
          <t>DIESEL</t>
        </is>
      </c>
      <c r="D108" s="7" t="inlineStr">
        <is>
          <t>México - Toluca</t>
        </is>
      </c>
      <c r="E108" s="4" t="inlineStr">
        <is>
          <t>28/07/2026</t>
        </is>
      </c>
      <c r="F108" s="5" t="n">
        <v>30502.11</v>
      </c>
      <c r="G108" s="5" t="n">
        <v>30502.11</v>
      </c>
      <c r="H108" s="5" t="n">
        <v>0</v>
      </c>
      <c r="I108" s="6" t="inlineStr">
        <is>
          <t>PAGADO AL 100%</t>
        </is>
      </c>
    </row>
    <row r="109" ht="20" customHeight="1">
      <c r="A109" s="4" t="inlineStr">
        <is>
          <t>Semana 31</t>
        </is>
      </c>
      <c r="B109" s="4" t="inlineStr">
        <is>
          <t>A-10624</t>
        </is>
      </c>
      <c r="C109" s="4" t="inlineStr">
        <is>
          <t>DIESEL</t>
        </is>
      </c>
      <c r="D109" s="7" t="inlineStr">
        <is>
          <t>Desasolve</t>
        </is>
      </c>
      <c r="E109" s="4" t="inlineStr">
        <is>
          <t>28/07/2026</t>
        </is>
      </c>
      <c r="F109" s="5" t="n">
        <v>23490.11</v>
      </c>
      <c r="G109" s="5" t="n">
        <v>23490.11</v>
      </c>
      <c r="H109" s="5" t="n">
        <v>0</v>
      </c>
      <c r="I109" s="6" t="inlineStr">
        <is>
          <t>PAGADO AL 100%</t>
        </is>
      </c>
    </row>
    <row r="110" ht="20" customHeight="1">
      <c r="A110" s="4" t="inlineStr">
        <is>
          <t>Semana 31</t>
        </is>
      </c>
      <c r="B110" s="4" t="inlineStr">
        <is>
          <t>A-10625</t>
        </is>
      </c>
      <c r="C110" s="4" t="inlineStr">
        <is>
          <t>DIESEL</t>
        </is>
      </c>
      <c r="D110" s="7" t="inlineStr">
        <is>
          <t>Planta Huixquilucan</t>
        </is>
      </c>
      <c r="E110" s="4" t="inlineStr">
        <is>
          <t>28/07/2026</t>
        </is>
      </c>
      <c r="F110" s="5" t="n">
        <v>10800.1</v>
      </c>
      <c r="G110" s="5" t="n">
        <v>10800.1</v>
      </c>
      <c r="H110" s="5" t="n">
        <v>0</v>
      </c>
      <c r="I110" s="6" t="inlineStr">
        <is>
          <t>PAGADO AL 100%</t>
        </is>
      </c>
    </row>
    <row r="111" ht="20" customHeight="1">
      <c r="A111" s="4" t="inlineStr">
        <is>
          <t>Semana 31</t>
        </is>
      </c>
      <c r="B111" s="4" t="inlineStr">
        <is>
          <t>A-10630</t>
        </is>
      </c>
      <c r="C111" s="4" t="inlineStr">
        <is>
          <t>DIESEL</t>
        </is>
      </c>
      <c r="D111" s="7" t="inlineStr">
        <is>
          <t>Planta Pegaso</t>
        </is>
      </c>
      <c r="E111" s="4" t="inlineStr">
        <is>
          <t>28/07/2026</t>
        </is>
      </c>
      <c r="F111" s="5" t="n">
        <v>26959.9</v>
      </c>
      <c r="G111" s="5" t="n">
        <v>26959.9</v>
      </c>
      <c r="H111" s="5" t="n">
        <v>0</v>
      </c>
      <c r="I111" s="6" t="inlineStr">
        <is>
          <t>PAGADO AL 100%</t>
        </is>
      </c>
    </row>
    <row r="112" ht="20" customHeight="1">
      <c r="A112" s="4" t="inlineStr">
        <is>
          <t>Semana 31</t>
        </is>
      </c>
      <c r="B112" s="4" t="inlineStr">
        <is>
          <t>A-10634</t>
        </is>
      </c>
      <c r="C112" s="4" t="inlineStr">
        <is>
          <t>DIESEL</t>
        </is>
      </c>
      <c r="D112" s="7" t="inlineStr">
        <is>
          <t>Planta Huixquilucan</t>
        </is>
      </c>
      <c r="E112" s="4" t="inlineStr">
        <is>
          <t>28/07/2026</t>
        </is>
      </c>
      <c r="F112" s="5" t="n">
        <v>1620.03</v>
      </c>
      <c r="G112" s="5" t="n">
        <v>1620.03</v>
      </c>
      <c r="H112" s="5" t="n">
        <v>0</v>
      </c>
      <c r="I112" s="6" t="inlineStr">
        <is>
          <t>PAGADO AL 100%</t>
        </is>
      </c>
    </row>
    <row r="113" ht="20" customHeight="1">
      <c r="A113" s="4" t="inlineStr">
        <is>
          <t>Semana 31</t>
        </is>
      </c>
      <c r="B113" s="4" t="inlineStr">
        <is>
          <t>A-10636</t>
        </is>
      </c>
      <c r="C113" s="4" t="inlineStr">
        <is>
          <t>DIESEL</t>
        </is>
      </c>
      <c r="D113" s="7" t="inlineStr">
        <is>
          <t>Alfredo del Mazo</t>
        </is>
      </c>
      <c r="E113" s="4" t="inlineStr">
        <is>
          <t>28/07/2026</t>
        </is>
      </c>
      <c r="F113" s="5" t="n">
        <v>10260.1</v>
      </c>
      <c r="G113" s="5" t="n">
        <v>10260.1</v>
      </c>
      <c r="H113" s="5" t="n">
        <v>0</v>
      </c>
      <c r="I113" s="6" t="inlineStr">
        <is>
          <t>PAGADO AL 100%</t>
        </is>
      </c>
    </row>
    <row r="114" ht="20" customHeight="1">
      <c r="A114" s="4" t="inlineStr">
        <is>
          <t>Semana 31</t>
        </is>
      </c>
      <c r="B114" s="4" t="inlineStr">
        <is>
          <t>A-10635</t>
        </is>
      </c>
      <c r="C114" s="4" t="inlineStr">
        <is>
          <t>GASOLINA / MENOR</t>
        </is>
      </c>
      <c r="D114" s="7" t="inlineStr">
        <is>
          <t>Planta Huixquilucan</t>
        </is>
      </c>
      <c r="E114" s="4" t="inlineStr">
        <is>
          <t>29/07/2026</t>
        </is>
      </c>
      <c r="F114" s="5" t="n">
        <v>1080.03</v>
      </c>
      <c r="G114" s="5" t="n">
        <v>1558.03</v>
      </c>
      <c r="H114" s="5" t="n">
        <v>0</v>
      </c>
      <c r="I114" s="6" t="inlineStr">
        <is>
          <t>PAGADO AL 100%</t>
        </is>
      </c>
    </row>
    <row r="115" ht="20" customHeight="1">
      <c r="A115" s="4" t="inlineStr">
        <is>
          <t>Semana 31</t>
        </is>
      </c>
      <c r="B115" s="4" t="inlineStr">
        <is>
          <t>A-10637</t>
        </is>
      </c>
      <c r="C115" s="4" t="inlineStr">
        <is>
          <t>DIESEL</t>
        </is>
      </c>
      <c r="D115" s="7" t="inlineStr">
        <is>
          <t>Lerma - Tres Marías</t>
        </is>
      </c>
      <c r="E115" s="4" t="inlineStr">
        <is>
          <t>29/07/2026</t>
        </is>
      </c>
      <c r="F115" s="5" t="n">
        <v>24564.14</v>
      </c>
      <c r="G115" s="5" t="n">
        <v>24564.14</v>
      </c>
      <c r="H115" s="5" t="n">
        <v>0</v>
      </c>
      <c r="I115" s="6" t="inlineStr">
        <is>
          <t>PAGADO AL 100%</t>
        </is>
      </c>
    </row>
    <row r="116" ht="20" customHeight="1">
      <c r="A116" s="4" t="inlineStr">
        <is>
          <t>Semana 31</t>
        </is>
      </c>
      <c r="B116" s="4" t="inlineStr">
        <is>
          <t>A-10702</t>
        </is>
      </c>
      <c r="C116" s="4" t="inlineStr">
        <is>
          <t>DIESEL</t>
        </is>
      </c>
      <c r="D116" s="7" t="inlineStr">
        <is>
          <t>Desasolve</t>
        </is>
      </c>
      <c r="E116" s="4" t="inlineStr">
        <is>
          <t>29/07/2026</t>
        </is>
      </c>
      <c r="F116" s="5" t="n">
        <v>20520.09</v>
      </c>
      <c r="G116" s="5" t="n">
        <v>20520.09</v>
      </c>
      <c r="H116" s="5" t="n">
        <v>0</v>
      </c>
      <c r="I116" s="6" t="inlineStr">
        <is>
          <t>PAGADO AL 100%</t>
        </is>
      </c>
    </row>
    <row r="117" ht="20" customHeight="1">
      <c r="A117" s="4" t="inlineStr">
        <is>
          <t>Semana 31</t>
        </is>
      </c>
      <c r="B117" s="4" t="inlineStr">
        <is>
          <t>A-10712</t>
        </is>
      </c>
      <c r="C117" s="4" t="inlineStr">
        <is>
          <t>DIESEL</t>
        </is>
      </c>
      <c r="D117" s="7" t="inlineStr">
        <is>
          <t>Providencia</t>
        </is>
      </c>
      <c r="E117" s="4" t="inlineStr">
        <is>
          <t>29/07/2026</t>
        </is>
      </c>
      <c r="F117" s="5" t="n">
        <v>1620.03</v>
      </c>
      <c r="G117" s="5" t="n">
        <v>1620.03</v>
      </c>
      <c r="H117" s="5" t="n">
        <v>0</v>
      </c>
      <c r="I117" s="6" t="inlineStr">
        <is>
          <t>PAGADO AL 100%</t>
        </is>
      </c>
    </row>
    <row r="118" ht="20" customHeight="1">
      <c r="A118" s="4" t="inlineStr">
        <is>
          <t>Semana 31</t>
        </is>
      </c>
      <c r="B118" s="4" t="inlineStr">
        <is>
          <t>A-10713</t>
        </is>
      </c>
      <c r="C118" s="4" t="inlineStr">
        <is>
          <t>DIESEL</t>
        </is>
      </c>
      <c r="D118" s="7" t="inlineStr">
        <is>
          <t>Alfredo del Mazo</t>
        </is>
      </c>
      <c r="E118" s="4" t="inlineStr">
        <is>
          <t>29/07/2026</t>
        </is>
      </c>
      <c r="F118" s="5" t="n">
        <v>9736.66</v>
      </c>
      <c r="G118" s="5" t="n">
        <v>9736.66</v>
      </c>
      <c r="H118" s="5" t="n">
        <v>0</v>
      </c>
      <c r="I118" s="6" t="inlineStr">
        <is>
          <t>PAGADO AL 100%</t>
        </is>
      </c>
    </row>
    <row r="119" ht="20" customHeight="1">
      <c r="A119" s="4" t="inlineStr">
        <is>
          <t>Semana 31</t>
        </is>
      </c>
      <c r="B119" s="4" t="inlineStr">
        <is>
          <t>A-10652</t>
        </is>
      </c>
      <c r="C119" s="4" t="inlineStr">
        <is>
          <t>DIESEL</t>
        </is>
      </c>
      <c r="D119" s="7" t="inlineStr">
        <is>
          <t>Planta Huixquilucan</t>
        </is>
      </c>
      <c r="E119" s="4" t="inlineStr">
        <is>
          <t>30/07/2026</t>
        </is>
      </c>
      <c r="F119" s="5" t="n">
        <v>21600.46</v>
      </c>
      <c r="G119" s="5" t="n">
        <v>21600.46</v>
      </c>
      <c r="H119" s="5" t="n">
        <v>3.637978807091713e-12</v>
      </c>
      <c r="I119" s="6" t="inlineStr">
        <is>
          <t>PAGADO AL 100%</t>
        </is>
      </c>
    </row>
    <row r="120" ht="20" customHeight="1">
      <c r="A120" s="4" t="inlineStr">
        <is>
          <t>Semana 31</t>
        </is>
      </c>
      <c r="B120" s="4" t="inlineStr">
        <is>
          <t>A-10722</t>
        </is>
      </c>
      <c r="C120" s="4" t="inlineStr">
        <is>
          <t>DIESEL</t>
        </is>
      </c>
      <c r="D120" s="7" t="inlineStr">
        <is>
          <t>Planta Huixquilucan</t>
        </is>
      </c>
      <c r="E120" s="4" t="inlineStr">
        <is>
          <t>30/07/2026</t>
        </is>
      </c>
      <c r="F120" s="5" t="n">
        <v>21600.14</v>
      </c>
      <c r="G120" s="5" t="n">
        <v>21600.14</v>
      </c>
      <c r="H120" s="5" t="n">
        <v>0</v>
      </c>
      <c r="I120" s="6" t="inlineStr">
        <is>
          <t>PAGADO AL 100%</t>
        </is>
      </c>
    </row>
    <row r="121" ht="20" customHeight="1">
      <c r="A121" s="4" t="inlineStr">
        <is>
          <t>Semana 31</t>
        </is>
      </c>
      <c r="B121" s="4" t="inlineStr">
        <is>
          <t>A-10733</t>
        </is>
      </c>
      <c r="C121" s="4" t="inlineStr">
        <is>
          <t>DIESEL</t>
        </is>
      </c>
      <c r="D121" s="7" t="inlineStr">
        <is>
          <t>México - Toluca</t>
        </is>
      </c>
      <c r="E121" s="4" t="inlineStr">
        <is>
          <t>30/07/2026</t>
        </is>
      </c>
      <c r="F121" s="5" t="n">
        <v>24840.1</v>
      </c>
      <c r="G121" s="5" t="n">
        <v>24840.1</v>
      </c>
      <c r="H121" s="5" t="n">
        <v>0</v>
      </c>
      <c r="I121" s="6" t="inlineStr">
        <is>
          <t>PAGADO AL 100%</t>
        </is>
      </c>
    </row>
    <row r="122" ht="20" customHeight="1">
      <c r="A122" s="4" t="inlineStr">
        <is>
          <t>Semana 31</t>
        </is>
      </c>
      <c r="B122" s="4" t="inlineStr">
        <is>
          <t>A-10748</t>
        </is>
      </c>
      <c r="C122" s="4" t="inlineStr">
        <is>
          <t>DIESEL</t>
        </is>
      </c>
      <c r="D122" s="7" t="inlineStr">
        <is>
          <t>Planta Huixquilucan</t>
        </is>
      </c>
      <c r="E122" s="4" t="inlineStr">
        <is>
          <t>30/07/2026</t>
        </is>
      </c>
      <c r="F122" s="5" t="n">
        <v>1485.03</v>
      </c>
      <c r="G122" s="5" t="n">
        <v>1485.03</v>
      </c>
      <c r="H122" s="5" t="n">
        <v>0</v>
      </c>
      <c r="I122" s="6" t="inlineStr">
        <is>
          <t>PAGADO AL 100%</t>
        </is>
      </c>
    </row>
    <row r="123" ht="20" customHeight="1">
      <c r="A123" s="4" t="inlineStr">
        <is>
          <t>Semana 31</t>
        </is>
      </c>
      <c r="B123" s="4" t="inlineStr">
        <is>
          <t>A-10644</t>
        </is>
      </c>
      <c r="C123" s="4" t="inlineStr">
        <is>
          <t>DIESEL</t>
        </is>
      </c>
      <c r="D123" s="7" t="inlineStr">
        <is>
          <t>Providencia</t>
        </is>
      </c>
      <c r="E123" s="4" t="inlineStr">
        <is>
          <t>31/07/2026</t>
        </is>
      </c>
      <c r="F123" s="5" t="n">
        <v>3510</v>
      </c>
      <c r="G123" s="5" t="n">
        <v>3510</v>
      </c>
      <c r="H123" s="5" t="n">
        <v>0</v>
      </c>
      <c r="I123" s="6" t="inlineStr">
        <is>
          <t>PAGADO AL 100%</t>
        </is>
      </c>
    </row>
    <row r="124" ht="20" customHeight="1">
      <c r="A124" s="4" t="inlineStr">
        <is>
          <t>Semana 31</t>
        </is>
      </c>
      <c r="B124" s="4" t="inlineStr">
        <is>
          <t>A-10645</t>
        </is>
      </c>
      <c r="C124" s="4" t="inlineStr">
        <is>
          <t>DIESEL</t>
        </is>
      </c>
      <c r="D124" s="7" t="inlineStr">
        <is>
          <t>Alfredo del Mazo</t>
        </is>
      </c>
      <c r="E124" s="4" t="inlineStr">
        <is>
          <t>31/07/2026</t>
        </is>
      </c>
      <c r="F124" s="5" t="n">
        <v>17820.03</v>
      </c>
      <c r="G124" s="5" t="n">
        <v>17820.03</v>
      </c>
      <c r="H124" s="5" t="n">
        <v>0</v>
      </c>
      <c r="I124" s="6" t="inlineStr">
        <is>
          <t>PAGADO AL 100%</t>
        </is>
      </c>
    </row>
    <row r="125" ht="20" customHeight="1">
      <c r="A125" s="4" t="inlineStr">
        <is>
          <t>Semana 31</t>
        </is>
      </c>
      <c r="B125" s="4" t="inlineStr">
        <is>
          <t>A-10646</t>
        </is>
      </c>
      <c r="C125" s="4" t="inlineStr">
        <is>
          <t>DIESEL</t>
        </is>
      </c>
      <c r="D125" s="7" t="inlineStr">
        <is>
          <t>Desasolve</t>
        </is>
      </c>
      <c r="E125" s="4" t="inlineStr">
        <is>
          <t>31/07/2026</t>
        </is>
      </c>
      <c r="F125" s="5" t="n">
        <v>25650.09</v>
      </c>
      <c r="G125" s="5" t="n">
        <v>25650.09</v>
      </c>
      <c r="H125" s="5" t="n">
        <v>0</v>
      </c>
      <c r="I125" s="6" t="inlineStr">
        <is>
          <t>PAGADO AL 100%</t>
        </is>
      </c>
    </row>
    <row r="126" ht="20" customHeight="1">
      <c r="A126" s="4" t="inlineStr">
        <is>
          <t>Semana 31</t>
        </is>
      </c>
      <c r="B126" s="4" t="inlineStr">
        <is>
          <t>A-10669</t>
        </is>
      </c>
      <c r="C126" s="4" t="inlineStr">
        <is>
          <t>DIESEL</t>
        </is>
      </c>
      <c r="D126" s="7" t="inlineStr">
        <is>
          <t>Planta Pegaso</t>
        </is>
      </c>
      <c r="E126" s="4" t="inlineStr">
        <is>
          <t>01/08/2026</t>
        </is>
      </c>
      <c r="F126" s="5" t="n">
        <v>8100.05</v>
      </c>
      <c r="G126" s="5" t="n">
        <v>8100.05</v>
      </c>
      <c r="H126" s="5" t="n">
        <v>0</v>
      </c>
      <c r="I126" s="6" t="inlineStr">
        <is>
          <t>PAGADO AL 100%</t>
        </is>
      </c>
    </row>
    <row r="127" ht="20" customHeight="1">
      <c r="A127" s="4" t="inlineStr">
        <is>
          <t>Semana 31</t>
        </is>
      </c>
      <c r="B127" s="4" t="inlineStr">
        <is>
          <t>A-10673</t>
        </is>
      </c>
      <c r="C127" s="4" t="inlineStr">
        <is>
          <t>DIESEL</t>
        </is>
      </c>
      <c r="D127" s="7" t="inlineStr">
        <is>
          <t>México - Toluca</t>
        </is>
      </c>
      <c r="E127" s="4" t="inlineStr">
        <is>
          <t>01/08/2026</t>
        </is>
      </c>
      <c r="F127" s="5" t="n">
        <v>25920.06</v>
      </c>
      <c r="G127" s="5" t="n">
        <v>25920.06</v>
      </c>
      <c r="H127" s="5" t="n">
        <v>0</v>
      </c>
      <c r="I127" s="6" t="inlineStr">
        <is>
          <t>PAGADO AL 100%</t>
        </is>
      </c>
    </row>
    <row r="128" ht="20" customHeight="1">
      <c r="A128" s="4" t="inlineStr">
        <is>
          <t>Semana 31</t>
        </is>
      </c>
      <c r="B128" s="4" t="inlineStr">
        <is>
          <t>A-10674</t>
        </is>
      </c>
      <c r="C128" s="4" t="inlineStr">
        <is>
          <t>DIESEL</t>
        </is>
      </c>
      <c r="D128" s="7" t="inlineStr">
        <is>
          <t>Planta Pegaso</t>
        </is>
      </c>
      <c r="E128" s="4" t="inlineStr">
        <is>
          <t>01/08/2026</t>
        </is>
      </c>
      <c r="F128" s="5" t="n">
        <v>8100.05</v>
      </c>
      <c r="G128" s="5" t="n">
        <v>8100.05</v>
      </c>
      <c r="H128" s="5" t="n">
        <v>0</v>
      </c>
      <c r="I128" s="6" t="inlineStr">
        <is>
          <t>PAGADO AL 100%</t>
        </is>
      </c>
    </row>
    <row r="129" ht="20" customHeight="1">
      <c r="A129" s="4" t="inlineStr">
        <is>
          <t>Semana 31</t>
        </is>
      </c>
      <c r="B129" s="4" t="inlineStr">
        <is>
          <t>A-10606</t>
        </is>
      </c>
      <c r="C129" s="4" t="inlineStr">
        <is>
          <t>GASOLINA</t>
        </is>
      </c>
      <c r="D129" s="7" t="inlineStr">
        <is>
          <t>Vehículos Menores</t>
        </is>
      </c>
      <c r="E129" s="4" t="inlineStr">
        <is>
          <t>Agosto 2026</t>
        </is>
      </c>
      <c r="F129" s="5" t="n">
        <v>1000</v>
      </c>
      <c r="G129" s="5" t="n">
        <v>0</v>
      </c>
      <c r="H129" s="5" t="n">
        <v>1000</v>
      </c>
      <c r="I129" s="8" t="inlineStr">
        <is>
          <t>PENDIENTE POR PAGAR</t>
        </is>
      </c>
    </row>
    <row r="130" ht="20" customHeight="1">
      <c r="A130" s="4" t="inlineStr">
        <is>
          <t>Semana 31</t>
        </is>
      </c>
      <c r="B130" s="4" t="inlineStr">
        <is>
          <t>A-10607</t>
        </is>
      </c>
      <c r="C130" s="4" t="inlineStr">
        <is>
          <t>GASOLINA</t>
        </is>
      </c>
      <c r="D130" s="7" t="inlineStr">
        <is>
          <t>Vehículos Menores</t>
        </is>
      </c>
      <c r="E130" s="4" t="inlineStr">
        <is>
          <t>Agosto 2026</t>
        </is>
      </c>
      <c r="F130" s="5" t="n">
        <v>3511.75</v>
      </c>
      <c r="G130" s="5" t="n">
        <v>0</v>
      </c>
      <c r="H130" s="5" t="n">
        <v>3511.75</v>
      </c>
      <c r="I130" s="8" t="inlineStr">
        <is>
          <t>PENDIENTE POR PAGAR</t>
        </is>
      </c>
    </row>
    <row r="131" ht="20" customHeight="1">
      <c r="A131" s="4" t="inlineStr">
        <is>
          <t>Semana 31</t>
        </is>
      </c>
      <c r="B131" s="4" t="inlineStr">
        <is>
          <t>A-10620</t>
        </is>
      </c>
      <c r="C131" s="4" t="inlineStr">
        <is>
          <t>GASOLINA</t>
        </is>
      </c>
      <c r="D131" s="7" t="inlineStr">
        <is>
          <t>Vehículos Menores</t>
        </is>
      </c>
      <c r="E131" s="4" t="inlineStr">
        <is>
          <t>Agosto 2026</t>
        </is>
      </c>
      <c r="F131" s="5" t="n">
        <v>1904.88</v>
      </c>
      <c r="G131" s="5" t="n">
        <v>0</v>
      </c>
      <c r="H131" s="5" t="n">
        <v>1904.88</v>
      </c>
      <c r="I131" s="8" t="inlineStr">
        <is>
          <t>PENDIENTE POR PAGAR</t>
        </is>
      </c>
    </row>
    <row r="132" ht="20" customHeight="1">
      <c r="A132" s="4" t="inlineStr">
        <is>
          <t>Semana 31</t>
        </is>
      </c>
      <c r="B132" s="4" t="inlineStr">
        <is>
          <t>A-10621</t>
        </is>
      </c>
      <c r="C132" s="4" t="inlineStr">
        <is>
          <t>GASOLINA</t>
        </is>
      </c>
      <c r="D132" s="7" t="inlineStr">
        <is>
          <t>Vehículos Menores</t>
        </is>
      </c>
      <c r="E132" s="4" t="inlineStr">
        <is>
          <t>Agosto 2026</t>
        </is>
      </c>
      <c r="F132" s="5" t="n">
        <v>1500</v>
      </c>
      <c r="G132" s="5" t="n">
        <v>0</v>
      </c>
      <c r="H132" s="5" t="n">
        <v>1500</v>
      </c>
      <c r="I132" s="8" t="inlineStr">
        <is>
          <t>PENDIENTE POR PAGAR</t>
        </is>
      </c>
    </row>
    <row r="133" ht="20" customHeight="1">
      <c r="A133" s="4" t="inlineStr">
        <is>
          <t>Semana 31</t>
        </is>
      </c>
      <c r="B133" s="4" t="inlineStr">
        <is>
          <t>A-10710</t>
        </is>
      </c>
      <c r="C133" s="4" t="inlineStr">
        <is>
          <t>GASOLINA</t>
        </is>
      </c>
      <c r="D133" s="7" t="inlineStr">
        <is>
          <t>Vehículos Menores</t>
        </is>
      </c>
      <c r="E133" s="4" t="inlineStr">
        <is>
          <t>Agosto 2026</t>
        </is>
      </c>
      <c r="F133" s="5" t="n">
        <v>1500</v>
      </c>
      <c r="G133" s="5" t="n">
        <v>0</v>
      </c>
      <c r="H133" s="5" t="n">
        <v>1500</v>
      </c>
      <c r="I133" s="8" t="inlineStr">
        <is>
          <t>PENDIENTE POR PAGAR</t>
        </is>
      </c>
    </row>
    <row r="134" ht="20" customHeight="1">
      <c r="A134" s="4" t="inlineStr">
        <is>
          <t>Semana 31</t>
        </is>
      </c>
      <c r="B134" s="4" t="inlineStr">
        <is>
          <t>A-10741</t>
        </is>
      </c>
      <c r="C134" s="4" t="inlineStr">
        <is>
          <t>GASOLINA</t>
        </is>
      </c>
      <c r="D134" s="7" t="inlineStr">
        <is>
          <t>Vehículos Menores</t>
        </is>
      </c>
      <c r="E134" s="4" t="inlineStr">
        <is>
          <t>Agosto 2026</t>
        </is>
      </c>
      <c r="F134" s="5" t="n">
        <v>1402.36</v>
      </c>
      <c r="G134" s="5" t="n">
        <v>0</v>
      </c>
      <c r="H134" s="5" t="n">
        <v>1402.36</v>
      </c>
      <c r="I134" s="8" t="inlineStr">
        <is>
          <t>PENDIENTE POR PAGAR</t>
        </is>
      </c>
    </row>
    <row r="135" ht="20" customHeight="1">
      <c r="A135" s="4" t="inlineStr">
        <is>
          <t>Semana 32</t>
        </is>
      </c>
      <c r="B135" s="4" t="inlineStr">
        <is>
          <t>LOTE SEMANA 32</t>
        </is>
      </c>
      <c r="C135" s="4" t="inlineStr">
        <is>
          <t>DIESEL Y GASOLINA</t>
        </is>
      </c>
      <c r="D135" s="7" t="inlineStr">
        <is>
          <t>Obras Varias (29 facturas diesel + 9 gasolina)</t>
        </is>
      </c>
      <c r="E135" s="4" t="inlineStr">
        <is>
          <t>Agosto 2026</t>
        </is>
      </c>
      <c r="F135" s="5" t="n">
        <v>341114.27</v>
      </c>
      <c r="G135" s="5" t="n">
        <v>0</v>
      </c>
      <c r="H135" s="5" t="n">
        <v>341114.27</v>
      </c>
      <c r="I135" s="8" t="inlineStr">
        <is>
          <t>PENDIENTE POR PAGAR</t>
        </is>
      </c>
    </row>
    <row r="136" ht="25" customHeight="1">
      <c r="A136" s="9" t="inlineStr">
        <is>
          <t>TOTAL CONCILIACIÓN</t>
        </is>
      </c>
      <c r="B136" s="19" t="n"/>
      <c r="C136" s="19" t="n"/>
      <c r="D136" s="19" t="n"/>
      <c r="E136" s="19" t="n"/>
      <c r="F136" s="11">
        <f>SUM(F4:F135)</f>
        <v/>
      </c>
      <c r="G136" s="11">
        <f>SUM(G4:G135)</f>
        <v/>
      </c>
      <c r="H136" s="11">
        <f>SUM(H4:H135)</f>
        <v/>
      </c>
      <c r="I136" s="9" t="inlineStr">
        <is>
          <t>BALANCE GENERAL</t>
        </is>
      </c>
    </row>
  </sheetData>
  <mergeCells count="2">
    <mergeCell ref="A1:I1"/>
    <mergeCell ref="A136:E1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17" customWidth="1" min="3" max="3"/>
    <col width="30" customWidth="1" min="4" max="4"/>
    <col width="30" customWidth="1" min="5" max="5"/>
    <col width="21" customWidth="1" min="6" max="6"/>
    <col width="13" customWidth="1" min="7" max="7"/>
  </cols>
  <sheetData>
    <row r="1" ht="35" customHeight="1">
      <c r="A1" s="1" t="inlineStr">
        <is>
          <t>PAGOS A MOBIL HUIXQUILUCAN - SEMANA 28 DE 2026</t>
        </is>
      </c>
    </row>
    <row r="2"/>
    <row r="3" ht="25" customHeight="1">
      <c r="A3" s="3" t="inlineStr">
        <is>
          <t>No.</t>
        </is>
      </c>
      <c r="B3" s="3" t="inlineStr">
        <is>
          <t>Fecha Suministro</t>
        </is>
      </c>
      <c r="C3" s="3" t="inlineStr">
        <is>
          <t>Folio Factura</t>
        </is>
      </c>
      <c r="D3" s="3" t="inlineStr">
        <is>
          <t>Centro de Trabajo / Obra</t>
        </is>
      </c>
      <c r="E3" s="3" t="inlineStr">
        <is>
          <t>Importe Pagado con IVA ($)</t>
        </is>
      </c>
      <c r="F3" s="3" t="inlineStr">
        <is>
          <t>Tabla Origen Pago</t>
        </is>
      </c>
      <c r="G3" s="3" t="inlineStr">
        <is>
          <t>Estatus</t>
        </is>
      </c>
    </row>
    <row r="4" ht="20" customHeight="1">
      <c r="A4" s="4" t="n">
        <v>1</v>
      </c>
      <c r="B4" s="4" t="inlineStr">
        <is>
          <t>06/07/2026</t>
        </is>
      </c>
      <c r="C4" s="4" t="inlineStr">
        <is>
          <t>A-10366</t>
        </is>
      </c>
      <c r="D4" s="7" t="inlineStr">
        <is>
          <t>BACHEO TOLUCA</t>
        </is>
      </c>
      <c r="E4" s="5" t="n">
        <v>7695</v>
      </c>
      <c r="F4" s="4" t="inlineStr">
        <is>
          <t>Tabla 2 ($915k)</t>
        </is>
      </c>
      <c r="G4" s="6" t="inlineStr">
        <is>
          <t>PAGADO</t>
        </is>
      </c>
    </row>
    <row r="5" ht="20" customHeight="1">
      <c r="A5" s="4" t="n">
        <v>2</v>
      </c>
      <c r="B5" s="4" t="inlineStr">
        <is>
          <t>06/07/2026</t>
        </is>
      </c>
      <c r="C5" s="4" t="inlineStr">
        <is>
          <t>A-10367</t>
        </is>
      </c>
      <c r="D5" s="7" t="inlineStr">
        <is>
          <t>MEXICO TOLUCA</t>
        </is>
      </c>
      <c r="E5" s="5" t="n">
        <v>19305.1</v>
      </c>
      <c r="F5" s="4" t="inlineStr">
        <is>
          <t>Tabla 2 ($915k)</t>
        </is>
      </c>
      <c r="G5" s="6" t="inlineStr">
        <is>
          <t>PAGADO</t>
        </is>
      </c>
    </row>
    <row r="6" ht="20" customHeight="1">
      <c r="A6" s="4" t="n">
        <v>3</v>
      </c>
      <c r="B6" s="4" t="inlineStr">
        <is>
          <t>06/07/2026</t>
        </is>
      </c>
      <c r="C6" s="4" t="inlineStr">
        <is>
          <t>A-10361</t>
        </is>
      </c>
      <c r="D6" s="7" t="inlineStr">
        <is>
          <t>P. DE ASFALTO HUIXQUILUCAN</t>
        </is>
      </c>
      <c r="E6" s="5" t="n">
        <v>8100.05</v>
      </c>
      <c r="F6" s="4" t="inlineStr">
        <is>
          <t>Tabla 2 ($915k)</t>
        </is>
      </c>
      <c r="G6" s="6" t="inlineStr">
        <is>
          <t>PAGADO</t>
        </is>
      </c>
    </row>
    <row r="7" ht="20" customHeight="1">
      <c r="A7" s="4" t="n">
        <v>4</v>
      </c>
      <c r="B7" s="4" t="inlineStr">
        <is>
          <t>06/07/2026</t>
        </is>
      </c>
      <c r="C7" s="4" t="inlineStr">
        <is>
          <t>A-10365</t>
        </is>
      </c>
      <c r="D7" s="7" t="inlineStr">
        <is>
          <t>P. DE ASFALTO HUIXQUILUCAN</t>
        </is>
      </c>
      <c r="E7" s="5" t="n">
        <v>10800.1</v>
      </c>
      <c r="F7" s="4" t="inlineStr">
        <is>
          <t>Tabla 2 ($915k)</t>
        </is>
      </c>
      <c r="G7" s="6" t="inlineStr">
        <is>
          <t>PAGADO</t>
        </is>
      </c>
    </row>
    <row r="8" ht="20" customHeight="1">
      <c r="A8" s="4" t="n">
        <v>5</v>
      </c>
      <c r="B8" s="4" t="inlineStr">
        <is>
          <t>06/07/2026</t>
        </is>
      </c>
      <c r="C8" s="4" t="inlineStr">
        <is>
          <t>A-10368</t>
        </is>
      </c>
      <c r="D8" s="7" t="inlineStr">
        <is>
          <t>P. DE ASFALTO HUIXQUILUCAN</t>
        </is>
      </c>
      <c r="E8" s="5" t="n">
        <v>16200.1</v>
      </c>
      <c r="F8" s="4" t="inlineStr">
        <is>
          <t>Tabla 2 ($915k)</t>
        </is>
      </c>
      <c r="G8" s="6" t="inlineStr">
        <is>
          <t>PAGADO</t>
        </is>
      </c>
    </row>
    <row r="9" ht="20" customHeight="1">
      <c r="A9" s="4" t="n">
        <v>6</v>
      </c>
      <c r="B9" s="4" t="inlineStr">
        <is>
          <t>06/07/2026</t>
        </is>
      </c>
      <c r="C9" s="4" t="inlineStr">
        <is>
          <t>A-10362</t>
        </is>
      </c>
      <c r="D9" s="7" t="inlineStr">
        <is>
          <t>PROVIDENCIA</t>
        </is>
      </c>
      <c r="E9" s="5" t="n">
        <v>6291</v>
      </c>
      <c r="F9" s="4" t="inlineStr">
        <is>
          <t>Tabla 2 ($915k)</t>
        </is>
      </c>
      <c r="G9" s="6" t="inlineStr">
        <is>
          <t>PAGADO</t>
        </is>
      </c>
    </row>
    <row r="10" ht="20" customHeight="1">
      <c r="A10" s="4" t="n">
        <v>7</v>
      </c>
      <c r="B10" s="4" t="inlineStr">
        <is>
          <t>06/07/2026</t>
        </is>
      </c>
      <c r="C10" s="4" t="inlineStr">
        <is>
          <t>A-10360</t>
        </is>
      </c>
      <c r="D10" s="7" t="inlineStr">
        <is>
          <t>TANQUE PEGASO</t>
        </is>
      </c>
      <c r="E10" s="5" t="n">
        <v>66605.39999999999</v>
      </c>
      <c r="F10" s="4" t="inlineStr">
        <is>
          <t>Tabla 2 ($915k)</t>
        </is>
      </c>
      <c r="G10" s="6" t="inlineStr">
        <is>
          <t>PAGADO</t>
        </is>
      </c>
    </row>
    <row r="11" ht="20" customHeight="1">
      <c r="A11" s="4" t="n">
        <v>8</v>
      </c>
      <c r="B11" s="4" t="inlineStr">
        <is>
          <t>07/07/2026</t>
        </is>
      </c>
      <c r="C11" s="4" t="inlineStr">
        <is>
          <t>A-10387</t>
        </is>
      </c>
      <c r="D11" s="7" t="inlineStr">
        <is>
          <t>BACHEO TOLUCA</t>
        </is>
      </c>
      <c r="E11" s="5" t="n">
        <v>21600.15</v>
      </c>
      <c r="F11" s="4" t="inlineStr">
        <is>
          <t>Tabla 2 ($915k)</t>
        </is>
      </c>
      <c r="G11" s="6" t="inlineStr">
        <is>
          <t>PAGADO</t>
        </is>
      </c>
    </row>
    <row r="12" ht="20" customHeight="1">
      <c r="A12" s="4" t="n">
        <v>9</v>
      </c>
      <c r="B12" s="4" t="inlineStr">
        <is>
          <t>07/07/2026</t>
        </is>
      </c>
      <c r="C12" s="4" t="inlineStr">
        <is>
          <t>A-10381</t>
        </is>
      </c>
      <c r="D12" s="7" t="inlineStr">
        <is>
          <t>LERMA</t>
        </is>
      </c>
      <c r="E12" s="5" t="n">
        <v>18900.06</v>
      </c>
      <c r="F12" s="4" t="inlineStr">
        <is>
          <t>Tabla 2 ($915k)</t>
        </is>
      </c>
      <c r="G12" s="6" t="inlineStr">
        <is>
          <t>PAGADO</t>
        </is>
      </c>
    </row>
    <row r="13" ht="20" customHeight="1">
      <c r="A13" s="4" t="n">
        <v>10</v>
      </c>
      <c r="B13" s="4" t="inlineStr">
        <is>
          <t>07/07/2026</t>
        </is>
      </c>
      <c r="C13" s="4" t="inlineStr">
        <is>
          <t>A-10388</t>
        </is>
      </c>
      <c r="D13" s="7" t="inlineStr">
        <is>
          <t>LERMA</t>
        </is>
      </c>
      <c r="E13" s="5" t="n">
        <v>2700.08</v>
      </c>
      <c r="F13" s="4" t="inlineStr">
        <is>
          <t>Tabla 2 ($915k)</t>
        </is>
      </c>
      <c r="G13" s="6" t="inlineStr">
        <is>
          <t>PAGADO</t>
        </is>
      </c>
    </row>
    <row r="14" ht="20" customHeight="1">
      <c r="A14" s="4" t="n">
        <v>11</v>
      </c>
      <c r="B14" s="4" t="inlineStr">
        <is>
          <t>07/07/2026</t>
        </is>
      </c>
      <c r="C14" s="4" t="inlineStr">
        <is>
          <t>A-10884</t>
        </is>
      </c>
      <c r="D14" s="7" t="inlineStr">
        <is>
          <t>P. DE ASFALTO HUIXQUILUCAN</t>
        </is>
      </c>
      <c r="E14" s="5" t="n">
        <v>16200.1</v>
      </c>
      <c r="F14" s="4" t="inlineStr">
        <is>
          <t>Tabla 2 ($915k)</t>
        </is>
      </c>
      <c r="G14" s="6" t="inlineStr">
        <is>
          <t>PAGADO</t>
        </is>
      </c>
    </row>
    <row r="15" ht="20" customHeight="1">
      <c r="A15" s="4" t="n">
        <v>12</v>
      </c>
      <c r="B15" s="4" t="inlineStr">
        <is>
          <t>07/07/2026</t>
        </is>
      </c>
      <c r="C15" s="4" t="inlineStr">
        <is>
          <t>A-10380</t>
        </is>
      </c>
      <c r="D15" s="7" t="inlineStr">
        <is>
          <t>TANQUE PEGASO</t>
        </is>
      </c>
      <c r="E15" s="5" t="n">
        <v>8100.05</v>
      </c>
      <c r="F15" s="4" t="inlineStr">
        <is>
          <t>Tabla 2 ($915k)</t>
        </is>
      </c>
      <c r="G15" s="6" t="inlineStr">
        <is>
          <t>PAGADO</t>
        </is>
      </c>
    </row>
    <row r="16" ht="20" customHeight="1">
      <c r="A16" s="4" t="n">
        <v>13</v>
      </c>
      <c r="B16" s="4" t="inlineStr">
        <is>
          <t>07/07/2026</t>
        </is>
      </c>
      <c r="C16" s="4" t="inlineStr">
        <is>
          <t>A-10386</t>
        </is>
      </c>
      <c r="D16" s="7" t="inlineStr">
        <is>
          <t>TANQUE PEGASO</t>
        </is>
      </c>
      <c r="E16" s="5" t="n">
        <v>3000</v>
      </c>
      <c r="F16" s="4" t="inlineStr">
        <is>
          <t>Tabla 2 ($915k)</t>
        </is>
      </c>
      <c r="G16" s="6" t="inlineStr">
        <is>
          <t>PAGADO</t>
        </is>
      </c>
    </row>
    <row r="17" ht="20" customHeight="1">
      <c r="A17" s="4" t="n">
        <v>14</v>
      </c>
      <c r="B17" s="4" t="inlineStr">
        <is>
          <t>08/07/2026</t>
        </is>
      </c>
      <c r="C17" s="4" t="inlineStr">
        <is>
          <t>A-10409</t>
        </is>
      </c>
      <c r="D17" s="7" t="inlineStr">
        <is>
          <t>DEZAZOLVE CANALES</t>
        </is>
      </c>
      <c r="E17" s="5" t="n">
        <v>23206.21</v>
      </c>
      <c r="F17" s="4" t="inlineStr">
        <is>
          <t>Tabla 2 ($915k)</t>
        </is>
      </c>
      <c r="G17" s="6" t="inlineStr">
        <is>
          <t>PAGADO</t>
        </is>
      </c>
    </row>
    <row r="18" ht="20" customHeight="1">
      <c r="A18" s="4" t="n">
        <v>15</v>
      </c>
      <c r="B18" s="4" t="inlineStr">
        <is>
          <t>08/07/2026</t>
        </is>
      </c>
      <c r="C18" s="4" t="inlineStr">
        <is>
          <t>A-10398</t>
        </is>
      </c>
      <c r="D18" s="7" t="inlineStr">
        <is>
          <t>MEXICO TOLUCA</t>
        </is>
      </c>
      <c r="E18" s="5" t="n">
        <v>16200.1</v>
      </c>
      <c r="F18" s="4" t="inlineStr">
        <is>
          <t>Tabla 2 ($915k)</t>
        </is>
      </c>
      <c r="G18" s="6" t="inlineStr">
        <is>
          <t>PAGADO</t>
        </is>
      </c>
    </row>
    <row r="19" ht="20" customHeight="1">
      <c r="A19" s="4" t="n">
        <v>16</v>
      </c>
      <c r="B19" s="4" t="inlineStr">
        <is>
          <t>08/07/2026</t>
        </is>
      </c>
      <c r="C19" s="4" t="inlineStr">
        <is>
          <t>A-10405</t>
        </is>
      </c>
      <c r="D19" s="7" t="inlineStr">
        <is>
          <t>P. DE ASFALTO HUIXQUILUCAN</t>
        </is>
      </c>
      <c r="E19" s="5" t="n">
        <v>10800.1</v>
      </c>
      <c r="F19" s="4" t="inlineStr">
        <is>
          <t>Tabla 2 ($915k)</t>
        </is>
      </c>
      <c r="G19" s="6" t="inlineStr">
        <is>
          <t>PAGADO</t>
        </is>
      </c>
    </row>
    <row r="20" ht="20" customHeight="1">
      <c r="A20" s="4" t="n">
        <v>17</v>
      </c>
      <c r="B20" s="4" t="inlineStr">
        <is>
          <t>08/07/2026</t>
        </is>
      </c>
      <c r="C20" s="4" t="inlineStr">
        <is>
          <t>A-10406</t>
        </is>
      </c>
      <c r="D20" s="7" t="inlineStr">
        <is>
          <t>P. DE ASFALTO HUIXQUILUCAN</t>
        </is>
      </c>
      <c r="E20" s="5" t="n">
        <v>8100.05</v>
      </c>
      <c r="F20" s="4" t="inlineStr">
        <is>
          <t>Tabla 2 ($915k)</t>
        </is>
      </c>
      <c r="G20" s="6" t="inlineStr">
        <is>
          <t>PAGADO</t>
        </is>
      </c>
    </row>
    <row r="21" ht="20" customHeight="1">
      <c r="A21" s="4" t="n">
        <v>18</v>
      </c>
      <c r="B21" s="4" t="inlineStr">
        <is>
          <t>08/07/2026</t>
        </is>
      </c>
      <c r="C21" s="4" t="inlineStr">
        <is>
          <t>A-10408</t>
        </is>
      </c>
      <c r="D21" s="7" t="inlineStr">
        <is>
          <t>P. DE ASFALTO HUIXQUILUCAN</t>
        </is>
      </c>
      <c r="E21" s="5" t="n">
        <v>8100.05</v>
      </c>
      <c r="F21" s="4" t="inlineStr">
        <is>
          <t>Tabla 2 ($915k)</t>
        </is>
      </c>
      <c r="G21" s="6" t="inlineStr">
        <is>
          <t>PAGADO</t>
        </is>
      </c>
    </row>
    <row r="22" ht="20" customHeight="1">
      <c r="A22" s="4" t="n">
        <v>19</v>
      </c>
      <c r="B22" s="4" t="inlineStr">
        <is>
          <t>09/07/2026</t>
        </is>
      </c>
      <c r="C22" s="4" t="inlineStr">
        <is>
          <t>A-10886</t>
        </is>
      </c>
      <c r="D22" s="7" t="inlineStr">
        <is>
          <t>MAQUINARIA</t>
        </is>
      </c>
      <c r="E22" s="5" t="n">
        <v>2700.08</v>
      </c>
      <c r="F22" s="4" t="inlineStr">
        <is>
          <t>Tabla 2 ($915k)</t>
        </is>
      </c>
      <c r="G22" s="6" t="inlineStr">
        <is>
          <t>PAGADO</t>
        </is>
      </c>
    </row>
    <row r="23" ht="20" customHeight="1">
      <c r="A23" s="4" t="n">
        <v>20</v>
      </c>
      <c r="B23" s="4" t="inlineStr">
        <is>
          <t>09/07/2026</t>
        </is>
      </c>
      <c r="C23" s="4" t="inlineStr">
        <is>
          <t>A-10888</t>
        </is>
      </c>
      <c r="D23" s="7" t="inlineStr">
        <is>
          <t>P. DE ASFALTO HUIXQUILUCAN</t>
        </is>
      </c>
      <c r="E23" s="5" t="n">
        <v>16201.8</v>
      </c>
      <c r="F23" s="4" t="inlineStr">
        <is>
          <t>Tabla 2 ($915k)</t>
        </is>
      </c>
      <c r="G23" s="6" t="inlineStr">
        <is>
          <t>PAGADO</t>
        </is>
      </c>
    </row>
    <row r="24" ht="20" customHeight="1">
      <c r="A24" s="4" t="n">
        <v>21</v>
      </c>
      <c r="B24" s="4" t="inlineStr">
        <is>
          <t>09/07/2026</t>
        </is>
      </c>
      <c r="C24" s="4" t="inlineStr">
        <is>
          <t>A-10887</t>
        </is>
      </c>
      <c r="D24" s="7" t="inlineStr">
        <is>
          <t>PROVIDENCIA</t>
        </is>
      </c>
      <c r="E24" s="5" t="n">
        <v>10800.1</v>
      </c>
      <c r="F24" s="4" t="inlineStr">
        <is>
          <t>Tabla 2 ($915k)</t>
        </is>
      </c>
      <c r="G24" s="6" t="inlineStr">
        <is>
          <t>PAGADO</t>
        </is>
      </c>
    </row>
    <row r="25" ht="20" customHeight="1">
      <c r="A25" s="4" t="n">
        <v>22</v>
      </c>
      <c r="B25" s="4" t="inlineStr">
        <is>
          <t>10/07/2026</t>
        </is>
      </c>
      <c r="C25" s="4" t="inlineStr">
        <is>
          <t>A-10893</t>
        </is>
      </c>
      <c r="D25" s="7" t="inlineStr">
        <is>
          <t>ALFREDO DEL MAZO</t>
        </is>
      </c>
      <c r="E25" s="5" t="n">
        <v>5400.05</v>
      </c>
      <c r="F25" s="4" t="inlineStr">
        <is>
          <t>Tabla 2 ($915k)</t>
        </is>
      </c>
      <c r="G25" s="6" t="inlineStr">
        <is>
          <t>PAGADO</t>
        </is>
      </c>
    </row>
    <row r="26" ht="20" customHeight="1">
      <c r="A26" s="4" t="n">
        <v>23</v>
      </c>
      <c r="B26" s="4" t="inlineStr">
        <is>
          <t>10/07/2026</t>
        </is>
      </c>
      <c r="C26" s="4" t="inlineStr">
        <is>
          <t>A-10900</t>
        </is>
      </c>
      <c r="D26" s="7" t="inlineStr">
        <is>
          <t>DEZAZOLVE CANALES</t>
        </is>
      </c>
      <c r="E26" s="5" t="n">
        <v>24705.06</v>
      </c>
      <c r="F26" s="4" t="inlineStr">
        <is>
          <t>Tabla 2 ($915k)</t>
        </is>
      </c>
      <c r="G26" s="6" t="inlineStr">
        <is>
          <t>PAGADO</t>
        </is>
      </c>
    </row>
    <row r="27" ht="20" customHeight="1">
      <c r="A27" s="4" t="n">
        <v>24</v>
      </c>
      <c r="B27" s="4" t="inlineStr">
        <is>
          <t>10/07/2026</t>
        </is>
      </c>
      <c r="C27" s="4" t="inlineStr">
        <is>
          <t>A-10894</t>
        </is>
      </c>
      <c r="D27" s="7" t="inlineStr">
        <is>
          <t>LERMA</t>
        </is>
      </c>
      <c r="E27" s="5" t="n">
        <v>18043.21</v>
      </c>
      <c r="F27" s="4" t="inlineStr">
        <is>
          <t>Tabla 2 ($915k)</t>
        </is>
      </c>
      <c r="G27" s="6" t="inlineStr">
        <is>
          <t>PAGADO</t>
        </is>
      </c>
    </row>
    <row r="28" ht="20" customHeight="1">
      <c r="A28" s="4" t="n">
        <v>25</v>
      </c>
      <c r="B28" s="4" t="inlineStr">
        <is>
          <t>10/07/2026</t>
        </is>
      </c>
      <c r="C28" s="4" t="inlineStr">
        <is>
          <t>A-10899</t>
        </is>
      </c>
      <c r="D28" s="7" t="inlineStr">
        <is>
          <t>P. DE ASFALTO HUIXQUILUCAN</t>
        </is>
      </c>
      <c r="E28" s="5" t="n">
        <v>27000.11</v>
      </c>
      <c r="F28" s="4" t="inlineStr">
        <is>
          <t>Tabla 2 ($915k)</t>
        </is>
      </c>
      <c r="G28" s="6" t="inlineStr">
        <is>
          <t>PAGADO</t>
        </is>
      </c>
    </row>
    <row r="29" ht="20" customHeight="1">
      <c r="A29" s="4" t="n">
        <v>26</v>
      </c>
      <c r="B29" s="4" t="inlineStr">
        <is>
          <t>11/07/2026</t>
        </is>
      </c>
      <c r="C29" s="4" t="inlineStr">
        <is>
          <t>A-10904</t>
        </is>
      </c>
      <c r="D29" s="7" t="inlineStr">
        <is>
          <t>P. DE ASFALTO HUIXQUILUCAN</t>
        </is>
      </c>
      <c r="E29" s="5" t="n">
        <v>13500.06</v>
      </c>
      <c r="F29" s="4" t="inlineStr">
        <is>
          <t>Tabla 2 ($915k)</t>
        </is>
      </c>
      <c r="G29" s="6" t="inlineStr">
        <is>
          <t>PAGADO</t>
        </is>
      </c>
    </row>
    <row r="30" ht="20" customHeight="1">
      <c r="A30" s="4" t="n">
        <v>27</v>
      </c>
      <c r="B30" s="4" t="inlineStr">
        <is>
          <t>12/07/2026</t>
        </is>
      </c>
      <c r="C30" s="4" t="inlineStr">
        <is>
          <t>A-10912</t>
        </is>
      </c>
      <c r="D30" s="7" t="inlineStr">
        <is>
          <t>P. DE ASFALTO HUIXQUILUCAN</t>
        </is>
      </c>
      <c r="E30" s="5" t="n">
        <v>8100.05</v>
      </c>
      <c r="F30" s="4" t="inlineStr">
        <is>
          <t>Tabla 2 ($915k)</t>
        </is>
      </c>
      <c r="G30" s="6" t="inlineStr">
        <is>
          <t>PAGADO</t>
        </is>
      </c>
    </row>
    <row r="31" ht="25" customHeight="1">
      <c r="A31" s="9" t="inlineStr">
        <is>
          <t>TOTAL SEMANA 28</t>
        </is>
      </c>
      <c r="B31" s="19" t="n"/>
      <c r="C31" s="19" t="n"/>
      <c r="D31" s="19" t="n"/>
      <c r="E31" s="11">
        <f>SUM(E4:E30)</f>
        <v/>
      </c>
      <c r="F31" s="9" t="inlineStr">
        <is>
          <t>27 Facturas</t>
        </is>
      </c>
      <c r="G31" s="9" t="inlineStr">
        <is>
          <t>LIQUIDADO</t>
        </is>
      </c>
    </row>
  </sheetData>
  <mergeCells count="2">
    <mergeCell ref="A31:D3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17" customWidth="1" min="3" max="3"/>
    <col width="30" customWidth="1" min="4" max="4"/>
    <col width="30" customWidth="1" min="5" max="5"/>
    <col width="21" customWidth="1" min="6" max="6"/>
    <col width="13" customWidth="1" min="7" max="7"/>
  </cols>
  <sheetData>
    <row r="1" ht="35" customHeight="1">
      <c r="A1" s="1" t="inlineStr">
        <is>
          <t>PAGOS A MOBIL HUIXQUILUCAN - SEMANA 29 DE 2026</t>
        </is>
      </c>
    </row>
    <row r="2"/>
    <row r="3" ht="25" customHeight="1">
      <c r="A3" s="3" t="inlineStr">
        <is>
          <t>No.</t>
        </is>
      </c>
      <c r="B3" s="3" t="inlineStr">
        <is>
          <t>Fecha Suministro</t>
        </is>
      </c>
      <c r="C3" s="3" t="inlineStr">
        <is>
          <t>Folio Factura</t>
        </is>
      </c>
      <c r="D3" s="3" t="inlineStr">
        <is>
          <t>Centro de Trabajo / Obra</t>
        </is>
      </c>
      <c r="E3" s="3" t="inlineStr">
        <is>
          <t>Importe Pagado con IVA ($)</t>
        </is>
      </c>
      <c r="F3" s="3" t="inlineStr">
        <is>
          <t>Tabla Origen Pago</t>
        </is>
      </c>
      <c r="G3" s="3" t="inlineStr">
        <is>
          <t>Estatus</t>
        </is>
      </c>
    </row>
    <row r="4" ht="20" customHeight="1">
      <c r="A4" s="4" t="n">
        <v>1</v>
      </c>
      <c r="B4" s="4" t="inlineStr">
        <is>
          <t>13/07/2026</t>
        </is>
      </c>
      <c r="C4" s="4" t="inlineStr">
        <is>
          <t>A-10425</t>
        </is>
      </c>
      <c r="D4" s="7" t="inlineStr">
        <is>
          <t>ALFREDO DEL MAZO</t>
        </is>
      </c>
      <c r="E4" s="5" t="n">
        <v>22652.97</v>
      </c>
      <c r="F4" s="4" t="inlineStr">
        <is>
          <t>Tabla 2 ($915k)</t>
        </is>
      </c>
      <c r="G4" s="6" t="inlineStr">
        <is>
          <t>PAGADO</t>
        </is>
      </c>
    </row>
    <row r="5" ht="20" customHeight="1">
      <c r="A5" s="4" t="n">
        <v>2</v>
      </c>
      <c r="B5" s="4" t="inlineStr">
        <is>
          <t>13/07/2026</t>
        </is>
      </c>
      <c r="C5" s="4" t="inlineStr">
        <is>
          <t>A-10423</t>
        </is>
      </c>
      <c r="D5" s="7" t="inlineStr">
        <is>
          <t>DEZAZOLVE CANALES</t>
        </is>
      </c>
      <c r="E5" s="5" t="n">
        <v>14445.05</v>
      </c>
      <c r="F5" s="4" t="inlineStr">
        <is>
          <t>Tabla 2 ($915k)</t>
        </is>
      </c>
      <c r="G5" s="6" t="inlineStr">
        <is>
          <t>PAGADO</t>
        </is>
      </c>
    </row>
    <row r="6" ht="20" customHeight="1">
      <c r="A6" s="4" t="n">
        <v>3</v>
      </c>
      <c r="B6" s="4" t="inlineStr">
        <is>
          <t>13/07/2026</t>
        </is>
      </c>
      <c r="C6" s="4" t="inlineStr">
        <is>
          <t>A-10426</t>
        </is>
      </c>
      <c r="D6" s="7" t="inlineStr">
        <is>
          <t>LERMA</t>
        </is>
      </c>
      <c r="E6" s="5" t="n">
        <v>17804.45</v>
      </c>
      <c r="F6" s="4" t="inlineStr">
        <is>
          <t>Tabla 2 ($915k)</t>
        </is>
      </c>
      <c r="G6" s="6" t="inlineStr">
        <is>
          <t>PAGADO</t>
        </is>
      </c>
    </row>
    <row r="7" ht="20" customHeight="1">
      <c r="A7" s="4" t="n">
        <v>4</v>
      </c>
      <c r="B7" s="4" t="inlineStr">
        <is>
          <t>13/07/2026</t>
        </is>
      </c>
      <c r="C7" s="4" t="inlineStr">
        <is>
          <t>A-10427</t>
        </is>
      </c>
      <c r="D7" s="7" t="inlineStr">
        <is>
          <t>LERMA</t>
        </is>
      </c>
      <c r="E7" s="5" t="n">
        <v>3000</v>
      </c>
      <c r="F7" s="4" t="inlineStr">
        <is>
          <t>Tabla 2 ($915k)</t>
        </is>
      </c>
      <c r="G7" s="6" t="inlineStr">
        <is>
          <t>PAGADO</t>
        </is>
      </c>
    </row>
    <row r="8" ht="20" customHeight="1">
      <c r="A8" s="4" t="n">
        <v>5</v>
      </c>
      <c r="B8" s="4" t="inlineStr">
        <is>
          <t>13/07/2026</t>
        </is>
      </c>
      <c r="C8" s="4" t="inlineStr">
        <is>
          <t>A-10420</t>
        </is>
      </c>
      <c r="D8" s="7" t="inlineStr">
        <is>
          <t>TANQUE PEGASO</t>
        </is>
      </c>
      <c r="E8" s="5" t="n">
        <v>601.4299999999999</v>
      </c>
      <c r="F8" s="4" t="inlineStr">
        <is>
          <t>Tabla 2 ($915k)</t>
        </is>
      </c>
      <c r="G8" s="6" t="inlineStr">
        <is>
          <t>PAGADO</t>
        </is>
      </c>
    </row>
    <row r="9" ht="20" customHeight="1">
      <c r="A9" s="4" t="n">
        <v>6</v>
      </c>
      <c r="B9" s="4" t="inlineStr">
        <is>
          <t>13/07/2026</t>
        </is>
      </c>
      <c r="C9" s="4" t="inlineStr">
        <is>
          <t>A-10511</t>
        </is>
      </c>
      <c r="D9" s="7" t="inlineStr">
        <is>
          <t>TANQUE PEGASO</t>
        </is>
      </c>
      <c r="E9" s="5" t="n">
        <v>4197.68</v>
      </c>
      <c r="F9" s="4" t="inlineStr">
        <is>
          <t>Tabla 2 ($915k)</t>
        </is>
      </c>
      <c r="G9" s="6" t="inlineStr">
        <is>
          <t>PAGADO</t>
        </is>
      </c>
    </row>
    <row r="10" ht="20" customHeight="1">
      <c r="A10" s="4" t="n">
        <v>7</v>
      </c>
      <c r="B10" s="4" t="inlineStr">
        <is>
          <t>13/07/2026</t>
        </is>
      </c>
      <c r="C10" s="4" t="inlineStr">
        <is>
          <t>A-10422</t>
        </is>
      </c>
      <c r="D10" s="7" t="inlineStr">
        <is>
          <t>VICENTE LOMBARDO</t>
        </is>
      </c>
      <c r="E10" s="5" t="n">
        <v>14445.05</v>
      </c>
      <c r="F10" s="4" t="inlineStr">
        <is>
          <t>Tabla 2 ($915k)</t>
        </is>
      </c>
      <c r="G10" s="6" t="inlineStr">
        <is>
          <t>PAGADO</t>
        </is>
      </c>
    </row>
    <row r="11" ht="20" customHeight="1">
      <c r="A11" s="4" t="n">
        <v>8</v>
      </c>
      <c r="B11" s="4" t="inlineStr">
        <is>
          <t>14/07/2026</t>
        </is>
      </c>
      <c r="C11" s="4" t="inlineStr">
        <is>
          <t>A-10496</t>
        </is>
      </c>
      <c r="D11" s="7" t="inlineStr">
        <is>
          <t>COLEGIO MILITAR</t>
        </is>
      </c>
      <c r="E11" s="5" t="n">
        <v>27000.11</v>
      </c>
      <c r="F11" s="4" t="inlineStr">
        <is>
          <t>Tabla 1 ($747k)</t>
        </is>
      </c>
      <c r="G11" s="6" t="inlineStr">
        <is>
          <t>PAGADO</t>
        </is>
      </c>
    </row>
    <row r="12" ht="20" customHeight="1">
      <c r="A12" s="4" t="n">
        <v>9</v>
      </c>
      <c r="B12" s="4" t="inlineStr">
        <is>
          <t>14/07/2026</t>
        </is>
      </c>
      <c r="C12" s="4" t="inlineStr">
        <is>
          <t>A-10500</t>
        </is>
      </c>
      <c r="D12" s="7" t="inlineStr">
        <is>
          <t>DEZAZOLVE CANALES</t>
        </is>
      </c>
      <c r="E12" s="5" t="n">
        <v>11880</v>
      </c>
      <c r="F12" s="4" t="inlineStr">
        <is>
          <t>Tabla 2 ($915k)</t>
        </is>
      </c>
      <c r="G12" s="6" t="inlineStr">
        <is>
          <t>PAGADO</t>
        </is>
      </c>
    </row>
    <row r="13" ht="20" customHeight="1">
      <c r="A13" s="4" t="n">
        <v>10</v>
      </c>
      <c r="B13" s="4" t="inlineStr">
        <is>
          <t>14/07/2026</t>
        </is>
      </c>
      <c r="C13" s="4" t="inlineStr">
        <is>
          <t>A-10495</t>
        </is>
      </c>
      <c r="D13" s="7" t="inlineStr">
        <is>
          <t>P. DE ASFALTO HUIXQUILUCAN</t>
        </is>
      </c>
      <c r="E13" s="5" t="n">
        <v>16200.1</v>
      </c>
      <c r="F13" s="4" t="inlineStr">
        <is>
          <t>Tabla 2 ($915k)</t>
        </is>
      </c>
      <c r="G13" s="6" t="inlineStr">
        <is>
          <t>PAGADO</t>
        </is>
      </c>
    </row>
    <row r="14" ht="20" customHeight="1">
      <c r="A14" s="4" t="n">
        <v>11</v>
      </c>
      <c r="B14" s="4" t="inlineStr">
        <is>
          <t>14/07/2026</t>
        </is>
      </c>
      <c r="C14" s="4" t="inlineStr">
        <is>
          <t>A-10499</t>
        </is>
      </c>
      <c r="D14" s="7" t="inlineStr">
        <is>
          <t>VICENTE LOMBARDO</t>
        </is>
      </c>
      <c r="E14" s="5" t="n">
        <v>11880</v>
      </c>
      <c r="F14" s="4" t="inlineStr">
        <is>
          <t>Tabla 2 ($915k)</t>
        </is>
      </c>
      <c r="G14" s="6" t="inlineStr">
        <is>
          <t>PAGADO</t>
        </is>
      </c>
    </row>
    <row r="15" ht="20" customHeight="1">
      <c r="A15" s="4" t="n">
        <v>12</v>
      </c>
      <c r="B15" s="4" t="inlineStr">
        <is>
          <t>15/07/2026</t>
        </is>
      </c>
      <c r="C15" s="4" t="inlineStr">
        <is>
          <t>A-10512</t>
        </is>
      </c>
      <c r="D15" s="7" t="inlineStr">
        <is>
          <t>ALFREDO DEL MAZO</t>
        </is>
      </c>
      <c r="E15" s="5" t="n">
        <v>10800.13</v>
      </c>
      <c r="F15" s="4" t="inlineStr">
        <is>
          <t>Tabla 2 ($915k)</t>
        </is>
      </c>
      <c r="G15" s="6" t="inlineStr">
        <is>
          <t>PAGADO</t>
        </is>
      </c>
    </row>
    <row r="16" ht="20" customHeight="1">
      <c r="A16" s="4" t="n">
        <v>13</v>
      </c>
      <c r="B16" s="4" t="inlineStr">
        <is>
          <t>15/07/2026</t>
        </is>
      </c>
      <c r="C16" s="4" t="inlineStr">
        <is>
          <t>A-10509</t>
        </is>
      </c>
      <c r="D16" s="7" t="inlineStr">
        <is>
          <t>MEXICO TOLUCA</t>
        </is>
      </c>
      <c r="E16" s="5" t="n">
        <v>29693.92</v>
      </c>
      <c r="F16" s="4" t="inlineStr">
        <is>
          <t>Tabla 2 ($915k)</t>
        </is>
      </c>
      <c r="G16" s="6" t="inlineStr">
        <is>
          <t>PAGADO</t>
        </is>
      </c>
    </row>
    <row r="17" ht="20" customHeight="1">
      <c r="A17" s="4" t="n">
        <v>14</v>
      </c>
      <c r="B17" s="4" t="inlineStr">
        <is>
          <t>15/07/2026</t>
        </is>
      </c>
      <c r="C17" s="4" t="inlineStr">
        <is>
          <t>A-10438</t>
        </is>
      </c>
      <c r="D17" s="7" t="inlineStr">
        <is>
          <t>P. DE ASFALTO HUIXQUILUCAN</t>
        </is>
      </c>
      <c r="E17" s="5" t="n">
        <v>8100.05</v>
      </c>
      <c r="F17" s="4" t="inlineStr">
        <is>
          <t>Tabla 2 ($915k)</t>
        </is>
      </c>
      <c r="G17" s="6" t="inlineStr">
        <is>
          <t>PAGADO</t>
        </is>
      </c>
    </row>
    <row r="18" ht="20" customHeight="1">
      <c r="A18" s="4" t="n">
        <v>15</v>
      </c>
      <c r="B18" s="4" t="inlineStr">
        <is>
          <t>15/07/2026</t>
        </is>
      </c>
      <c r="C18" s="4" t="inlineStr">
        <is>
          <t>A-10514</t>
        </is>
      </c>
      <c r="D18" s="7" t="inlineStr">
        <is>
          <t>P. DE ASFALTO HUIXQUILUCAN</t>
        </is>
      </c>
      <c r="E18" s="5" t="n">
        <v>27000.11</v>
      </c>
      <c r="F18" s="4" t="inlineStr">
        <is>
          <t>Tabla 2 ($915k)</t>
        </is>
      </c>
      <c r="G18" s="6" t="inlineStr">
        <is>
          <t>PAGADO</t>
        </is>
      </c>
    </row>
    <row r="19" ht="20" customHeight="1">
      <c r="A19" s="4" t="n">
        <v>16</v>
      </c>
      <c r="B19" s="4" t="inlineStr">
        <is>
          <t>15/07/2026</t>
        </is>
      </c>
      <c r="C19" s="4" t="inlineStr">
        <is>
          <t>A-10513</t>
        </is>
      </c>
      <c r="D19" s="7" t="inlineStr">
        <is>
          <t>PROVIDENCIA</t>
        </is>
      </c>
      <c r="E19" s="5" t="n">
        <v>5400.05</v>
      </c>
      <c r="F19" s="4" t="inlineStr">
        <is>
          <t>Tabla 2 ($915k)</t>
        </is>
      </c>
      <c r="G19" s="6" t="inlineStr">
        <is>
          <t>PAGADO</t>
        </is>
      </c>
    </row>
    <row r="20" ht="20" customHeight="1">
      <c r="A20" s="4" t="n">
        <v>17</v>
      </c>
      <c r="B20" s="4" t="inlineStr">
        <is>
          <t>15/07/2026</t>
        </is>
      </c>
      <c r="C20" s="4" t="inlineStr">
        <is>
          <t>A-10510</t>
        </is>
      </c>
      <c r="D20" s="7" t="inlineStr">
        <is>
          <t>TANQUE PEGASO</t>
        </is>
      </c>
      <c r="E20" s="5" t="n">
        <v>108000.36</v>
      </c>
      <c r="F20" s="4" t="inlineStr">
        <is>
          <t>Tabla 2 ($915k)</t>
        </is>
      </c>
      <c r="G20" s="6" t="inlineStr">
        <is>
          <t>PAGADO</t>
        </is>
      </c>
    </row>
    <row r="21" ht="20" customHeight="1">
      <c r="A21" s="4" t="n">
        <v>18</v>
      </c>
      <c r="B21" s="4" t="inlineStr">
        <is>
          <t>16/07/2026</t>
        </is>
      </c>
      <c r="C21" s="4" t="inlineStr">
        <is>
          <t>A-10446</t>
        </is>
      </c>
      <c r="D21" s="7" t="inlineStr">
        <is>
          <t>ALFREDO DEL MAZO</t>
        </is>
      </c>
      <c r="E21" s="5" t="n">
        <v>16200.1</v>
      </c>
      <c r="F21" s="4" t="inlineStr">
        <is>
          <t>Tabla 2 ($915k)</t>
        </is>
      </c>
      <c r="G21" s="6" t="inlineStr">
        <is>
          <t>PAGADO</t>
        </is>
      </c>
    </row>
    <row r="22" ht="20" customHeight="1">
      <c r="A22" s="4" t="n">
        <v>19</v>
      </c>
      <c r="B22" s="4" t="inlineStr">
        <is>
          <t>16/07/2026</t>
        </is>
      </c>
      <c r="C22" s="4" t="inlineStr">
        <is>
          <t>A-10453</t>
        </is>
      </c>
      <c r="D22" s="7" t="inlineStr">
        <is>
          <t>DEZAZOLVE CANALES</t>
        </is>
      </c>
      <c r="E22" s="5" t="n">
        <v>22950.13</v>
      </c>
      <c r="F22" s="4" t="inlineStr">
        <is>
          <t>Tabla 2 ($915k)</t>
        </is>
      </c>
      <c r="G22" s="6" t="inlineStr">
        <is>
          <t>PAGADO</t>
        </is>
      </c>
    </row>
    <row r="23" ht="20" customHeight="1">
      <c r="A23" s="4" t="n">
        <v>20</v>
      </c>
      <c r="B23" s="4" t="inlineStr">
        <is>
          <t>16/07/2026</t>
        </is>
      </c>
      <c r="C23" s="4" t="inlineStr">
        <is>
          <t>A-10449</t>
        </is>
      </c>
      <c r="D23" s="7" t="inlineStr">
        <is>
          <t>P. DE ASFALTO HUIXQUILUCAN</t>
        </is>
      </c>
      <c r="E23" s="5" t="n">
        <v>13500.55</v>
      </c>
      <c r="F23" s="4" t="inlineStr">
        <is>
          <t>Tabla 2 ($915k)</t>
        </is>
      </c>
      <c r="G23" s="6" t="inlineStr">
        <is>
          <t>PAGADO</t>
        </is>
      </c>
    </row>
    <row r="24" ht="20" customHeight="1">
      <c r="A24" s="4" t="n">
        <v>21</v>
      </c>
      <c r="B24" s="4" t="inlineStr">
        <is>
          <t>16/07/2026</t>
        </is>
      </c>
      <c r="C24" s="4" t="inlineStr">
        <is>
          <t>A-10447</t>
        </is>
      </c>
      <c r="D24" s="7" t="inlineStr">
        <is>
          <t>PROVIDENCIA</t>
        </is>
      </c>
      <c r="E24" s="5" t="n">
        <v>10800.1</v>
      </c>
      <c r="F24" s="4" t="inlineStr">
        <is>
          <t>Tabla 2 ($915k)</t>
        </is>
      </c>
      <c r="G24" s="6" t="inlineStr">
        <is>
          <t>PAGADO</t>
        </is>
      </c>
    </row>
    <row r="25" ht="20" customHeight="1">
      <c r="A25" s="4" t="n">
        <v>22</v>
      </c>
      <c r="B25" s="4" t="inlineStr">
        <is>
          <t>16/07/2026</t>
        </is>
      </c>
      <c r="C25" s="4" t="inlineStr">
        <is>
          <t>A-10454</t>
        </is>
      </c>
      <c r="D25" s="7" t="inlineStr">
        <is>
          <t>TANQUE PEGASO</t>
        </is>
      </c>
      <c r="E25" s="5" t="n">
        <v>1800.02</v>
      </c>
      <c r="F25" s="4" t="inlineStr">
        <is>
          <t>Tabla 2 ($915k)</t>
        </is>
      </c>
      <c r="G25" s="6" t="inlineStr">
        <is>
          <t>PAGADO</t>
        </is>
      </c>
    </row>
    <row r="26" ht="20" customHeight="1">
      <c r="A26" s="4" t="n">
        <v>23</v>
      </c>
      <c r="B26" s="4" t="inlineStr">
        <is>
          <t>17/07/2026</t>
        </is>
      </c>
      <c r="C26" s="4" t="inlineStr">
        <is>
          <t>A-10457</t>
        </is>
      </c>
      <c r="D26" s="7" t="inlineStr">
        <is>
          <t>LERMA</t>
        </is>
      </c>
      <c r="E26" s="5" t="n">
        <v>27000.11</v>
      </c>
      <c r="F26" s="4" t="inlineStr">
        <is>
          <t>Tabla 2 ($915k)</t>
        </is>
      </c>
      <c r="G26" s="6" t="inlineStr">
        <is>
          <t>PAGADO</t>
        </is>
      </c>
    </row>
    <row r="27" ht="20" customHeight="1">
      <c r="A27" s="4" t="n">
        <v>24</v>
      </c>
      <c r="B27" s="4" t="inlineStr">
        <is>
          <t>17/07/2026</t>
        </is>
      </c>
      <c r="C27" s="4" t="inlineStr">
        <is>
          <t>A-10459</t>
        </is>
      </c>
      <c r="D27" s="7" t="inlineStr">
        <is>
          <t>MEXICO TOLUCA</t>
        </is>
      </c>
      <c r="E27" s="5" t="n">
        <v>32400.12</v>
      </c>
      <c r="F27" s="4" t="inlineStr">
        <is>
          <t>Tabla 2 ($915k)</t>
        </is>
      </c>
      <c r="G27" s="6" t="inlineStr">
        <is>
          <t>PAGADO</t>
        </is>
      </c>
    </row>
    <row r="28" ht="20" customHeight="1">
      <c r="A28" s="4" t="n">
        <v>25</v>
      </c>
      <c r="B28" s="4" t="inlineStr">
        <is>
          <t>17/07/2026</t>
        </is>
      </c>
      <c r="C28" s="4" t="inlineStr">
        <is>
          <t>A-10458</t>
        </is>
      </c>
      <c r="D28" s="7" t="inlineStr">
        <is>
          <t>P. DE ASFALTO HUIXQUILUCAN</t>
        </is>
      </c>
      <c r="E28" s="5" t="n">
        <v>10800.06</v>
      </c>
      <c r="F28" s="4" t="inlineStr">
        <is>
          <t>Tabla 2 ($915k)</t>
        </is>
      </c>
      <c r="G28" s="6" t="inlineStr">
        <is>
          <t>PAGADO</t>
        </is>
      </c>
    </row>
    <row r="29" ht="20" customHeight="1">
      <c r="A29" s="4" t="n">
        <v>26</v>
      </c>
      <c r="B29" s="4" t="inlineStr">
        <is>
          <t>17/07/2026</t>
        </is>
      </c>
      <c r="C29" s="4" t="inlineStr">
        <is>
          <t>A-23783100</t>
        </is>
      </c>
      <c r="D29" s="7" t="inlineStr">
        <is>
          <t>P. DE ASFALTO HUIXQUILUCAN</t>
        </is>
      </c>
      <c r="E29" s="5" t="n">
        <v>5400.05</v>
      </c>
      <c r="F29" s="4" t="inlineStr">
        <is>
          <t>Tabla 1 ($747k)</t>
        </is>
      </c>
      <c r="G29" s="6" t="inlineStr">
        <is>
          <t>PAGADO</t>
        </is>
      </c>
    </row>
    <row r="30" ht="20" customHeight="1">
      <c r="A30" s="4" t="n">
        <v>27</v>
      </c>
      <c r="B30" s="4" t="inlineStr">
        <is>
          <t>18/07/2026</t>
        </is>
      </c>
      <c r="C30" s="4" t="inlineStr">
        <is>
          <t>A-10474</t>
        </is>
      </c>
      <c r="D30" s="7" t="inlineStr">
        <is>
          <t>ALFREDO DEL MAZO</t>
        </is>
      </c>
      <c r="E30" s="5" t="n">
        <v>20250.13</v>
      </c>
      <c r="F30" s="4" t="inlineStr">
        <is>
          <t>Tabla 2 ($915k)</t>
        </is>
      </c>
      <c r="G30" s="6" t="inlineStr">
        <is>
          <t>PAGADO</t>
        </is>
      </c>
    </row>
    <row r="31" ht="25" customHeight="1">
      <c r="A31" s="9" t="inlineStr">
        <is>
          <t>TOTAL SEMANA 29</t>
        </is>
      </c>
      <c r="B31" s="19" t="n"/>
      <c r="C31" s="19" t="n"/>
      <c r="D31" s="19" t="n"/>
      <c r="E31" s="11">
        <f>SUM(E4:E30)</f>
        <v/>
      </c>
      <c r="F31" s="9" t="inlineStr">
        <is>
          <t>27 Facturas</t>
        </is>
      </c>
      <c r="G31" s="9" t="inlineStr">
        <is>
          <t>LIQUIDADO</t>
        </is>
      </c>
    </row>
  </sheetData>
  <mergeCells count="2">
    <mergeCell ref="A31:D3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17" customWidth="1" min="3" max="3"/>
    <col width="30" customWidth="1" min="4" max="4"/>
    <col width="30" customWidth="1" min="5" max="5"/>
    <col width="21" customWidth="1" min="6" max="6"/>
    <col width="13" customWidth="1" min="7" max="7"/>
  </cols>
  <sheetData>
    <row r="1" ht="35" customHeight="1">
      <c r="A1" s="1" t="inlineStr">
        <is>
          <t>PAGOS A MOBIL HUIXQUILUCAN - SEMANA 30 DE 2026</t>
        </is>
      </c>
    </row>
    <row r="2"/>
    <row r="3" ht="25" customHeight="1">
      <c r="A3" s="3" t="inlineStr">
        <is>
          <t>No.</t>
        </is>
      </c>
      <c r="B3" s="3" t="inlineStr">
        <is>
          <t>Fecha Suministro</t>
        </is>
      </c>
      <c r="C3" s="3" t="inlineStr">
        <is>
          <t>Folio Factura</t>
        </is>
      </c>
      <c r="D3" s="3" t="inlineStr">
        <is>
          <t>Centro de Trabajo / Obra</t>
        </is>
      </c>
      <c r="E3" s="3" t="inlineStr">
        <is>
          <t>Importe Pagado con IVA ($)</t>
        </is>
      </c>
      <c r="F3" s="3" t="inlineStr">
        <is>
          <t>Tabla Origen Pago</t>
        </is>
      </c>
      <c r="G3" s="3" t="inlineStr">
        <is>
          <t>Estatus</t>
        </is>
      </c>
    </row>
    <row r="4" ht="20" customHeight="1">
      <c r="A4" s="4" t="n">
        <v>1</v>
      </c>
      <c r="B4" s="4" t="inlineStr">
        <is>
          <t>20/07/2026</t>
        </is>
      </c>
      <c r="C4" s="4" t="inlineStr">
        <is>
          <t>A-10492</t>
        </is>
      </c>
      <c r="D4" s="7" t="inlineStr">
        <is>
          <t>ALFREDO DEL MAZO</t>
        </is>
      </c>
      <c r="E4" s="5" t="n">
        <v>10800.97</v>
      </c>
      <c r="F4" s="4" t="inlineStr">
        <is>
          <t>Tabla 1 ($747k)</t>
        </is>
      </c>
      <c r="G4" s="6" t="inlineStr">
        <is>
          <t>PAGADO</t>
        </is>
      </c>
    </row>
    <row r="5" ht="20" customHeight="1">
      <c r="A5" s="4" t="n">
        <v>2</v>
      </c>
      <c r="B5" s="4" t="inlineStr">
        <is>
          <t>20/07/2026</t>
        </is>
      </c>
      <c r="C5" s="4" t="inlineStr">
        <is>
          <t>A-10484</t>
        </is>
      </c>
      <c r="D5" s="7" t="inlineStr">
        <is>
          <t>BACHEO TOLUCA</t>
        </is>
      </c>
      <c r="E5" s="5" t="n">
        <v>1857.15</v>
      </c>
      <c r="F5" s="4" t="inlineStr">
        <is>
          <t>Tabla 1 ($747k)</t>
        </is>
      </c>
      <c r="G5" s="6" t="inlineStr">
        <is>
          <t>PAGADO</t>
        </is>
      </c>
    </row>
    <row r="6" ht="20" customHeight="1">
      <c r="A6" s="4" t="n">
        <v>3</v>
      </c>
      <c r="B6" s="4" t="inlineStr">
        <is>
          <t>20/07/2026</t>
        </is>
      </c>
      <c r="C6" s="4" t="inlineStr">
        <is>
          <t>A-10484</t>
        </is>
      </c>
      <c r="D6" s="7" t="inlineStr">
        <is>
          <t>BACHEO TOLUCA</t>
        </is>
      </c>
      <c r="E6" s="5" t="n">
        <v>11642.85</v>
      </c>
      <c r="F6" s="4" t="inlineStr">
        <is>
          <t>Tabla 2 ($915k)</t>
        </is>
      </c>
      <c r="G6" s="6" t="inlineStr">
        <is>
          <t>PAGADO</t>
        </is>
      </c>
    </row>
    <row r="7" ht="20" customHeight="1">
      <c r="A7" s="4" t="n">
        <v>4</v>
      </c>
      <c r="B7" s="4" t="inlineStr">
        <is>
          <t>20/07/2026</t>
        </is>
      </c>
      <c r="C7" s="4" t="inlineStr">
        <is>
          <t>A-10483</t>
        </is>
      </c>
      <c r="D7" s="7" t="inlineStr">
        <is>
          <t>DEZAZOLVE CANALES</t>
        </is>
      </c>
      <c r="E7" s="5" t="n">
        <v>16200.1</v>
      </c>
      <c r="F7" s="4" t="inlineStr">
        <is>
          <t>Tabla 2 ($915k)</t>
        </is>
      </c>
      <c r="G7" s="6" t="inlineStr">
        <is>
          <t>PAGADO</t>
        </is>
      </c>
    </row>
    <row r="8" ht="20" customHeight="1">
      <c r="A8" s="4" t="n">
        <v>5</v>
      </c>
      <c r="B8" s="4" t="inlineStr">
        <is>
          <t>20/07/2026</t>
        </is>
      </c>
      <c r="C8" s="4" t="inlineStr">
        <is>
          <t>A-10480</t>
        </is>
      </c>
      <c r="D8" s="7" t="inlineStr">
        <is>
          <t>LERMA</t>
        </is>
      </c>
      <c r="E8" s="5" t="n">
        <v>14715.08</v>
      </c>
      <c r="F8" s="4" t="inlineStr">
        <is>
          <t>Tabla 2 ($915k)</t>
        </is>
      </c>
      <c r="G8" s="6" t="inlineStr">
        <is>
          <t>PAGADO</t>
        </is>
      </c>
    </row>
    <row r="9" ht="20" customHeight="1">
      <c r="A9" s="4" t="n">
        <v>6</v>
      </c>
      <c r="B9" s="4" t="inlineStr">
        <is>
          <t>20/07/2026</t>
        </is>
      </c>
      <c r="C9" s="4" t="inlineStr">
        <is>
          <t>A-10485</t>
        </is>
      </c>
      <c r="D9" s="7" t="inlineStr">
        <is>
          <t>P. DE ASFALTO HUIXQUILUCAN</t>
        </is>
      </c>
      <c r="E9" s="5" t="n">
        <v>12150.08</v>
      </c>
      <c r="F9" s="4" t="inlineStr">
        <is>
          <t>Tabla 1 ($747k)</t>
        </is>
      </c>
      <c r="G9" s="6" t="inlineStr">
        <is>
          <t>PAGADO</t>
        </is>
      </c>
    </row>
    <row r="10" ht="20" customHeight="1">
      <c r="A10" s="4" t="n">
        <v>7</v>
      </c>
      <c r="B10" s="4" t="inlineStr">
        <is>
          <t>20/07/2026</t>
        </is>
      </c>
      <c r="C10" s="4" t="inlineStr">
        <is>
          <t>A-10491</t>
        </is>
      </c>
      <c r="D10" s="7" t="inlineStr">
        <is>
          <t>P. DE ASFALTO HUIXQUILUCAN</t>
        </is>
      </c>
      <c r="E10" s="5" t="n">
        <v>21600.09</v>
      </c>
      <c r="F10" s="4" t="inlineStr">
        <is>
          <t>Tabla 1 ($747k)</t>
        </is>
      </c>
      <c r="G10" s="6" t="inlineStr">
        <is>
          <t>PAGADO</t>
        </is>
      </c>
    </row>
    <row r="11" ht="20" customHeight="1">
      <c r="A11" s="4" t="n">
        <v>8</v>
      </c>
      <c r="B11" s="4" t="inlineStr">
        <is>
          <t>20/07/2026</t>
        </is>
      </c>
      <c r="C11" s="4" t="inlineStr">
        <is>
          <t>A-10479</t>
        </is>
      </c>
      <c r="D11" s="7" t="inlineStr">
        <is>
          <t>PROVIDENCIA</t>
        </is>
      </c>
      <c r="E11" s="5" t="n">
        <v>12285.08</v>
      </c>
      <c r="F11" s="4" t="inlineStr">
        <is>
          <t>Tabla 2 ($915k)</t>
        </is>
      </c>
      <c r="G11" s="6" t="inlineStr">
        <is>
          <t>PAGADO</t>
        </is>
      </c>
    </row>
    <row r="12" ht="20" customHeight="1">
      <c r="A12" s="4" t="n">
        <v>9</v>
      </c>
      <c r="B12" s="4" t="inlineStr">
        <is>
          <t>21/07/2026</t>
        </is>
      </c>
      <c r="C12" s="4" t="inlineStr">
        <is>
          <t>A-10532</t>
        </is>
      </c>
      <c r="D12" s="7" t="inlineStr">
        <is>
          <t>ALFREDO DEL MAZO</t>
        </is>
      </c>
      <c r="E12" s="5" t="n">
        <v>5400.05</v>
      </c>
      <c r="F12" s="4" t="inlineStr">
        <is>
          <t>Tabla 1 ($747k)</t>
        </is>
      </c>
      <c r="G12" s="6" t="inlineStr">
        <is>
          <t>PAGADO</t>
        </is>
      </c>
    </row>
    <row r="13" ht="20" customHeight="1">
      <c r="A13" s="4" t="n">
        <v>10</v>
      </c>
      <c r="B13" s="4" t="inlineStr">
        <is>
          <t>21/07/2026</t>
        </is>
      </c>
      <c r="C13" s="4" t="inlineStr">
        <is>
          <t>A-10521</t>
        </is>
      </c>
      <c r="D13" s="7" t="inlineStr">
        <is>
          <t>DEZAZOLVE CANALES</t>
        </is>
      </c>
      <c r="E13" s="5" t="n">
        <v>21600.15</v>
      </c>
      <c r="F13" s="4" t="inlineStr">
        <is>
          <t>Tabla 1 ($747k)</t>
        </is>
      </c>
      <c r="G13" s="6" t="inlineStr">
        <is>
          <t>PAGADO</t>
        </is>
      </c>
    </row>
    <row r="14" ht="20" customHeight="1">
      <c r="A14" s="4" t="n">
        <v>11</v>
      </c>
      <c r="B14" s="4" t="inlineStr">
        <is>
          <t>21/07/2026</t>
        </is>
      </c>
      <c r="C14" s="4" t="inlineStr">
        <is>
          <t>A-10522</t>
        </is>
      </c>
      <c r="D14" s="7" t="inlineStr">
        <is>
          <t>MEXICO TOLUCA</t>
        </is>
      </c>
      <c r="E14" s="5" t="n">
        <v>25925</v>
      </c>
      <c r="F14" s="4" t="inlineStr">
        <is>
          <t>Tabla 1 ($747k)</t>
        </is>
      </c>
      <c r="G14" s="6" t="inlineStr">
        <is>
          <t>PAGADO</t>
        </is>
      </c>
    </row>
    <row r="15" ht="20" customHeight="1">
      <c r="A15" s="4" t="n">
        <v>12</v>
      </c>
      <c r="B15" s="4" t="inlineStr">
        <is>
          <t>21/07/2026</t>
        </is>
      </c>
      <c r="C15" s="4" t="inlineStr">
        <is>
          <t>A-10520</t>
        </is>
      </c>
      <c r="D15" s="7" t="inlineStr">
        <is>
          <t>P. DE ASFALTO HUIXQUILUCAN</t>
        </is>
      </c>
      <c r="E15" s="5" t="n">
        <v>10800.13</v>
      </c>
      <c r="F15" s="4" t="inlineStr">
        <is>
          <t>Tabla 1 ($747k)</t>
        </is>
      </c>
      <c r="G15" s="6" t="inlineStr">
        <is>
          <t>PAGADO</t>
        </is>
      </c>
    </row>
    <row r="16" ht="20" customHeight="1">
      <c r="A16" s="4" t="n">
        <v>13</v>
      </c>
      <c r="B16" s="4" t="inlineStr">
        <is>
          <t>22/07/2026</t>
        </is>
      </c>
      <c r="C16" s="4" t="inlineStr">
        <is>
          <t>A-10543</t>
        </is>
      </c>
      <c r="D16" s="7" t="inlineStr">
        <is>
          <t>DEZAZOLVE CANALES</t>
        </is>
      </c>
      <c r="E16" s="5" t="n">
        <v>21600.15</v>
      </c>
      <c r="F16" s="4" t="inlineStr">
        <is>
          <t>Tabla 1 ($747k)</t>
        </is>
      </c>
      <c r="G16" s="6" t="inlineStr">
        <is>
          <t>PAGADO</t>
        </is>
      </c>
    </row>
    <row r="17" ht="20" customHeight="1">
      <c r="A17" s="4" t="n">
        <v>14</v>
      </c>
      <c r="B17" s="4" t="inlineStr">
        <is>
          <t>22/07/2026</t>
        </is>
      </c>
      <c r="C17" s="4" t="inlineStr">
        <is>
          <t>A-10535</t>
        </is>
      </c>
      <c r="D17" s="7" t="inlineStr">
        <is>
          <t>P. DE ASFALTO HUIXQUILUCAN</t>
        </is>
      </c>
      <c r="E17" s="5" t="n">
        <v>21600.15</v>
      </c>
      <c r="F17" s="4" t="inlineStr">
        <is>
          <t>Tabla 1 ($747k)</t>
        </is>
      </c>
      <c r="G17" s="6" t="inlineStr">
        <is>
          <t>PAGADO</t>
        </is>
      </c>
    </row>
    <row r="18" ht="20" customHeight="1">
      <c r="A18" s="4" t="n">
        <v>15</v>
      </c>
      <c r="B18" s="4" t="inlineStr">
        <is>
          <t>23/07/2026</t>
        </is>
      </c>
      <c r="C18" s="4" t="inlineStr">
        <is>
          <t>A-10544</t>
        </is>
      </c>
      <c r="D18" s="7" t="inlineStr">
        <is>
          <t>ALFREDO DEL MAZO</t>
        </is>
      </c>
      <c r="E18" s="5" t="n">
        <v>8100</v>
      </c>
      <c r="F18" s="4" t="inlineStr">
        <is>
          <t>Tabla 1 ($747k)</t>
        </is>
      </c>
      <c r="G18" s="6" t="inlineStr">
        <is>
          <t>PAGADO</t>
        </is>
      </c>
    </row>
    <row r="19" ht="20" customHeight="1">
      <c r="A19" s="4" t="n">
        <v>16</v>
      </c>
      <c r="B19" s="4" t="inlineStr">
        <is>
          <t>23/07/2026</t>
        </is>
      </c>
      <c r="C19" s="4" t="inlineStr">
        <is>
          <t>A-10572</t>
        </is>
      </c>
      <c r="D19" s="7" t="inlineStr">
        <is>
          <t>ALFREDO DEL MAZO</t>
        </is>
      </c>
      <c r="E19" s="5" t="n">
        <v>14850.08</v>
      </c>
      <c r="F19" s="4" t="inlineStr">
        <is>
          <t>Tabla 1 ($747k)</t>
        </is>
      </c>
      <c r="G19" s="6" t="inlineStr">
        <is>
          <t>PAGADO</t>
        </is>
      </c>
    </row>
    <row r="20" ht="20" customHeight="1">
      <c r="A20" s="4" t="n">
        <v>17</v>
      </c>
      <c r="B20" s="4" t="inlineStr">
        <is>
          <t>23/07/2026</t>
        </is>
      </c>
      <c r="C20" s="4" t="inlineStr">
        <is>
          <t>A-10577</t>
        </is>
      </c>
      <c r="D20" s="7" t="inlineStr">
        <is>
          <t>ALFREDO DEL MAZO</t>
        </is>
      </c>
      <c r="E20" s="5" t="n">
        <v>24840.1</v>
      </c>
      <c r="F20" s="4" t="inlineStr">
        <is>
          <t>Tabla 1 ($747k)</t>
        </is>
      </c>
      <c r="G20" s="6" t="inlineStr">
        <is>
          <t>PAGADO</t>
        </is>
      </c>
    </row>
    <row r="21" ht="20" customHeight="1">
      <c r="A21" s="4" t="n">
        <v>18</v>
      </c>
      <c r="B21" s="4" t="inlineStr">
        <is>
          <t>23/07/2026</t>
        </is>
      </c>
      <c r="C21" s="4" t="inlineStr">
        <is>
          <t>A-10565</t>
        </is>
      </c>
      <c r="D21" s="7" t="inlineStr">
        <is>
          <t>CONSTITUCION</t>
        </is>
      </c>
      <c r="E21" s="5" t="n">
        <v>7290.05</v>
      </c>
      <c r="F21" s="4" t="inlineStr">
        <is>
          <t>Tabla 1 ($747k)</t>
        </is>
      </c>
      <c r="G21" s="6" t="inlineStr">
        <is>
          <t>PAGADO</t>
        </is>
      </c>
    </row>
    <row r="22" ht="20" customHeight="1">
      <c r="A22" s="4" t="n">
        <v>19</v>
      </c>
      <c r="B22" s="4" t="inlineStr">
        <is>
          <t>23/07/2026</t>
        </is>
      </c>
      <c r="C22" s="4" t="inlineStr">
        <is>
          <t>A-10564</t>
        </is>
      </c>
      <c r="D22" s="7" t="inlineStr">
        <is>
          <t>DEZAZOLVE CANALES</t>
        </is>
      </c>
      <c r="E22" s="5" t="n">
        <v>4860.05</v>
      </c>
      <c r="F22" s="4" t="inlineStr">
        <is>
          <t>Tabla 1 ($747k)</t>
        </is>
      </c>
      <c r="G22" s="6" t="inlineStr">
        <is>
          <t>PAGADO</t>
        </is>
      </c>
    </row>
    <row r="23" ht="20" customHeight="1">
      <c r="A23" s="4" t="n">
        <v>20</v>
      </c>
      <c r="B23" s="4" t="inlineStr">
        <is>
          <t>23/07/2026</t>
        </is>
      </c>
      <c r="C23" s="4" t="inlineStr">
        <is>
          <t>A-10563</t>
        </is>
      </c>
      <c r="D23" s="7" t="inlineStr">
        <is>
          <t>MEXICO TOLUCA</t>
        </is>
      </c>
      <c r="E23" s="5" t="n">
        <v>25650.13</v>
      </c>
      <c r="F23" s="4" t="inlineStr">
        <is>
          <t>Tabla 1 ($747k)</t>
        </is>
      </c>
      <c r="G23" s="6" t="inlineStr">
        <is>
          <t>PAGADO</t>
        </is>
      </c>
    </row>
    <row r="24" ht="20" customHeight="1">
      <c r="A24" s="4" t="n">
        <v>21</v>
      </c>
      <c r="B24" s="4" t="inlineStr">
        <is>
          <t>23/07/2026</t>
        </is>
      </c>
      <c r="C24" s="4" t="inlineStr">
        <is>
          <t>A-10556</t>
        </is>
      </c>
      <c r="D24" s="7" t="inlineStr">
        <is>
          <t>P. DE ASFALTO HUIXQUILUCAN</t>
        </is>
      </c>
      <c r="E24" s="5" t="n">
        <v>10800.1</v>
      </c>
      <c r="F24" s="4" t="inlineStr">
        <is>
          <t>Tabla 1 ($747k)</t>
        </is>
      </c>
      <c r="G24" s="6" t="inlineStr">
        <is>
          <t>PAGADO</t>
        </is>
      </c>
    </row>
    <row r="25" ht="20" customHeight="1">
      <c r="A25" s="4" t="n">
        <v>22</v>
      </c>
      <c r="B25" s="4" t="inlineStr">
        <is>
          <t>24/07/2026</t>
        </is>
      </c>
      <c r="C25" s="4" t="inlineStr">
        <is>
          <t>A-10583</t>
        </is>
      </c>
      <c r="D25" s="7" t="inlineStr">
        <is>
          <t>ALFREDO DEL MAZO</t>
        </is>
      </c>
      <c r="E25" s="5" t="n">
        <v>18900.06</v>
      </c>
      <c r="F25" s="4" t="inlineStr">
        <is>
          <t>Tabla 1 ($747k)</t>
        </is>
      </c>
      <c r="G25" s="6" t="inlineStr">
        <is>
          <t>PAGADO</t>
        </is>
      </c>
    </row>
    <row r="26" ht="20" customHeight="1">
      <c r="A26" s="4" t="n">
        <v>23</v>
      </c>
      <c r="B26" s="4" t="inlineStr">
        <is>
          <t>24/07/2026</t>
        </is>
      </c>
      <c r="C26" s="4" t="inlineStr">
        <is>
          <t>A-10588</t>
        </is>
      </c>
      <c r="D26" s="7" t="inlineStr">
        <is>
          <t>ALFREDO DEL MAZO</t>
        </is>
      </c>
      <c r="E26" s="5" t="n">
        <v>12960.06</v>
      </c>
      <c r="F26" s="4" t="inlineStr">
        <is>
          <t>Tabla 1 ($747k)</t>
        </is>
      </c>
      <c r="G26" s="6" t="inlineStr">
        <is>
          <t>PAGADO</t>
        </is>
      </c>
    </row>
    <row r="27" ht="20" customHeight="1">
      <c r="A27" s="4" t="n">
        <v>24</v>
      </c>
      <c r="B27" s="4" t="inlineStr">
        <is>
          <t>24/07/2026</t>
        </is>
      </c>
      <c r="C27" s="4" t="inlineStr">
        <is>
          <t>A-10586</t>
        </is>
      </c>
      <c r="D27" s="7" t="inlineStr">
        <is>
          <t>DEZAZOLVE CANALES</t>
        </is>
      </c>
      <c r="E27" s="5" t="n">
        <v>14364.05</v>
      </c>
      <c r="F27" s="4" t="inlineStr">
        <is>
          <t>Tabla 1 ($747k)</t>
        </is>
      </c>
      <c r="G27" s="6" t="inlineStr">
        <is>
          <t>PAGADO</t>
        </is>
      </c>
    </row>
    <row r="28" ht="20" customHeight="1">
      <c r="A28" s="4" t="n">
        <v>25</v>
      </c>
      <c r="B28" s="4" t="inlineStr">
        <is>
          <t>24/07/2026</t>
        </is>
      </c>
      <c r="C28" s="4" t="inlineStr">
        <is>
          <t>A-10587</t>
        </is>
      </c>
      <c r="D28" s="7" t="inlineStr">
        <is>
          <t>MEXICO TOLUCA</t>
        </is>
      </c>
      <c r="E28" s="5" t="n">
        <v>1080.03</v>
      </c>
      <c r="F28" s="4" t="inlineStr">
        <is>
          <t>Tabla 1 ($747k)</t>
        </is>
      </c>
      <c r="G28" s="6" t="inlineStr">
        <is>
          <t>PAGADO</t>
        </is>
      </c>
    </row>
    <row r="29" ht="20" customHeight="1">
      <c r="A29" s="4" t="n">
        <v>26</v>
      </c>
      <c r="B29" s="4" t="inlineStr">
        <is>
          <t>24/07/2026</t>
        </is>
      </c>
      <c r="C29" s="4" t="inlineStr">
        <is>
          <t>A-10579</t>
        </is>
      </c>
      <c r="D29" s="7" t="inlineStr">
        <is>
          <t>P. DE ASFALTO HUIXQUILUCAN</t>
        </is>
      </c>
      <c r="E29" s="5" t="n">
        <v>10800.1</v>
      </c>
      <c r="F29" s="4" t="inlineStr">
        <is>
          <t>Tabla 1 ($747k)</t>
        </is>
      </c>
      <c r="G29" s="6" t="inlineStr">
        <is>
          <t>PAGADO</t>
        </is>
      </c>
    </row>
    <row r="30" ht="20" customHeight="1">
      <c r="A30" s="4" t="n">
        <v>27</v>
      </c>
      <c r="B30" s="4" t="inlineStr">
        <is>
          <t>25/07/2026</t>
        </is>
      </c>
      <c r="C30" s="4" t="inlineStr">
        <is>
          <t>A-10589</t>
        </is>
      </c>
      <c r="D30" s="7" t="inlineStr">
        <is>
          <t>MEXICO TOLUCA</t>
        </is>
      </c>
      <c r="E30" s="5" t="n">
        <v>24840.1</v>
      </c>
      <c r="F30" s="4" t="inlineStr">
        <is>
          <t>Tabla 1 ($747k)</t>
        </is>
      </c>
      <c r="G30" s="6" t="inlineStr">
        <is>
          <t>PAGADO</t>
        </is>
      </c>
    </row>
    <row r="31" ht="25" customHeight="1">
      <c r="A31" s="9" t="inlineStr">
        <is>
          <t>TOTAL SEMANA 30</t>
        </is>
      </c>
      <c r="B31" s="19" t="n"/>
      <c r="C31" s="19" t="n"/>
      <c r="D31" s="19" t="n"/>
      <c r="E31" s="11">
        <f>SUM(E4:E30)</f>
        <v/>
      </c>
      <c r="F31" s="9" t="inlineStr">
        <is>
          <t>27 Facturas</t>
        </is>
      </c>
      <c r="G31" s="9" t="inlineStr">
        <is>
          <t>LIQUIDADO</t>
        </is>
      </c>
    </row>
  </sheetData>
  <mergeCells count="2">
    <mergeCell ref="A31:D3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0" customWidth="1" min="2" max="2"/>
    <col width="17" customWidth="1" min="3" max="3"/>
    <col width="30" customWidth="1" min="4" max="4"/>
    <col width="30" customWidth="1" min="5" max="5"/>
    <col width="21" customWidth="1" min="6" max="6"/>
    <col width="13" customWidth="1" min="7" max="7"/>
  </cols>
  <sheetData>
    <row r="1" ht="35" customHeight="1">
      <c r="A1" s="1" t="inlineStr">
        <is>
          <t>PAGOS A MOBIL HUIXQUILUCAN - SEMANA 31 DE 2026</t>
        </is>
      </c>
    </row>
    <row r="2"/>
    <row r="3" ht="25" customHeight="1">
      <c r="A3" s="3" t="inlineStr">
        <is>
          <t>No.</t>
        </is>
      </c>
      <c r="B3" s="3" t="inlineStr">
        <is>
          <t>Fecha Suministro</t>
        </is>
      </c>
      <c r="C3" s="3" t="inlineStr">
        <is>
          <t>Folio Factura</t>
        </is>
      </c>
      <c r="D3" s="3" t="inlineStr">
        <is>
          <t>Centro de Trabajo / Obra</t>
        </is>
      </c>
      <c r="E3" s="3" t="inlineStr">
        <is>
          <t>Importe Pagado con IVA ($)</t>
        </is>
      </c>
      <c r="F3" s="3" t="inlineStr">
        <is>
          <t>Tabla Origen Pago</t>
        </is>
      </c>
      <c r="G3" s="3" t="inlineStr">
        <is>
          <t>Estatus</t>
        </is>
      </c>
    </row>
    <row r="4" ht="20" customHeight="1">
      <c r="A4" s="4" t="n">
        <v>1</v>
      </c>
      <c r="B4" s="4" t="inlineStr">
        <is>
          <t>27/07/2026</t>
        </is>
      </c>
      <c r="C4" s="4" t="inlineStr">
        <is>
          <t>A-10653</t>
        </is>
      </c>
      <c r="D4" s="7" t="inlineStr">
        <is>
          <t>BACHEO TOLUCA</t>
        </is>
      </c>
      <c r="E4" s="5" t="n">
        <v>3105</v>
      </c>
      <c r="F4" s="4" t="inlineStr">
        <is>
          <t>Tabla 1 ($747k)</t>
        </is>
      </c>
      <c r="G4" s="6" t="inlineStr">
        <is>
          <t>PAGADO</t>
        </is>
      </c>
    </row>
    <row r="5" ht="20" customHeight="1">
      <c r="A5" s="4" t="n">
        <v>2</v>
      </c>
      <c r="B5" s="4" t="inlineStr">
        <is>
          <t>27/07/2026</t>
        </is>
      </c>
      <c r="C5" s="4" t="inlineStr">
        <is>
          <t>A-10654</t>
        </is>
      </c>
      <c r="D5" s="7" t="inlineStr">
        <is>
          <t>DEZAZOLVE CANALES</t>
        </is>
      </c>
      <c r="E5" s="5" t="n">
        <v>24852.31</v>
      </c>
      <c r="F5" s="4" t="inlineStr">
        <is>
          <t>Tabla 1 ($747k)</t>
        </is>
      </c>
      <c r="G5" s="6" t="inlineStr">
        <is>
          <t>PAGADO</t>
        </is>
      </c>
    </row>
    <row r="6" ht="20" customHeight="1">
      <c r="A6" s="4" t="n">
        <v>3</v>
      </c>
      <c r="B6" s="4" t="inlineStr">
        <is>
          <t>27/07/2026</t>
        </is>
      </c>
      <c r="C6" s="4" t="inlineStr">
        <is>
          <t>A-10603</t>
        </is>
      </c>
      <c r="D6" s="7" t="inlineStr">
        <is>
          <t>LERMA</t>
        </is>
      </c>
      <c r="E6" s="5" t="n">
        <v>9720.030000000001</v>
      </c>
      <c r="F6" s="4" t="inlineStr">
        <is>
          <t>Tabla 1 ($747k)</t>
        </is>
      </c>
      <c r="G6" s="6" t="inlineStr">
        <is>
          <t>PAGADO</t>
        </is>
      </c>
    </row>
    <row r="7" ht="20" customHeight="1">
      <c r="A7" s="4" t="n">
        <v>4</v>
      </c>
      <c r="B7" s="4" t="inlineStr">
        <is>
          <t>27/07/2026</t>
        </is>
      </c>
      <c r="C7" s="4" t="inlineStr">
        <is>
          <t>A-10581</t>
        </is>
      </c>
      <c r="D7" s="7" t="inlineStr">
        <is>
          <t>P. DE ASFALTO HUIXQUILUCAN</t>
        </is>
      </c>
      <c r="E7" s="5" t="n">
        <v>10800.1</v>
      </c>
      <c r="F7" s="4" t="inlineStr">
        <is>
          <t>Tabla 1 ($747k)</t>
        </is>
      </c>
      <c r="G7" s="6" t="inlineStr">
        <is>
          <t>PAGADO</t>
        </is>
      </c>
    </row>
    <row r="8" ht="20" customHeight="1">
      <c r="A8" s="4" t="n">
        <v>5</v>
      </c>
      <c r="B8" s="4" t="inlineStr">
        <is>
          <t>27/07/2026</t>
        </is>
      </c>
      <c r="C8" s="4" t="inlineStr">
        <is>
          <t>A-10604</t>
        </is>
      </c>
      <c r="D8" s="7" t="inlineStr">
        <is>
          <t>PROVIDENCIA</t>
        </is>
      </c>
      <c r="E8" s="5" t="n">
        <v>3240</v>
      </c>
      <c r="F8" s="4" t="inlineStr">
        <is>
          <t>Tabla 1 ($747k)</t>
        </is>
      </c>
      <c r="G8" s="6" t="inlineStr">
        <is>
          <t>PAGADO</t>
        </is>
      </c>
    </row>
    <row r="9" ht="20" customHeight="1">
      <c r="A9" s="4" t="n">
        <v>6</v>
      </c>
      <c r="B9" s="4" t="inlineStr">
        <is>
          <t>28/07/2026</t>
        </is>
      </c>
      <c r="C9" s="4" t="inlineStr">
        <is>
          <t>A-10636</t>
        </is>
      </c>
      <c r="D9" s="7" t="inlineStr">
        <is>
          <t>ALFREDO DEL MAZO</t>
        </is>
      </c>
      <c r="E9" s="5" t="n">
        <v>10260.1</v>
      </c>
      <c r="F9" s="4" t="inlineStr">
        <is>
          <t>Tabla 1 ($747k)</t>
        </is>
      </c>
      <c r="G9" s="6" t="inlineStr">
        <is>
          <t>PAGADO</t>
        </is>
      </c>
    </row>
    <row r="10" ht="20" customHeight="1">
      <c r="A10" s="4" t="n">
        <v>7</v>
      </c>
      <c r="B10" s="4" t="inlineStr">
        <is>
          <t>28/07/2026</t>
        </is>
      </c>
      <c r="C10" s="4" t="inlineStr">
        <is>
          <t>A-10624</t>
        </is>
      </c>
      <c r="D10" s="7" t="inlineStr">
        <is>
          <t>DEZAZOLVE CANALES</t>
        </is>
      </c>
      <c r="E10" s="5" t="n">
        <v>23490.11</v>
      </c>
      <c r="F10" s="4" t="inlineStr">
        <is>
          <t>Tabla 1 ($747k)</t>
        </is>
      </c>
      <c r="G10" s="6" t="inlineStr">
        <is>
          <t>PAGADO</t>
        </is>
      </c>
    </row>
    <row r="11" ht="20" customHeight="1">
      <c r="A11" s="4" t="n">
        <v>8</v>
      </c>
      <c r="B11" s="4" t="inlineStr">
        <is>
          <t>28/07/2026</t>
        </is>
      </c>
      <c r="C11" s="4" t="inlineStr">
        <is>
          <t>A-10623</t>
        </is>
      </c>
      <c r="D11" s="7" t="inlineStr">
        <is>
          <t>MEXICO TOLUCA</t>
        </is>
      </c>
      <c r="E11" s="5" t="n">
        <v>30502.11</v>
      </c>
      <c r="F11" s="4" t="inlineStr">
        <is>
          <t>Tabla 1 ($747k)</t>
        </is>
      </c>
      <c r="G11" s="6" t="inlineStr">
        <is>
          <t>PAGADO</t>
        </is>
      </c>
    </row>
    <row r="12" ht="20" customHeight="1">
      <c r="A12" s="4" t="n">
        <v>9</v>
      </c>
      <c r="B12" s="4" t="inlineStr">
        <is>
          <t>28/07/2026</t>
        </is>
      </c>
      <c r="C12" s="4" t="inlineStr">
        <is>
          <t>A-10605</t>
        </is>
      </c>
      <c r="D12" s="7" t="inlineStr">
        <is>
          <t>P. DE ASFALTO HUIXQUILUCAN</t>
        </is>
      </c>
      <c r="E12" s="5" t="n">
        <v>10800.03</v>
      </c>
      <c r="F12" s="4" t="inlineStr">
        <is>
          <t>Tabla 1 ($747k)</t>
        </is>
      </c>
      <c r="G12" s="6" t="inlineStr">
        <is>
          <t>PAGADO</t>
        </is>
      </c>
    </row>
    <row r="13" ht="20" customHeight="1">
      <c r="A13" s="4" t="n">
        <v>10</v>
      </c>
      <c r="B13" s="4" t="inlineStr">
        <is>
          <t>28/07/2026</t>
        </is>
      </c>
      <c r="C13" s="4" t="inlineStr">
        <is>
          <t>A-10625</t>
        </is>
      </c>
      <c r="D13" s="7" t="inlineStr">
        <is>
          <t>P. DE ASFALTO HUIXQUILUCAN</t>
        </is>
      </c>
      <c r="E13" s="5" t="n">
        <v>10800.1</v>
      </c>
      <c r="F13" s="4" t="inlineStr">
        <is>
          <t>Tabla 1 ($747k)</t>
        </is>
      </c>
      <c r="G13" s="6" t="inlineStr">
        <is>
          <t>PAGADO</t>
        </is>
      </c>
    </row>
    <row r="14" ht="20" customHeight="1">
      <c r="A14" s="4" t="n">
        <v>11</v>
      </c>
      <c r="B14" s="4" t="inlineStr">
        <is>
          <t>28/07/2026</t>
        </is>
      </c>
      <c r="C14" s="4" t="inlineStr">
        <is>
          <t>A-10630</t>
        </is>
      </c>
      <c r="D14" s="7" t="inlineStr">
        <is>
          <t>P. DE ASFALTO HUIXQUILUCAN</t>
        </is>
      </c>
      <c r="E14" s="5" t="n">
        <v>26959.9</v>
      </c>
      <c r="F14" s="4" t="inlineStr">
        <is>
          <t>Tabla 1 ($747k)</t>
        </is>
      </c>
      <c r="G14" s="6" t="inlineStr">
        <is>
          <t>PAGADO</t>
        </is>
      </c>
    </row>
    <row r="15" ht="20" customHeight="1">
      <c r="A15" s="4" t="n">
        <v>12</v>
      </c>
      <c r="B15" s="4" t="inlineStr">
        <is>
          <t>28/07/2026</t>
        </is>
      </c>
      <c r="C15" s="4" t="inlineStr">
        <is>
          <t>A-10634</t>
        </is>
      </c>
      <c r="D15" s="7" t="inlineStr">
        <is>
          <t>P. DE ASFALTO HUIXQUILUCAN</t>
        </is>
      </c>
      <c r="E15" s="5" t="n">
        <v>1620.03</v>
      </c>
      <c r="F15" s="4" t="inlineStr">
        <is>
          <t>Tabla 1 ($747k)</t>
        </is>
      </c>
      <c r="G15" s="6" t="inlineStr">
        <is>
          <t>PAGADO</t>
        </is>
      </c>
    </row>
    <row r="16" ht="20" customHeight="1">
      <c r="A16" s="4" t="n">
        <v>13</v>
      </c>
      <c r="B16" s="4" t="inlineStr">
        <is>
          <t>29/07/2026</t>
        </is>
      </c>
      <c r="C16" s="4" t="inlineStr">
        <is>
          <t>A-10713</t>
        </is>
      </c>
      <c r="D16" s="7" t="inlineStr">
        <is>
          <t>ALFREDO DEL MAZO</t>
        </is>
      </c>
      <c r="E16" s="5" t="n">
        <v>9736.66</v>
      </c>
      <c r="F16" s="4" t="inlineStr">
        <is>
          <t>Tabla 1 ($747k)</t>
        </is>
      </c>
      <c r="G16" s="6" t="inlineStr">
        <is>
          <t>PAGADO</t>
        </is>
      </c>
    </row>
    <row r="17" ht="20" customHeight="1">
      <c r="A17" s="4" t="n">
        <v>14</v>
      </c>
      <c r="B17" s="4" t="inlineStr">
        <is>
          <t>29/07/2026</t>
        </is>
      </c>
      <c r="C17" s="4" t="inlineStr">
        <is>
          <t>A-10702</t>
        </is>
      </c>
      <c r="D17" s="7" t="inlineStr">
        <is>
          <t>DEZAZOLVE CANALES</t>
        </is>
      </c>
      <c r="E17" s="5" t="n">
        <v>20520.09</v>
      </c>
      <c r="F17" s="4" t="inlineStr">
        <is>
          <t>Tabla 1 ($747k)</t>
        </is>
      </c>
      <c r="G17" s="6" t="inlineStr">
        <is>
          <t>PAGADO</t>
        </is>
      </c>
    </row>
    <row r="18" ht="20" customHeight="1">
      <c r="A18" s="4" t="n">
        <v>15</v>
      </c>
      <c r="B18" s="4" t="inlineStr">
        <is>
          <t>29/07/2026</t>
        </is>
      </c>
      <c r="C18" s="4" t="inlineStr">
        <is>
          <t>A-10637</t>
        </is>
      </c>
      <c r="D18" s="7" t="inlineStr">
        <is>
          <t>LERMA</t>
        </is>
      </c>
      <c r="E18" s="5" t="n">
        <v>24564.14</v>
      </c>
      <c r="F18" s="4" t="inlineStr">
        <is>
          <t>Tabla 1 ($747k)</t>
        </is>
      </c>
      <c r="G18" s="6" t="inlineStr">
        <is>
          <t>PAGADO</t>
        </is>
      </c>
    </row>
    <row r="19" ht="20" customHeight="1">
      <c r="A19" s="4" t="n">
        <v>16</v>
      </c>
      <c r="B19" s="4" t="inlineStr">
        <is>
          <t>29/07/2026</t>
        </is>
      </c>
      <c r="C19" s="4" t="inlineStr">
        <is>
          <t>A-10635</t>
        </is>
      </c>
      <c r="D19" s="7" t="inlineStr">
        <is>
          <t>P. DE ASFALTO HUIXQUILUCAN</t>
        </is>
      </c>
      <c r="E19" s="5" t="n">
        <v>1558.03</v>
      </c>
      <c r="F19" s="4" t="inlineStr">
        <is>
          <t>Tabla 1 ($747k)</t>
        </is>
      </c>
      <c r="G19" s="6" t="inlineStr">
        <is>
          <t>PAGADO</t>
        </is>
      </c>
    </row>
    <row r="20" ht="20" customHeight="1">
      <c r="A20" s="4" t="n">
        <v>17</v>
      </c>
      <c r="B20" s="4" t="inlineStr">
        <is>
          <t>29/07/2026</t>
        </is>
      </c>
      <c r="C20" s="4" t="inlineStr">
        <is>
          <t>A-10712</t>
        </is>
      </c>
      <c r="D20" s="7" t="inlineStr">
        <is>
          <t>PROVIDENCIA</t>
        </is>
      </c>
      <c r="E20" s="5" t="n">
        <v>1620.03</v>
      </c>
      <c r="F20" s="4" t="inlineStr">
        <is>
          <t>Tabla 1 ($747k)</t>
        </is>
      </c>
      <c r="G20" s="6" t="inlineStr">
        <is>
          <t>PAGADO</t>
        </is>
      </c>
    </row>
    <row r="21" ht="20" customHeight="1">
      <c r="A21" s="4" t="n">
        <v>18</v>
      </c>
      <c r="B21" s="4" t="inlineStr">
        <is>
          <t>30/07/2026</t>
        </is>
      </c>
      <c r="C21" s="4" t="inlineStr">
        <is>
          <t>A-10733</t>
        </is>
      </c>
      <c r="D21" s="7" t="inlineStr">
        <is>
          <t>MEXICO TOLUCA</t>
        </is>
      </c>
      <c r="E21" s="5" t="n">
        <v>24840.1</v>
      </c>
      <c r="F21" s="4" t="inlineStr">
        <is>
          <t>Tabla 1 ($747k)</t>
        </is>
      </c>
      <c r="G21" s="6" t="inlineStr">
        <is>
          <t>PAGADO</t>
        </is>
      </c>
    </row>
    <row r="22" ht="20" customHeight="1">
      <c r="A22" s="4" t="n">
        <v>19</v>
      </c>
      <c r="B22" s="4" t="inlineStr">
        <is>
          <t>30/07/2026</t>
        </is>
      </c>
      <c r="C22" s="4" t="inlineStr">
        <is>
          <t>A-10652</t>
        </is>
      </c>
      <c r="D22" s="7" t="inlineStr">
        <is>
          <t>P. DE ASFALTO HUIXQUILUCAN</t>
        </is>
      </c>
      <c r="E22" s="5" t="n">
        <v>21600.46</v>
      </c>
      <c r="F22" s="4" t="inlineStr">
        <is>
          <t>Tabla 1 ($747k)</t>
        </is>
      </c>
      <c r="G22" s="6" t="inlineStr">
        <is>
          <t>PAGADO</t>
        </is>
      </c>
    </row>
    <row r="23" ht="20" customHeight="1">
      <c r="A23" s="4" t="n">
        <v>20</v>
      </c>
      <c r="B23" s="4" t="inlineStr">
        <is>
          <t>30/07/2026</t>
        </is>
      </c>
      <c r="C23" s="4" t="inlineStr">
        <is>
          <t>A-10722</t>
        </is>
      </c>
      <c r="D23" s="7" t="inlineStr">
        <is>
          <t>P. DE ASFALTO HUIXQUILUCAN</t>
        </is>
      </c>
      <c r="E23" s="5" t="n">
        <v>21600.14</v>
      </c>
      <c r="F23" s="4" t="inlineStr">
        <is>
          <t>Tabla 1 ($747k)</t>
        </is>
      </c>
      <c r="G23" s="6" t="inlineStr">
        <is>
          <t>PAGADO</t>
        </is>
      </c>
    </row>
    <row r="24" ht="20" customHeight="1">
      <c r="A24" s="4" t="n">
        <v>21</v>
      </c>
      <c r="B24" s="4" t="inlineStr">
        <is>
          <t>30/07/2026</t>
        </is>
      </c>
      <c r="C24" s="4" t="inlineStr">
        <is>
          <t>A-10748</t>
        </is>
      </c>
      <c r="D24" s="7" t="inlineStr">
        <is>
          <t>P. DE ASFALTO HUIXQUILUCAN</t>
        </is>
      </c>
      <c r="E24" s="5" t="n">
        <v>1485.03</v>
      </c>
      <c r="F24" s="4" t="inlineStr">
        <is>
          <t>Tabla 1 ($747k)</t>
        </is>
      </c>
      <c r="G24" s="6" t="inlineStr">
        <is>
          <t>PAGADO</t>
        </is>
      </c>
    </row>
    <row r="25" ht="20" customHeight="1">
      <c r="A25" s="4" t="n">
        <v>22</v>
      </c>
      <c r="B25" s="4" t="inlineStr">
        <is>
          <t>31/07/2026</t>
        </is>
      </c>
      <c r="C25" s="4" t="inlineStr">
        <is>
          <t>A-10645</t>
        </is>
      </c>
      <c r="D25" s="7" t="inlineStr">
        <is>
          <t>ALFREDO DEL MAZO</t>
        </is>
      </c>
      <c r="E25" s="5" t="n">
        <v>17820.03</v>
      </c>
      <c r="F25" s="4" t="inlineStr">
        <is>
          <t>Tabla 1 ($747k)</t>
        </is>
      </c>
      <c r="G25" s="6" t="inlineStr">
        <is>
          <t>PAGADO</t>
        </is>
      </c>
    </row>
    <row r="26" ht="20" customHeight="1">
      <c r="A26" s="4" t="n">
        <v>23</v>
      </c>
      <c r="B26" s="4" t="inlineStr">
        <is>
          <t>31/07/2026</t>
        </is>
      </c>
      <c r="C26" s="4" t="inlineStr">
        <is>
          <t>A-10646</t>
        </is>
      </c>
      <c r="D26" s="7" t="inlineStr">
        <is>
          <t>DEZAZOLVE CANALES</t>
        </is>
      </c>
      <c r="E26" s="5" t="n">
        <v>25650.09</v>
      </c>
      <c r="F26" s="4" t="inlineStr">
        <is>
          <t>Tabla 1 ($747k)</t>
        </is>
      </c>
      <c r="G26" s="6" t="inlineStr">
        <is>
          <t>PAGADO</t>
        </is>
      </c>
    </row>
    <row r="27" ht="20" customHeight="1">
      <c r="A27" s="4" t="n">
        <v>24</v>
      </c>
      <c r="B27" s="4" t="inlineStr">
        <is>
          <t>31/07/2026</t>
        </is>
      </c>
      <c r="C27" s="4" t="inlineStr">
        <is>
          <t>A-10644</t>
        </is>
      </c>
      <c r="D27" s="7" t="inlineStr">
        <is>
          <t>PROVIDENCIA</t>
        </is>
      </c>
      <c r="E27" s="5" t="n">
        <v>3510</v>
      </c>
      <c r="F27" s="4" t="inlineStr">
        <is>
          <t>Tabla 1 ($747k)</t>
        </is>
      </c>
      <c r="G27" s="6" t="inlineStr">
        <is>
          <t>PAGADO</t>
        </is>
      </c>
    </row>
    <row r="28" ht="20" customHeight="1">
      <c r="A28" s="4" t="n">
        <v>25</v>
      </c>
      <c r="B28" s="4" t="inlineStr">
        <is>
          <t>01/08/2026</t>
        </is>
      </c>
      <c r="C28" s="4" t="inlineStr">
        <is>
          <t>A-10673</t>
        </is>
      </c>
      <c r="D28" s="7" t="inlineStr">
        <is>
          <t>MEXICO TOLUCA</t>
        </is>
      </c>
      <c r="E28" s="5" t="n">
        <v>25920.06</v>
      </c>
      <c r="F28" s="4" t="inlineStr">
        <is>
          <t>Tabla 1 ($747k)</t>
        </is>
      </c>
      <c r="G28" s="6" t="inlineStr">
        <is>
          <t>PAGADO</t>
        </is>
      </c>
    </row>
    <row r="29" ht="20" customHeight="1">
      <c r="A29" s="4" t="n">
        <v>26</v>
      </c>
      <c r="B29" s="4" t="inlineStr">
        <is>
          <t>01/08/2026</t>
        </is>
      </c>
      <c r="C29" s="4" t="inlineStr">
        <is>
          <t>A-10669</t>
        </is>
      </c>
      <c r="D29" s="7" t="inlineStr">
        <is>
          <t>P. DE ASFALTO HUIXQUILUCAN</t>
        </is>
      </c>
      <c r="E29" s="5" t="n">
        <v>8100.05</v>
      </c>
      <c r="F29" s="4" t="inlineStr">
        <is>
          <t>Tabla 1 ($747k)</t>
        </is>
      </c>
      <c r="G29" s="6" t="inlineStr">
        <is>
          <t>PAGADO</t>
        </is>
      </c>
    </row>
    <row r="30" ht="20" customHeight="1">
      <c r="A30" s="4" t="n">
        <v>27</v>
      </c>
      <c r="B30" s="4" t="inlineStr">
        <is>
          <t>01/08/2026</t>
        </is>
      </c>
      <c r="C30" s="4" t="inlineStr">
        <is>
          <t>A-10674</t>
        </is>
      </c>
      <c r="D30" s="7" t="inlineStr">
        <is>
          <t>P. DE ASFALTO HUIXQUILUCAN</t>
        </is>
      </c>
      <c r="E30" s="5" t="n">
        <v>8100.05</v>
      </c>
      <c r="F30" s="4" t="inlineStr">
        <is>
          <t>Tabla 1 ($747k)</t>
        </is>
      </c>
      <c r="G30" s="6" t="inlineStr">
        <is>
          <t>PAGADO</t>
        </is>
      </c>
    </row>
    <row r="31" ht="25" customHeight="1">
      <c r="A31" s="9" t="inlineStr">
        <is>
          <t>TOTAL SEMANA 31</t>
        </is>
      </c>
      <c r="B31" s="19" t="n"/>
      <c r="C31" s="19" t="n"/>
      <c r="D31" s="19" t="n"/>
      <c r="E31" s="11">
        <f>SUM(E4:E30)</f>
        <v/>
      </c>
      <c r="F31" s="9" t="inlineStr">
        <is>
          <t>27 Facturas</t>
        </is>
      </c>
      <c r="G31" s="9" t="inlineStr">
        <is>
          <t>LIQUIDADO</t>
        </is>
      </c>
    </row>
  </sheetData>
  <mergeCells count="2">
    <mergeCell ref="A31:D3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20" customWidth="1" min="3" max="3"/>
    <col width="29" customWidth="1" min="4" max="4"/>
    <col width="34" customWidth="1" min="5" max="5"/>
    <col width="13" customWidth="1" min="6" max="6"/>
  </cols>
  <sheetData>
    <row r="1" ht="35" customHeight="1">
      <c r="A1" s="20" t="inlineStr">
        <is>
          <t>RELACIÓN DE FACTURAS PENDIENTES POR PAGAR - SEMANA 32 (03 AL 09 AGOSTO 2026)</t>
        </is>
      </c>
    </row>
    <row r="2"/>
    <row r="3" ht="25" customHeight="1">
      <c r="A3" s="21" t="inlineStr">
        <is>
          <t>No.</t>
        </is>
      </c>
      <c r="B3" s="21" t="inlineStr">
        <is>
          <t>Folio Factura</t>
        </is>
      </c>
      <c r="C3" s="21" t="inlineStr">
        <is>
          <t>Tipo Combustible</t>
        </is>
      </c>
      <c r="D3" s="21" t="inlineStr">
        <is>
          <t>Centro de Trabajo / Obra</t>
        </is>
      </c>
      <c r="E3" s="21" t="inlineStr">
        <is>
          <t>Monto Estimado / Facturado ($)</t>
        </is>
      </c>
      <c r="F3" s="21" t="inlineStr">
        <is>
          <t>Estatus</t>
        </is>
      </c>
    </row>
    <row r="4" ht="20" customHeight="1">
      <c r="A4" s="4" t="n">
        <v>1</v>
      </c>
      <c r="B4" s="4" t="inlineStr">
        <is>
          <t>A10682</t>
        </is>
      </c>
      <c r="C4" s="4" t="inlineStr">
        <is>
          <t>DIESEL</t>
        </is>
      </c>
      <c r="D4" s="7" t="inlineStr">
        <is>
          <t>México - Toluca</t>
        </is>
      </c>
      <c r="E4" s="5" t="n">
        <v>2565.05</v>
      </c>
      <c r="F4" s="8" t="inlineStr">
        <is>
          <t>PENDIENTE</t>
        </is>
      </c>
    </row>
    <row r="5" ht="20" customHeight="1">
      <c r="A5" s="4" t="n">
        <v>2</v>
      </c>
      <c r="B5" s="4" t="inlineStr">
        <is>
          <t>A10684</t>
        </is>
      </c>
      <c r="C5" s="4" t="inlineStr">
        <is>
          <t>DIESEL</t>
        </is>
      </c>
      <c r="D5" s="7" t="inlineStr">
        <is>
          <t>Lerma - Tres Marías</t>
        </is>
      </c>
      <c r="E5" s="5" t="n">
        <v>11070.05</v>
      </c>
      <c r="F5" s="8" t="inlineStr">
        <is>
          <t>PENDIENTE</t>
        </is>
      </c>
    </row>
    <row r="6" ht="20" customHeight="1">
      <c r="A6" s="4" t="n">
        <v>3</v>
      </c>
      <c r="B6" s="4" t="inlineStr">
        <is>
          <t>A10683</t>
        </is>
      </c>
      <c r="C6" s="4" t="inlineStr">
        <is>
          <t>DIESEL</t>
        </is>
      </c>
      <c r="D6" s="7" t="inlineStr">
        <is>
          <t>Providencia</t>
        </is>
      </c>
      <c r="E6" s="5" t="n">
        <v>1350.03</v>
      </c>
      <c r="F6" s="8" t="inlineStr">
        <is>
          <t>PENDIENTE</t>
        </is>
      </c>
    </row>
    <row r="7" ht="20" customHeight="1">
      <c r="A7" s="4" t="n">
        <v>4</v>
      </c>
      <c r="B7" s="4" t="inlineStr">
        <is>
          <t>A10679</t>
        </is>
      </c>
      <c r="C7" s="4" t="inlineStr">
        <is>
          <t>DIESEL</t>
        </is>
      </c>
      <c r="D7" s="7" t="inlineStr">
        <is>
          <t>Planta Huixquilucan</t>
        </is>
      </c>
      <c r="E7" s="5" t="n">
        <v>21600.15</v>
      </c>
      <c r="F7" s="8" t="inlineStr">
        <is>
          <t>PENDIENTE</t>
        </is>
      </c>
    </row>
    <row r="8" ht="20" customHeight="1">
      <c r="A8" s="4" t="n">
        <v>5</v>
      </c>
      <c r="B8" s="4" t="inlineStr">
        <is>
          <t>A10685</t>
        </is>
      </c>
      <c r="C8" s="4" t="inlineStr">
        <is>
          <t>DIESEL</t>
        </is>
      </c>
      <c r="D8" s="7" t="inlineStr">
        <is>
          <t>Desasolve</t>
        </is>
      </c>
      <c r="E8" s="5" t="n">
        <v>22950.06</v>
      </c>
      <c r="F8" s="8" t="inlineStr">
        <is>
          <t>PENDIENTE</t>
        </is>
      </c>
    </row>
    <row r="9" ht="20" customHeight="1">
      <c r="A9" s="4" t="n">
        <v>6</v>
      </c>
      <c r="B9" s="4" t="inlineStr">
        <is>
          <t>A10692</t>
        </is>
      </c>
      <c r="C9" s="4" t="inlineStr">
        <is>
          <t>DIESEL</t>
        </is>
      </c>
      <c r="D9" s="7" t="inlineStr">
        <is>
          <t>México - Toluca</t>
        </is>
      </c>
      <c r="E9" s="5" t="n">
        <v>24840.06</v>
      </c>
      <c r="F9" s="8" t="inlineStr">
        <is>
          <t>PENDIENTE</t>
        </is>
      </c>
    </row>
    <row r="10" ht="20" customHeight="1">
      <c r="A10" s="4" t="n">
        <v>7</v>
      </c>
      <c r="B10" s="4" t="inlineStr">
        <is>
          <t>A10694</t>
        </is>
      </c>
      <c r="C10" s="4" t="inlineStr">
        <is>
          <t>DIESEL</t>
        </is>
      </c>
      <c r="D10" s="7" t="inlineStr">
        <is>
          <t>Bacheo Toluca</t>
        </is>
      </c>
      <c r="E10" s="5" t="n">
        <v>3105</v>
      </c>
      <c r="F10" s="8" t="inlineStr">
        <is>
          <t>PENDIENTE</t>
        </is>
      </c>
    </row>
    <row r="11" ht="20" customHeight="1">
      <c r="A11" s="4" t="n">
        <v>8</v>
      </c>
      <c r="B11" s="4" t="inlineStr">
        <is>
          <t>A10699</t>
        </is>
      </c>
      <c r="C11" s="4" t="inlineStr">
        <is>
          <t>DIESEL</t>
        </is>
      </c>
      <c r="D11" s="7" t="inlineStr">
        <is>
          <t>Planta Pegaso</t>
        </is>
      </c>
      <c r="E11" s="5" t="n">
        <v>27000.11</v>
      </c>
      <c r="F11" s="8" t="inlineStr">
        <is>
          <t>PENDIENTE</t>
        </is>
      </c>
    </row>
    <row r="12" ht="20" customHeight="1">
      <c r="A12" s="4" t="n">
        <v>9</v>
      </c>
      <c r="B12" s="4" t="inlineStr">
        <is>
          <t>A10693</t>
        </is>
      </c>
      <c r="C12" s="4" t="inlineStr">
        <is>
          <t>DIESEL</t>
        </is>
      </c>
      <c r="D12" s="7" t="inlineStr">
        <is>
          <t>Constitución</t>
        </is>
      </c>
      <c r="E12" s="5" t="n">
        <v>13905.05</v>
      </c>
      <c r="F12" s="8" t="inlineStr">
        <is>
          <t>PENDIENTE</t>
        </is>
      </c>
    </row>
    <row r="13" ht="20" customHeight="1">
      <c r="A13" s="4" t="n">
        <v>10</v>
      </c>
      <c r="B13" s="4" t="inlineStr">
        <is>
          <t>A10770</t>
        </is>
      </c>
      <c r="C13" s="4" t="inlineStr">
        <is>
          <t>DIESEL</t>
        </is>
      </c>
      <c r="D13" s="7" t="inlineStr">
        <is>
          <t>Lerma - Tres Marías</t>
        </is>
      </c>
      <c r="E13" s="5" t="n">
        <v>14310.08</v>
      </c>
      <c r="F13" s="8" t="inlineStr">
        <is>
          <t>PENDIENTE</t>
        </is>
      </c>
    </row>
    <row r="14" ht="20" customHeight="1">
      <c r="A14" s="4" t="n">
        <v>11</v>
      </c>
      <c r="B14" s="4" t="inlineStr">
        <is>
          <t>A10773</t>
        </is>
      </c>
      <c r="C14" s="4" t="inlineStr">
        <is>
          <t>DIESEL</t>
        </is>
      </c>
      <c r="D14" s="7" t="inlineStr">
        <is>
          <t>Planta Pegaso</t>
        </is>
      </c>
      <c r="E14" s="5" t="n">
        <v>16200.03</v>
      </c>
      <c r="F14" s="8" t="inlineStr">
        <is>
          <t>PENDIENTE</t>
        </is>
      </c>
    </row>
    <row r="15" ht="20" customHeight="1">
      <c r="A15" s="4" t="n">
        <v>12</v>
      </c>
      <c r="B15" s="4" t="inlineStr">
        <is>
          <t>A10778</t>
        </is>
      </c>
      <c r="C15" s="4" t="inlineStr">
        <is>
          <t>DIESEL</t>
        </is>
      </c>
      <c r="D15" s="7" t="inlineStr">
        <is>
          <t>Aurelio Venegas</t>
        </is>
      </c>
      <c r="E15" s="5" t="n">
        <v>9450.030000000001</v>
      </c>
      <c r="F15" s="8" t="inlineStr">
        <is>
          <t>PENDIENTE</t>
        </is>
      </c>
    </row>
    <row r="16" ht="20" customHeight="1">
      <c r="A16" s="4" t="n">
        <v>13</v>
      </c>
      <c r="B16" s="4" t="inlineStr">
        <is>
          <t>A10771</t>
        </is>
      </c>
      <c r="C16" s="4" t="inlineStr">
        <is>
          <t>DIESEL</t>
        </is>
      </c>
      <c r="D16" s="7" t="inlineStr">
        <is>
          <t>Planta Huixquilucan</t>
        </is>
      </c>
      <c r="E16" s="5" t="n">
        <v>21600.15</v>
      </c>
      <c r="F16" s="8" t="inlineStr">
        <is>
          <t>PENDIENTE</t>
        </is>
      </c>
    </row>
    <row r="17" ht="20" customHeight="1">
      <c r="A17" s="4" t="n">
        <v>14</v>
      </c>
      <c r="B17" s="4" t="inlineStr">
        <is>
          <t>A10779</t>
        </is>
      </c>
      <c r="C17" s="4" t="inlineStr">
        <is>
          <t>DIESEL</t>
        </is>
      </c>
      <c r="D17" s="7" t="inlineStr">
        <is>
          <t>Desasolve</t>
        </is>
      </c>
      <c r="E17" s="5" t="n">
        <v>8100.05</v>
      </c>
      <c r="F17" s="8" t="inlineStr">
        <is>
          <t>PENDIENTE</t>
        </is>
      </c>
    </row>
    <row r="18" ht="20" customHeight="1">
      <c r="A18" s="4" t="n">
        <v>15</v>
      </c>
      <c r="B18" s="4" t="inlineStr">
        <is>
          <t>A10774</t>
        </is>
      </c>
      <c r="C18" s="4" t="inlineStr">
        <is>
          <t>DIESEL</t>
        </is>
      </c>
      <c r="D18" s="7" t="inlineStr">
        <is>
          <t>Alfredo del Mazo</t>
        </is>
      </c>
      <c r="E18" s="5" t="n">
        <v>12690.03</v>
      </c>
      <c r="F18" s="8" t="inlineStr">
        <is>
          <t>PENDIENTE</t>
        </is>
      </c>
    </row>
    <row r="19" ht="20" customHeight="1">
      <c r="A19" s="4" t="n">
        <v>16</v>
      </c>
      <c r="B19" s="4" t="inlineStr">
        <is>
          <t>A10783</t>
        </is>
      </c>
      <c r="C19" s="4" t="inlineStr">
        <is>
          <t>DIESEL</t>
        </is>
      </c>
      <c r="D19" s="7" t="inlineStr">
        <is>
          <t>México - Toluca</t>
        </is>
      </c>
      <c r="E19" s="5" t="n">
        <v>27000.16</v>
      </c>
      <c r="F19" s="8" t="inlineStr">
        <is>
          <t>PENDIENTE</t>
        </is>
      </c>
    </row>
    <row r="20" ht="20" customHeight="1">
      <c r="A20" s="4" t="n">
        <v>17</v>
      </c>
      <c r="B20" s="4" t="inlineStr">
        <is>
          <t>A10791</t>
        </is>
      </c>
      <c r="C20" s="4" t="inlineStr">
        <is>
          <t>DIESEL</t>
        </is>
      </c>
      <c r="D20" s="7" t="inlineStr">
        <is>
          <t>Bacheo Toluca</t>
        </is>
      </c>
      <c r="E20" s="5" t="n">
        <v>1350.03</v>
      </c>
      <c r="F20" s="8" t="inlineStr">
        <is>
          <t>PENDIENTE</t>
        </is>
      </c>
    </row>
    <row r="21" ht="20" customHeight="1">
      <c r="A21" s="4" t="n">
        <v>18</v>
      </c>
      <c r="B21" s="4" t="inlineStr">
        <is>
          <t>A10785</t>
        </is>
      </c>
      <c r="C21" s="4" t="inlineStr">
        <is>
          <t>DIESEL</t>
        </is>
      </c>
      <c r="D21" s="7" t="inlineStr">
        <is>
          <t>Constitución</t>
        </is>
      </c>
      <c r="E21" s="5" t="n">
        <v>4320.03</v>
      </c>
      <c r="F21" s="8" t="inlineStr">
        <is>
          <t>PENDIENTE</t>
        </is>
      </c>
    </row>
    <row r="22" ht="20" customHeight="1">
      <c r="A22" s="4" t="n">
        <v>19</v>
      </c>
      <c r="B22" s="4" t="inlineStr">
        <is>
          <t>A10792</t>
        </is>
      </c>
      <c r="C22" s="4" t="inlineStr">
        <is>
          <t>DIESEL</t>
        </is>
      </c>
      <c r="D22" s="7" t="inlineStr">
        <is>
          <t>METEPEC</t>
        </is>
      </c>
      <c r="E22" s="5" t="n">
        <v>4320.03</v>
      </c>
      <c r="F22" s="8" t="inlineStr">
        <is>
          <t>PENDIENTE</t>
        </is>
      </c>
    </row>
    <row r="23" ht="20" customHeight="1">
      <c r="A23" s="4" t="n">
        <v>20</v>
      </c>
      <c r="B23" s="4" t="inlineStr">
        <is>
          <t>A10784</t>
        </is>
      </c>
      <c r="C23" s="4" t="inlineStr">
        <is>
          <t>DIESEL</t>
        </is>
      </c>
      <c r="D23" s="7" t="inlineStr">
        <is>
          <t>Desasolve</t>
        </is>
      </c>
      <c r="E23" s="5" t="n">
        <v>7560.05</v>
      </c>
      <c r="F23" s="8" t="inlineStr">
        <is>
          <t>PENDIENTE</t>
        </is>
      </c>
    </row>
    <row r="24" ht="20" customHeight="1">
      <c r="A24" s="4" t="n">
        <v>21</v>
      </c>
      <c r="B24" s="4" t="inlineStr">
        <is>
          <t>A10793</t>
        </is>
      </c>
      <c r="C24" s="4" t="inlineStr">
        <is>
          <t>DIESEL</t>
        </is>
      </c>
      <c r="D24" s="7" t="inlineStr">
        <is>
          <t>Alfredo del Mazo</t>
        </is>
      </c>
      <c r="E24" s="5" t="n">
        <v>810</v>
      </c>
      <c r="F24" s="8" t="inlineStr">
        <is>
          <t>PENDIENTE</t>
        </is>
      </c>
    </row>
    <row r="25" ht="20" customHeight="1">
      <c r="A25" s="4" t="n">
        <v>22</v>
      </c>
      <c r="B25" s="4" t="inlineStr">
        <is>
          <t>A10803</t>
        </is>
      </c>
      <c r="C25" s="4" t="inlineStr">
        <is>
          <t>DIESEL</t>
        </is>
      </c>
      <c r="D25" s="7" t="inlineStr">
        <is>
          <t>METEPEC ARBOL DE LA VIDA</t>
        </is>
      </c>
      <c r="E25" s="5" t="n">
        <v>3240</v>
      </c>
      <c r="F25" s="8" t="inlineStr">
        <is>
          <t>PENDIENTE</t>
        </is>
      </c>
    </row>
    <row r="26" ht="20" customHeight="1">
      <c r="A26" s="4" t="n">
        <v>23</v>
      </c>
      <c r="B26" s="4" t="inlineStr">
        <is>
          <t>A10804</t>
        </is>
      </c>
      <c r="C26" s="4" t="inlineStr">
        <is>
          <t>DIESEL</t>
        </is>
      </c>
      <c r="D26" s="7" t="inlineStr">
        <is>
          <t>Providencia</t>
        </is>
      </c>
      <c r="E26" s="5" t="n">
        <v>3240</v>
      </c>
      <c r="F26" s="8" t="inlineStr">
        <is>
          <t>PENDIENTE</t>
        </is>
      </c>
    </row>
    <row r="27" ht="20" customHeight="1">
      <c r="A27" s="4" t="n">
        <v>24</v>
      </c>
      <c r="B27" s="4" t="inlineStr">
        <is>
          <t>A10792</t>
        </is>
      </c>
      <c r="C27" s="4" t="inlineStr">
        <is>
          <t>DIESEL</t>
        </is>
      </c>
      <c r="D27" s="7" t="inlineStr">
        <is>
          <t>METEPEC</t>
        </is>
      </c>
      <c r="E27" s="5" t="n">
        <v>4320.03</v>
      </c>
      <c r="F27" s="8" t="inlineStr">
        <is>
          <t>PENDIENTE</t>
        </is>
      </c>
    </row>
    <row r="28" ht="20" customHeight="1">
      <c r="A28" s="4" t="n">
        <v>25</v>
      </c>
      <c r="B28" s="4" t="inlineStr">
        <is>
          <t>A10801</t>
        </is>
      </c>
      <c r="C28" s="4" t="inlineStr">
        <is>
          <t>DIESEL</t>
        </is>
      </c>
      <c r="D28" s="7" t="inlineStr">
        <is>
          <t>San Felipe Tlalminilolpan</t>
        </is>
      </c>
      <c r="E28" s="5" t="n">
        <v>10800.1</v>
      </c>
      <c r="F28" s="8" t="inlineStr">
        <is>
          <t>PENDIENTE</t>
        </is>
      </c>
    </row>
    <row r="29" ht="20" customHeight="1">
      <c r="A29" s="4" t="n">
        <v>26</v>
      </c>
      <c r="B29" s="4" t="inlineStr">
        <is>
          <t>A10802</t>
        </is>
      </c>
      <c r="C29" s="4" t="inlineStr">
        <is>
          <t>DIESEL</t>
        </is>
      </c>
      <c r="D29" s="7" t="inlineStr">
        <is>
          <t>Maquinaria</t>
        </is>
      </c>
      <c r="E29" s="5" t="n">
        <v>4050.03</v>
      </c>
      <c r="F29" s="8" t="inlineStr">
        <is>
          <t>PENDIENTE</t>
        </is>
      </c>
    </row>
    <row r="30" ht="20" customHeight="1">
      <c r="A30" s="4" t="n">
        <v>27</v>
      </c>
      <c r="B30" s="4" t="inlineStr">
        <is>
          <t>A10811</t>
        </is>
      </c>
      <c r="C30" s="4" t="inlineStr">
        <is>
          <t>DIESEL</t>
        </is>
      </c>
      <c r="D30" s="7" t="inlineStr">
        <is>
          <t>Alfredo del Mazo</t>
        </is>
      </c>
      <c r="E30" s="5" t="n">
        <v>9450.030000000001</v>
      </c>
      <c r="F30" s="8" t="inlineStr">
        <is>
          <t>PENDIENTE</t>
        </is>
      </c>
    </row>
    <row r="31" ht="20" customHeight="1">
      <c r="A31" s="4" t="n">
        <v>28</v>
      </c>
      <c r="B31" s="4" t="inlineStr">
        <is>
          <t>A10814</t>
        </is>
      </c>
      <c r="C31" s="4" t="inlineStr">
        <is>
          <t>DIESEL</t>
        </is>
      </c>
      <c r="D31" s="7" t="inlineStr">
        <is>
          <t>México - Toluca</t>
        </is>
      </c>
      <c r="E31" s="5" t="n">
        <v>19710.06</v>
      </c>
      <c r="F31" s="8" t="inlineStr">
        <is>
          <t>PENDIENTE</t>
        </is>
      </c>
    </row>
    <row r="32" ht="20" customHeight="1">
      <c r="A32" s="4" t="n">
        <v>29</v>
      </c>
      <c r="B32" s="4" t="inlineStr">
        <is>
          <t>A10815</t>
        </is>
      </c>
      <c r="C32" s="4" t="inlineStr">
        <is>
          <t>DIESEL</t>
        </is>
      </c>
      <c r="D32" s="7" t="inlineStr">
        <is>
          <t>Planta Huixquilucan</t>
        </is>
      </c>
      <c r="E32" s="5" t="n">
        <v>1350.03</v>
      </c>
      <c r="F32" s="8" t="inlineStr">
        <is>
          <t>PENDIENTE</t>
        </is>
      </c>
    </row>
    <row r="33" ht="20" customHeight="1">
      <c r="A33" s="4" t="n">
        <v>30</v>
      </c>
      <c r="B33" s="4" t="inlineStr">
        <is>
          <t>A10681</t>
        </is>
      </c>
      <c r="C33" s="4" t="inlineStr">
        <is>
          <t>GASOLINA</t>
        </is>
      </c>
      <c r="D33" s="7" t="inlineStr">
        <is>
          <t>Vehículos Menores</t>
        </is>
      </c>
      <c r="E33" s="5" t="n">
        <v>1286.45</v>
      </c>
      <c r="F33" s="8" t="inlineStr">
        <is>
          <t>PENDIENTE</t>
        </is>
      </c>
    </row>
    <row r="34" ht="20" customHeight="1">
      <c r="A34" s="4" t="n">
        <v>31</v>
      </c>
      <c r="B34" s="4" t="inlineStr">
        <is>
          <t>A10690</t>
        </is>
      </c>
      <c r="C34" s="4" t="inlineStr">
        <is>
          <t>GASOLINA</t>
        </is>
      </c>
      <c r="D34" s="7" t="inlineStr">
        <is>
          <t>Vehículos Menores</t>
        </is>
      </c>
      <c r="E34" s="5" t="n">
        <v>1286.45</v>
      </c>
      <c r="F34" s="8" t="inlineStr">
        <is>
          <t>PENDIENTE</t>
        </is>
      </c>
    </row>
    <row r="35" ht="20" customHeight="1">
      <c r="A35" s="4" t="n">
        <v>32</v>
      </c>
      <c r="B35" s="4" t="inlineStr">
        <is>
          <t>A10695</t>
        </is>
      </c>
      <c r="C35" s="4" t="inlineStr">
        <is>
          <t>GASOLINA</t>
        </is>
      </c>
      <c r="D35" s="7" t="inlineStr">
        <is>
          <t>Vehículos Menores</t>
        </is>
      </c>
      <c r="E35" s="5" t="n">
        <v>1286.45</v>
      </c>
      <c r="F35" s="8" t="inlineStr">
        <is>
          <t>PENDIENTE</t>
        </is>
      </c>
    </row>
    <row r="36" ht="20" customHeight="1">
      <c r="A36" s="4" t="n">
        <v>33</v>
      </c>
      <c r="B36" s="4" t="inlineStr">
        <is>
          <t>A10772</t>
        </is>
      </c>
      <c r="C36" s="4" t="inlineStr">
        <is>
          <t>GASOLINA</t>
        </is>
      </c>
      <c r="D36" s="7" t="inlineStr">
        <is>
          <t>Vehículos Menores</t>
        </is>
      </c>
      <c r="E36" s="5" t="n">
        <v>1286.45</v>
      </c>
      <c r="F36" s="8" t="inlineStr">
        <is>
          <t>PENDIENTE</t>
        </is>
      </c>
    </row>
    <row r="37" ht="20" customHeight="1">
      <c r="A37" s="4" t="n">
        <v>34</v>
      </c>
      <c r="B37" s="4" t="inlineStr">
        <is>
          <t>A10775</t>
        </is>
      </c>
      <c r="C37" s="4" t="inlineStr">
        <is>
          <t>GASOLINA</t>
        </is>
      </c>
      <c r="D37" s="7" t="inlineStr">
        <is>
          <t>Vehículos Menores</t>
        </is>
      </c>
      <c r="E37" s="5" t="n">
        <v>1286.45</v>
      </c>
      <c r="F37" s="8" t="inlineStr">
        <is>
          <t>PENDIENTE</t>
        </is>
      </c>
    </row>
    <row r="38" ht="20" customHeight="1">
      <c r="A38" s="4" t="n">
        <v>35</v>
      </c>
      <c r="B38" s="4" t="inlineStr">
        <is>
          <t>A10782</t>
        </is>
      </c>
      <c r="C38" s="4" t="inlineStr">
        <is>
          <t>GASOLINA</t>
        </is>
      </c>
      <c r="D38" s="7" t="inlineStr">
        <is>
          <t>Vehículos Menores</t>
        </is>
      </c>
      <c r="E38" s="5" t="n">
        <v>1286.45</v>
      </c>
      <c r="F38" s="8" t="inlineStr">
        <is>
          <t>PENDIENTE</t>
        </is>
      </c>
    </row>
    <row r="39" ht="20" customHeight="1">
      <c r="A39" s="4" t="n">
        <v>36</v>
      </c>
      <c r="B39" s="4" t="inlineStr">
        <is>
          <t>A10786</t>
        </is>
      </c>
      <c r="C39" s="4" t="inlineStr">
        <is>
          <t>GASOLINA</t>
        </is>
      </c>
      <c r="D39" s="7" t="inlineStr">
        <is>
          <t>Vehículos Menores</t>
        </is>
      </c>
      <c r="E39" s="5" t="n">
        <v>1286.45</v>
      </c>
      <c r="F39" s="8" t="inlineStr">
        <is>
          <t>PENDIENTE</t>
        </is>
      </c>
    </row>
    <row r="40" ht="20" customHeight="1">
      <c r="A40" s="4" t="n">
        <v>37</v>
      </c>
      <c r="B40" s="4" t="inlineStr">
        <is>
          <t>A10810</t>
        </is>
      </c>
      <c r="C40" s="4" t="inlineStr">
        <is>
          <t>GASOLINA</t>
        </is>
      </c>
      <c r="D40" s="7" t="inlineStr">
        <is>
          <t>Vehículos Menores</t>
        </is>
      </c>
      <c r="E40" s="5" t="n">
        <v>1286.45</v>
      </c>
      <c r="F40" s="8" t="inlineStr">
        <is>
          <t>PENDIENTE</t>
        </is>
      </c>
    </row>
    <row r="41" ht="20" customHeight="1">
      <c r="A41" s="4" t="n">
        <v>38</v>
      </c>
      <c r="B41" s="4" t="inlineStr">
        <is>
          <t>A10816</t>
        </is>
      </c>
      <c r="C41" s="4" t="inlineStr">
        <is>
          <t>GASOLINA</t>
        </is>
      </c>
      <c r="D41" s="7" t="inlineStr">
        <is>
          <t>Vehículos Menores</t>
        </is>
      </c>
      <c r="E41" s="5" t="n">
        <v>1286.45</v>
      </c>
      <c r="F41" s="8" t="inlineStr">
        <is>
          <t>PENDIENTE</t>
        </is>
      </c>
    </row>
    <row r="42" ht="25" customHeight="1">
      <c r="A42" s="22" t="inlineStr">
        <is>
          <t>TOTAL PENDIENTE SEMANA 32</t>
        </is>
      </c>
      <c r="B42" s="23" t="n"/>
      <c r="C42" s="23" t="n"/>
      <c r="D42" s="23" t="n"/>
      <c r="E42" s="24" t="n">
        <v>341114.27</v>
      </c>
      <c r="F42" s="25" t="inlineStr">
        <is>
          <t>NO PAGADO</t>
        </is>
      </c>
    </row>
  </sheetData>
  <mergeCells count="2">
    <mergeCell ref="A42:D4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2026-08-18T19:26:38Z</dcterms:created>
  <dcterms:modified xsi:type="dcterms:W3CDTF">2026-08-18T19:26:39Z</dcterms:modified>
</cp:coreProperties>
</file>