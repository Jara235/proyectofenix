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b85166bda36e28/Escritorio/CONSUMO TAG/"/>
    </mc:Choice>
  </mc:AlternateContent>
  <xr:revisionPtr revIDLastSave="0" documentId="8_{9AD5BC0B-F3A3-4D09-9F30-17DCD781DFF9}" xr6:coauthVersionLast="47" xr6:coauthVersionMax="47" xr10:uidLastSave="{00000000-0000-0000-0000-000000000000}"/>
  <bookViews>
    <workbookView xWindow="-120" yWindow="-120" windowWidth="20730" windowHeight="11040" activeTab="1"/>
  </bookViews>
  <sheets>
    <sheet name="R1" sheetId="2" r:id="rId1"/>
    <sheet name="MOVIMIENTOS " sheetId="1" r:id="rId2"/>
  </sheets>
  <definedNames>
    <definedName name="_xlnm.Print_Area" localSheetId="0">'R1'!$B$3:$E$20</definedName>
  </definedName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48576" i="2" l="1"/>
  <c r="F194" i="1"/>
  <c r="H194" i="1"/>
</calcChain>
</file>

<file path=xl/sharedStrings.xml><?xml version="1.0" encoding="utf-8"?>
<sst xmlns="http://schemas.openxmlformats.org/spreadsheetml/2006/main" count="794" uniqueCount="253">
  <si>
    <t>Tag</t>
  </si>
  <si>
    <t>No.Economico</t>
  </si>
  <si>
    <t>Fecha</t>
  </si>
  <si>
    <t>Hora</t>
  </si>
  <si>
    <t>Caseta</t>
  </si>
  <si>
    <t>Importe</t>
  </si>
  <si>
    <t>Saldo</t>
  </si>
  <si>
    <t>IMDM30874314..</t>
  </si>
  <si>
    <t>JOSE TRUJANO</t>
  </si>
  <si>
    <t>MARQUESA VIAPASS</t>
  </si>
  <si>
    <t>IMDM28600323..</t>
  </si>
  <si>
    <t>JORGE TRUJANO</t>
  </si>
  <si>
    <t>MARQUESA T2</t>
  </si>
  <si>
    <t>IMDM30874315..</t>
  </si>
  <si>
    <t>CRISTOBAL SILVA</t>
  </si>
  <si>
    <t>TENANGO</t>
  </si>
  <si>
    <t>SUPER VIA</t>
  </si>
  <si>
    <t>LA FINCA</t>
  </si>
  <si>
    <t>SEGUNDO PISO A.U. SUR</t>
  </si>
  <si>
    <t>IMDM28600312..</t>
  </si>
  <si>
    <t>CRISTIAN GOMORA</t>
  </si>
  <si>
    <t>XONACATLAN</t>
  </si>
  <si>
    <t>IMDM28600334..</t>
  </si>
  <si>
    <t>JESUS MARIN</t>
  </si>
  <si>
    <t>RAYON</t>
  </si>
  <si>
    <t>CHAPULTEPEC</t>
  </si>
  <si>
    <t>LA VENTA</t>
  </si>
  <si>
    <t>IMDM28600333..</t>
  </si>
  <si>
    <t>CARLOS REYES</t>
  </si>
  <si>
    <t>IMDM28600315..</t>
  </si>
  <si>
    <t>IMDM28600314..</t>
  </si>
  <si>
    <t>RAYMUNDO  G.</t>
  </si>
  <si>
    <t>HUIXQUILUCAN</t>
  </si>
  <si>
    <t>IMDM28600332..</t>
  </si>
  <si>
    <t xml:space="preserve">FLOR ARANDA </t>
  </si>
  <si>
    <t>CHAMAPA AUTOVAN</t>
  </si>
  <si>
    <t>HORTALIZA</t>
  </si>
  <si>
    <t>IMDM28600331..</t>
  </si>
  <si>
    <t>LAZARO  PINAL</t>
  </si>
  <si>
    <t>IMDM28600325..</t>
  </si>
  <si>
    <t>LUIS VALDEZ</t>
  </si>
  <si>
    <t>IMDM30874318..</t>
  </si>
  <si>
    <t>IMPACTO</t>
  </si>
  <si>
    <t>EL DORADO</t>
  </si>
  <si>
    <t>SEGUNDO PISO A.U. NORTE</t>
  </si>
  <si>
    <t>VIADUCTO BICENTENARIO</t>
  </si>
  <si>
    <t>CTO. EXT. MEXIQUENSE</t>
  </si>
  <si>
    <t>IMDM30874316..</t>
  </si>
  <si>
    <t>EDGAR VELAZQUEZ</t>
  </si>
  <si>
    <t>CHALCO</t>
  </si>
  <si>
    <t>CHAMAPA IDEAL</t>
  </si>
  <si>
    <t>CERRILLO</t>
  </si>
  <si>
    <t>INTERLOMAS</t>
  </si>
  <si>
    <t>IMDM30874317..</t>
  </si>
  <si>
    <t>ANTONIO IBAÃ‘EZ</t>
  </si>
  <si>
    <t>SEMANA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</si>
  <si>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</si>
  <si>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</si>
  <si>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</si>
  <si>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</si>
  <si>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</si>
  <si>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</si>
  <si>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</si>
  <si>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</si>
  <si>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</si>
  <si>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</si>
  <si>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</si>
  <si>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</si>
  <si>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</si>
  <si>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</si>
  <si>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</si>
  <si>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</si>
  <si>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</si>
  <si>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</si>
  <si>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</si>
  <si>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</si>
  <si>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SEMANA 54</t>
  </si>
  <si>
    <t>SEMANA 55</t>
  </si>
  <si>
    <t>SEMANA 56</t>
  </si>
  <si>
    <t>SEMANA 57</t>
  </si>
  <si>
    <t>SEMANA 58</t>
  </si>
  <si>
    <t>SEMANA 59</t>
  </si>
  <si>
    <t>SEMANA 60</t>
  </si>
  <si>
    <t>SEMANA 61</t>
  </si>
  <si>
    <t>SEMANA 62</t>
  </si>
  <si>
    <t>SEMANA 63</t>
  </si>
  <si>
    <t>SEMANA 64</t>
  </si>
  <si>
    <t>SEMANA 65</t>
  </si>
  <si>
    <t>SEMANA 66</t>
  </si>
  <si>
    <t>SEMANA 67</t>
  </si>
  <si>
    <t>SEMANA 68</t>
  </si>
  <si>
    <t>SEMANA 69</t>
  </si>
  <si>
    <t>SEMANA 70</t>
  </si>
  <si>
    <t>SEMANA 71</t>
  </si>
  <si>
    <t>SEMANA 72</t>
  </si>
  <si>
    <t>SEMANA 73</t>
  </si>
  <si>
    <t>SEMANA 74</t>
  </si>
  <si>
    <t>SEMANA 75</t>
  </si>
  <si>
    <t>SEMANA 76</t>
  </si>
  <si>
    <t>SEMANA 77</t>
  </si>
  <si>
    <t>SEMANA 78</t>
  </si>
  <si>
    <t>SEMANA 79</t>
  </si>
  <si>
    <t>SEMANA 80</t>
  </si>
  <si>
    <t>SEMANA 81</t>
  </si>
  <si>
    <t>SEMANA 82</t>
  </si>
  <si>
    <t>SEMANA 83</t>
  </si>
  <si>
    <t>SEMANA 84</t>
  </si>
  <si>
    <t>SEMANA 85</t>
  </si>
  <si>
    <t>SEMANA 86</t>
  </si>
  <si>
    <t>SEMANA 87</t>
  </si>
  <si>
    <t>SEMANA 88</t>
  </si>
  <si>
    <t>SEMANA 89</t>
  </si>
  <si>
    <t>SEMANA 90</t>
  </si>
  <si>
    <t>SEMANA 91</t>
  </si>
  <si>
    <t>SEMANA 92</t>
  </si>
  <si>
    <t>SEMANA 93</t>
  </si>
  <si>
    <t>SEMANA 94</t>
  </si>
  <si>
    <t>SEMANA 95</t>
  </si>
  <si>
    <t>SEMANA 96</t>
  </si>
  <si>
    <t>SEMANA 97</t>
  </si>
  <si>
    <t>SEMANA 98</t>
  </si>
  <si>
    <t>SEMANA 99</t>
  </si>
  <si>
    <t>SEMANA 100</t>
  </si>
  <si>
    <t>SEMANA 101</t>
  </si>
  <si>
    <t>SEMANA 102</t>
  </si>
  <si>
    <t>SEMANA 103</t>
  </si>
  <si>
    <t>SEMANA 104</t>
  </si>
  <si>
    <t>SEMANA 105</t>
  </si>
  <si>
    <t>SEMANA 106</t>
  </si>
  <si>
    <t>SEMANA 107</t>
  </si>
  <si>
    <t>SEMANA 108</t>
  </si>
  <si>
    <t>SEMANA 109</t>
  </si>
  <si>
    <t>SEMANA 110</t>
  </si>
  <si>
    <t>SEMANA 111</t>
  </si>
  <si>
    <t>SEMANA 112</t>
  </si>
  <si>
    <t>SEMANA 113</t>
  </si>
  <si>
    <t>SEMANA 114</t>
  </si>
  <si>
    <t>SEMANA 115</t>
  </si>
  <si>
    <t>SEMANA 116</t>
  </si>
  <si>
    <t>SEMANA 117</t>
  </si>
  <si>
    <t>SEMANA 118</t>
  </si>
  <si>
    <t>SEMANA 119</t>
  </si>
  <si>
    <t>SEMANA 120</t>
  </si>
  <si>
    <t>SEMANA 121</t>
  </si>
  <si>
    <t>SEMANA 122</t>
  </si>
  <si>
    <t>SEMANA 123</t>
  </si>
  <si>
    <t>SEMANA 124</t>
  </si>
  <si>
    <t>SEMANA 125</t>
  </si>
  <si>
    <t>SEMANA 126</t>
  </si>
  <si>
    <t>SEMANA 127</t>
  </si>
  <si>
    <t>SEMANA 128</t>
  </si>
  <si>
    <t>SEMANA 129</t>
  </si>
  <si>
    <t>SEMANA 130</t>
  </si>
  <si>
    <t>SEMANA 131</t>
  </si>
  <si>
    <t>SEMANA 132</t>
  </si>
  <si>
    <t>SEMANA 133</t>
  </si>
  <si>
    <t>SEMANA 134</t>
  </si>
  <si>
    <t>SEMANA 135</t>
  </si>
  <si>
    <t>SEMANA 136</t>
  </si>
  <si>
    <t>SEMANA 137</t>
  </si>
  <si>
    <t>SEMANA 138</t>
  </si>
  <si>
    <t>SEMANA 139</t>
  </si>
  <si>
    <t>SEMANA 140</t>
  </si>
  <si>
    <t>SEMANA 141</t>
  </si>
  <si>
    <t>SEMANA 142</t>
  </si>
  <si>
    <t>SEMANA 143</t>
  </si>
  <si>
    <t>SEMANA 144</t>
  </si>
  <si>
    <t>SEMANA 145</t>
  </si>
  <si>
    <t>SEMANA 146</t>
  </si>
  <si>
    <t>SEMANA 147</t>
  </si>
  <si>
    <t>SEMANA 148</t>
  </si>
  <si>
    <t>SEMANA 149</t>
  </si>
  <si>
    <t>SEMANA 150</t>
  </si>
  <si>
    <t>SEMANA 151</t>
  </si>
  <si>
    <t>SEMANA 152</t>
  </si>
  <si>
    <t>SEMANA 153</t>
  </si>
  <si>
    <t>SEMANA 154</t>
  </si>
  <si>
    <t>SEMANA 155</t>
  </si>
  <si>
    <t>SEMANA 156</t>
  </si>
  <si>
    <t>SEMANA 157</t>
  </si>
  <si>
    <t>SEMANA 158</t>
  </si>
  <si>
    <t>SEMANA 159</t>
  </si>
  <si>
    <t>SEMANA 160</t>
  </si>
  <si>
    <t>SEMANA 161</t>
  </si>
  <si>
    <t>SEMANA 162</t>
  </si>
  <si>
    <t>SEMANA 163</t>
  </si>
  <si>
    <t>SEMANA 164</t>
  </si>
  <si>
    <t>SEMANA 165</t>
  </si>
  <si>
    <t>SEMANA 166</t>
  </si>
  <si>
    <t>SEMANA 167</t>
  </si>
  <si>
    <t>SEMANA 168</t>
  </si>
  <si>
    <t>SEMANA 169</t>
  </si>
  <si>
    <t>SEMANA 170</t>
  </si>
  <si>
    <t>SEMANA 171</t>
  </si>
  <si>
    <t>SEMANA 172</t>
  </si>
  <si>
    <t>SEMANA 173</t>
  </si>
  <si>
    <t>SEMANA 174</t>
  </si>
  <si>
    <t>SEMANA 175</t>
  </si>
  <si>
    <t>SEMANA 176</t>
  </si>
  <si>
    <t>SEMANA 177</t>
  </si>
  <si>
    <t>SEMANA 178</t>
  </si>
  <si>
    <t>SEMANA 179</t>
  </si>
  <si>
    <t>SEMANA 180</t>
  </si>
  <si>
    <t>SEMANA 181</t>
  </si>
  <si>
    <t>SEMANA 182</t>
  </si>
  <si>
    <t>SEMANA 183</t>
  </si>
  <si>
    <t>SEMANA 184</t>
  </si>
  <si>
    <t>SEMANA 185</t>
  </si>
  <si>
    <t>SEMANA 186</t>
  </si>
  <si>
    <t>SEMANA 187</t>
  </si>
  <si>
    <t>SEMANA 188</t>
  </si>
  <si>
    <t>SEMANA 189</t>
  </si>
  <si>
    <t>SEMANA 190</t>
  </si>
  <si>
    <t>SEMANA 191</t>
  </si>
  <si>
    <t>SEMANA 192</t>
  </si>
  <si>
    <t>SEMANA 193</t>
  </si>
  <si>
    <t>SEMANA 194</t>
  </si>
  <si>
    <t>SEMANA 195</t>
  </si>
  <si>
    <t>SEMANA 196</t>
  </si>
  <si>
    <t>SEMANA 197</t>
  </si>
  <si>
    <t>SEMANA 198</t>
  </si>
  <si>
    <t>SEMANA 199</t>
  </si>
  <si>
    <t>SEMANA 200</t>
  </si>
  <si>
    <t>SEMANA 201</t>
  </si>
  <si>
    <t>SEMANA 202</t>
  </si>
  <si>
    <t>SEMANA 203</t>
  </si>
  <si>
    <t>SEMANA 204</t>
  </si>
  <si>
    <t>SEMANA 205</t>
  </si>
  <si>
    <t>SEMANA 206</t>
  </si>
  <si>
    <t>SEMANA 207</t>
  </si>
  <si>
    <t>SEMANA 208</t>
  </si>
  <si>
    <t>SEMANA 209</t>
  </si>
  <si>
    <t>SEMANA 210</t>
  </si>
  <si>
    <t>SEMANA 211</t>
  </si>
  <si>
    <t>SEMANA 212</t>
  </si>
  <si>
    <t>SEMANA 213</t>
  </si>
  <si>
    <t>SEMANA 214</t>
  </si>
  <si>
    <t>SEMANA 215</t>
  </si>
  <si>
    <t>SEMANA 216</t>
  </si>
  <si>
    <t>SEMANA 217</t>
  </si>
  <si>
    <t>SEMANA 218</t>
  </si>
  <si>
    <t>SEMANA 219</t>
  </si>
  <si>
    <t>SEMANA 220</t>
  </si>
  <si>
    <t>SEMANA 221</t>
  </si>
  <si>
    <t>SEMANA 222</t>
  </si>
  <si>
    <t>SEMANA 223</t>
  </si>
  <si>
    <t>SEMANA 224</t>
  </si>
  <si>
    <t>SEMANA 225</t>
  </si>
  <si>
    <t>Total</t>
  </si>
  <si>
    <t>Total general</t>
  </si>
  <si>
    <t>CONSUMO</t>
  </si>
  <si>
    <t>RESPONSABLE</t>
  </si>
  <si>
    <t>CONSUMO DE TAG SEM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</si>
</sst>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21" fontId="0" fillId="0" borderId="0" xfId="0" applyNumberFormat="1"/>
    <xf numFmtId="8" fontId="0" fillId="0" borderId="0" xfId="0" applyNumberFormat="1"/>
    <xf numFmtId="20" fontId="0" fillId="0" borderId="0" xfId="0" applyNumberFormat="1"/>
    <xf numFmtId="0" fontId="0" fillId="33" borderId="0" xfId="0" applyFill="1"/>
    <xf numFmtId="44" fontId="0" fillId="33" borderId="0" xfId="1" applyFont="1" applyFill="1"/>
    <xf numFmtId="44" fontId="0" fillId="0" borderId="0" xfId="1" applyFont="1"/>
    <xf numFmtId="0" fontId="20" fillId="0" borderId="0" xfId="0" applyFont="1" applyAlignment="1">
      <alignment horizontal="center"/>
    </xf>
    <xf numFmtId="0" fontId="19" fillId="0" borderId="0" xfId="0" pivotButton="1" applyFont="1"/>
    <xf numFmtId="44" fontId="19" fillId="0" borderId="0" xfId="1" applyFont="1"/>
    <xf numFmtId="0" fontId="19" fillId="0" borderId="0" xfId="0" applyFont="1" applyAlignment="1">
      <alignment horizontal="left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8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2"/>
      </font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numFmt numFmtId="12" formatCode="&quot;$&quot;#,##0.00;[Red]\-&quot;$&quot;#,##0.00"/>
    </dxf>
    <dxf>
      <numFmt numFmtId="12" formatCode="&quot;$&quot;#,##0.00;[Red]\-&quot;$&quot;#,##0.00"/>
    </dxf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litza Edith" refreshedDate="46258.46462071759" createdVersion="7" refreshedVersion="7" minRefreshableVersion="3" recordCount="192">
  <cacheSource type="worksheet">
    <worksheetSource name="Tabla1"/>
  </cacheSource>
  <cacheFields count="8">
    <cacheField name="Tag" numFmtId="0">
      <sharedItems/>
    </cacheField>
    <cacheField name="No.Economico" numFmtId="0">
      <sharedItems count="13">
        <s v="JOSE TRUJANO"/>
        <s v="JORGE TRUJANO"/>
        <s v="CRISTOBAL SILVA"/>
        <s v="CRISTIAN GOMORA"/>
        <s v="JESUS MARIN"/>
        <s v="CARLOS REYES"/>
        <s v="RAYMUNDO  G."/>
        <s v="FLOR ARANDA "/>
        <s v="LAZARO  PINAL"/>
        <s v="LUIS VALDEZ"/>
        <s v="IMPACTO"/>
        <s v="EDGAR VELAZQUEZ"/>
        <s v="ANTONIO IBAÃ‘EZ"/>
      </sharedItems>
    </cacheField>
    <cacheField name="Fecha" numFmtId="14">
      <sharedItems containsSemiMixedTypes="0" containsNonDate="0" containsDate="1" containsString="0" minDate="2026-08-17T00:00:00" maxDate="2026-08-24T00:00:00"/>
    </cacheField>
    <cacheField name="Hora" numFmtId="0">
      <sharedItems containsSemiMixedTypes="0" containsNonDate="0" containsDate="1" containsString="0" minDate="1899-12-30T00:34:03" maxDate="1899-12-30T23:49:00"/>
    </cacheField>
    <cacheField name="Caseta" numFmtId="0">
      <sharedItems count="21">
        <s v="MARQUESA VIAPASS"/>
        <s v="MARQUESA T2"/>
        <s v="TENANGO"/>
        <s v="SUPER VIA"/>
        <s v="LA FINCA"/>
        <s v="SEGUNDO PISO A.U. SUR"/>
        <s v="XONACATLAN"/>
        <s v="RAYON"/>
        <s v="CHAPULTEPEC"/>
        <s v="LA VENTA"/>
        <s v="HUIXQUILUCAN"/>
        <s v="CHAMAPA AUTOVAN"/>
        <s v="HORTALIZA"/>
        <s v="EL DORADO"/>
        <s v="SEGUNDO PISO A.U. NORTE"/>
        <s v="VIADUCTO BICENTENARIO"/>
        <s v="CTO. EXT. MEXIQUENSE"/>
        <s v="CHALCO"/>
        <s v="CHAMAPA IDEAL"/>
        <s v="CERRILLO"/>
        <s v="INTERLOMAS"/>
      </sharedItems>
    </cacheField>
    <cacheField name="Importe" numFmtId="8">
      <sharedItems containsSemiMixedTypes="0" containsString="0" containsNumber="1" minValue="-201" maxValue="-5.0199999999999996"/>
    </cacheField>
    <cacheField name="Saldo" numFmtId="8">
      <sharedItems containsSemiMixedTypes="0" containsString="0" containsNumber="1" minValue="66" maxValue="2850.26"/>
    </cacheField>
    <cacheField name="SEMAN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2">
  <r>
    <s v="IMDM30874314.."/>
    <x v="0"/>
    <d v="2026-08-23T00:00:00"/>
    <d v="1899-12-30T21:06:32"/>
    <x v="0"/>
    <n v="-116"/>
    <n v="2293.87"/>
    <s v="SEMANA 34"/>
  </r>
  <r>
    <s v="IMDM28600323.."/>
    <x v="1"/>
    <d v="2026-08-23T00:00:00"/>
    <d v="1899-12-30T20:18:58"/>
    <x v="0"/>
    <n v="-58"/>
    <n v="1987.1"/>
    <s v="SEMANA 35"/>
  </r>
  <r>
    <s v="IMDM28600323.."/>
    <x v="1"/>
    <d v="2026-08-23T00:00:00"/>
    <d v="1899-12-30T20:18:28"/>
    <x v="0"/>
    <n v="-58"/>
    <n v="2045.1"/>
    <s v="SEMANA 36"/>
  </r>
  <r>
    <s v="IMDM28600323.."/>
    <x v="1"/>
    <d v="2026-08-23T00:00:00"/>
    <d v="1899-12-30T20:07:31"/>
    <x v="1"/>
    <n v="-75"/>
    <n v="2103.1"/>
    <s v="SEMANA 37"/>
  </r>
  <r>
    <s v="IMDM30874314.."/>
    <x v="0"/>
    <d v="2026-08-23T00:00:00"/>
    <d v="1899-12-30T17:56:09"/>
    <x v="0"/>
    <n v="-116"/>
    <n v="2309.87"/>
    <s v="SEMANA 38"/>
  </r>
  <r>
    <s v="IMDM28600323.."/>
    <x v="1"/>
    <d v="2026-08-23T00:00:00"/>
    <d v="1899-12-30T16:56:59"/>
    <x v="1"/>
    <n v="-75"/>
    <n v="2277.1"/>
    <s v="SEMANA 39"/>
  </r>
  <r>
    <s v="IMDM30874315.."/>
    <x v="2"/>
    <d v="2026-08-23T00:00:00"/>
    <d v="1899-12-30T16:55:33"/>
    <x v="2"/>
    <n v="-37"/>
    <n v="1635.55"/>
    <s v="SEMANA 40"/>
  </r>
  <r>
    <s v="IMDM28600323.."/>
    <x v="1"/>
    <d v="2026-08-23T00:00:00"/>
    <d v="1899-12-30T16:48:33"/>
    <x v="0"/>
    <n v="-116"/>
    <n v="2352.1"/>
    <s v="SEMANA 41"/>
  </r>
  <r>
    <s v="IMDM28600323.."/>
    <x v="1"/>
    <d v="2026-08-23T00:00:00"/>
    <d v="1899-12-30T16:40:54"/>
    <x v="3"/>
    <n v="-99"/>
    <n v="2178.1"/>
    <s v="SEMANA 42"/>
  </r>
  <r>
    <s v="IMDM30874315.."/>
    <x v="2"/>
    <d v="2026-08-23T00:00:00"/>
    <d v="1899-12-30T16:30:50"/>
    <x v="4"/>
    <n v="-76"/>
    <n v="1672.55"/>
    <s v="SEMANA 43"/>
  </r>
  <r>
    <s v="IMDM28600323.."/>
    <x v="1"/>
    <d v="2026-08-23T00:00:00"/>
    <d v="1899-12-30T16:29:08"/>
    <x v="5"/>
    <n v="-33.49"/>
    <n v="1468.1"/>
    <s v="SEMANA 44"/>
  </r>
  <r>
    <s v="IMDM28600323.."/>
    <x v="1"/>
    <d v="2026-08-23T00:00:00"/>
    <d v="1899-12-30T13:31:45"/>
    <x v="3"/>
    <n v="-99"/>
    <n v="1501.59"/>
    <s v="SEMANA 45"/>
  </r>
  <r>
    <s v="IMDM28600323.."/>
    <x v="1"/>
    <d v="2026-08-22T00:00:00"/>
    <d v="1899-12-30T22:15:50"/>
    <x v="0"/>
    <n v="-116"/>
    <n v="1600.59"/>
    <s v="SEMANA 46"/>
  </r>
  <r>
    <s v="IMDM28600323.."/>
    <x v="1"/>
    <d v="2026-08-22T00:00:00"/>
    <d v="1899-12-30T22:06:08"/>
    <x v="1"/>
    <n v="-75"/>
    <n v="1716.59"/>
    <s v="SEMANA 47"/>
  </r>
  <r>
    <s v="IMDM30874314.."/>
    <x v="0"/>
    <d v="2026-08-22T00:00:00"/>
    <d v="1899-12-30T19:32:05"/>
    <x v="1"/>
    <n v="-75"/>
    <n v="2325.87"/>
    <s v="SEMANA 48"/>
  </r>
  <r>
    <s v="IMDM28600312.."/>
    <x v="3"/>
    <d v="2026-08-22T00:00:00"/>
    <d v="1899-12-30T19:27:10"/>
    <x v="6"/>
    <n v="-70"/>
    <n v="813"/>
    <s v="SEMANA 49"/>
  </r>
  <r>
    <s v="IMDM30874314.."/>
    <x v="0"/>
    <d v="2026-08-22T00:00:00"/>
    <d v="1899-12-30T19:21:17"/>
    <x v="0"/>
    <n v="-116"/>
    <n v="2300.87"/>
    <s v="SEMANA 50"/>
  </r>
  <r>
    <s v="IMDM28600334.."/>
    <x v="4"/>
    <d v="2026-08-22T00:00:00"/>
    <d v="1899-12-30T18:19:52"/>
    <x v="6"/>
    <n v="-70"/>
    <n v="644.51"/>
    <s v="SEMANA 51"/>
  </r>
  <r>
    <s v="IMDM28600334.."/>
    <x v="4"/>
    <d v="2026-08-22T00:00:00"/>
    <d v="1899-12-30T17:48:54"/>
    <x v="6"/>
    <n v="-42"/>
    <n v="813.51"/>
    <s v="SEMANA 52"/>
  </r>
  <r>
    <s v="IMDM28600312.."/>
    <x v="3"/>
    <d v="2026-08-22T00:00:00"/>
    <d v="1899-12-30T17:41:56"/>
    <x v="6"/>
    <n v="-83"/>
    <n v="883"/>
    <s v="SEMANA 53"/>
  </r>
  <r>
    <s v="IMDM28600334.."/>
    <x v="4"/>
    <d v="2026-08-22T00:00:00"/>
    <d v="1899-12-30T17:20:04"/>
    <x v="0"/>
    <n v="-116"/>
    <n v="855.51"/>
    <s v="SEMANA 54"/>
  </r>
  <r>
    <s v="IMDM28600334.."/>
    <x v="4"/>
    <d v="2026-08-22T00:00:00"/>
    <d v="1899-12-30T17:08:31"/>
    <x v="3"/>
    <n v="-99"/>
    <n v="714.51"/>
    <s v="SEMANA 55"/>
  </r>
  <r>
    <s v="IMDM28600334.."/>
    <x v="4"/>
    <d v="2026-08-22T00:00:00"/>
    <d v="1899-12-30T16:55:17"/>
    <x v="5"/>
    <n v="-33.49"/>
    <n v="971.51"/>
    <s v="SEMANA 56"/>
  </r>
  <r>
    <s v="IMDM28600312.."/>
    <x v="3"/>
    <d v="2026-08-22T00:00:00"/>
    <d v="1899-12-30T16:12:10"/>
    <x v="0"/>
    <n v="-122"/>
    <n v="966"/>
    <s v="SEMANA 57"/>
  </r>
  <r>
    <s v="IMDM30874315.."/>
    <x v="2"/>
    <d v="2026-08-22T00:00:00"/>
    <d v="1899-12-30T13:44:52"/>
    <x v="7"/>
    <n v="-51"/>
    <n v="1652.55"/>
    <s v="SEMANA 58"/>
  </r>
  <r>
    <s v="IMDM30874315.."/>
    <x v="2"/>
    <d v="2026-08-22T00:00:00"/>
    <d v="1899-12-30T13:40:49"/>
    <x v="8"/>
    <n v="-58"/>
    <n v="1703.55"/>
    <s v="SEMANA 59"/>
  </r>
  <r>
    <s v="IMDM30874314.."/>
    <x v="0"/>
    <d v="2026-08-22T00:00:00"/>
    <d v="1899-12-30T13:27:02"/>
    <x v="0"/>
    <n v="-116"/>
    <n v="2316.87"/>
    <s v="SEMANA 60"/>
  </r>
  <r>
    <s v="IMDM30874315.."/>
    <x v="2"/>
    <d v="2026-08-22T00:00:00"/>
    <d v="1899-12-30T13:27:01"/>
    <x v="1"/>
    <n v="-75"/>
    <n v="1761.55"/>
    <s v="SEMANA 61"/>
  </r>
  <r>
    <s v="IMDM30874315.."/>
    <x v="2"/>
    <d v="2026-08-22T00:00:00"/>
    <d v="1899-12-30T13:16:36"/>
    <x v="0"/>
    <n v="-58"/>
    <n v="1836.55"/>
    <s v="SEMANA 62"/>
  </r>
  <r>
    <s v="IMDM30874315.."/>
    <x v="2"/>
    <d v="2026-08-22T00:00:00"/>
    <d v="1899-12-30T13:14:58"/>
    <x v="9"/>
    <n v="-82"/>
    <n v="66"/>
    <s v="SEMANA 63"/>
  </r>
  <r>
    <s v="IMDM28600333.."/>
    <x v="5"/>
    <d v="2026-08-22T00:00:00"/>
    <d v="1899-12-30T11:39:49"/>
    <x v="0"/>
    <n v="-58"/>
    <n v="204"/>
    <s v="SEMANA 64"/>
  </r>
  <r>
    <s v="IMDM28600333.."/>
    <x v="5"/>
    <d v="2026-08-22T00:00:00"/>
    <d v="1899-12-30T11:38:42"/>
    <x v="9"/>
    <n v="-82"/>
    <n v="1014"/>
    <s v="SEMANA 65"/>
  </r>
  <r>
    <s v="IMDM28600315.."/>
    <x v="0"/>
    <d v="2026-08-22T00:00:00"/>
    <d v="1899-12-30T10:12:28"/>
    <x v="1"/>
    <n v="-75"/>
    <n v="2088.81"/>
    <s v="SEMANA 66"/>
  </r>
  <r>
    <s v="IMDM28600323.."/>
    <x v="1"/>
    <d v="2026-08-22T00:00:00"/>
    <d v="1899-12-30T10:09:49"/>
    <x v="0"/>
    <n v="-116"/>
    <n v="1791.59"/>
    <s v="SEMANA 67"/>
  </r>
  <r>
    <s v="IMDM28600315.."/>
    <x v="0"/>
    <d v="2026-08-22T00:00:00"/>
    <d v="1899-12-30T10:01:00"/>
    <x v="0"/>
    <n v="-116"/>
    <n v="2163.81"/>
    <s v="SEMANA 68"/>
  </r>
  <r>
    <s v="IMDM28600314.."/>
    <x v="6"/>
    <d v="2026-08-22T00:00:00"/>
    <d v="1899-12-30T09:36:21"/>
    <x v="10"/>
    <n v="-27"/>
    <n v="772"/>
    <s v="SEMANA 69"/>
  </r>
  <r>
    <s v="IMDM28600333.."/>
    <x v="5"/>
    <d v="2026-08-22T00:00:00"/>
    <d v="1899-12-30T09:18:05"/>
    <x v="10"/>
    <n v="-82"/>
    <n v="918"/>
    <s v="SEMANA 70"/>
  </r>
  <r>
    <s v="IMDM28600333.."/>
    <x v="5"/>
    <d v="2026-08-22T00:00:00"/>
    <d v="1899-12-30T09:06:51"/>
    <x v="0"/>
    <n v="-58"/>
    <n v="536"/>
    <s v="SEMANA 71"/>
  </r>
  <r>
    <s v="IMDM28600333.."/>
    <x v="5"/>
    <d v="2026-08-22T00:00:00"/>
    <d v="1899-12-30T08:57:32"/>
    <x v="1"/>
    <n v="-75"/>
    <n v="594"/>
    <s v="SEMANA 72"/>
  </r>
  <r>
    <s v="IMDM28600315.."/>
    <x v="0"/>
    <d v="2026-08-22T00:00:00"/>
    <d v="1899-12-30T08:29:10"/>
    <x v="0"/>
    <n v="-116"/>
    <n v="2279.81"/>
    <s v="SEMANA 73"/>
  </r>
  <r>
    <s v="IMDM28600312.."/>
    <x v="3"/>
    <d v="2026-08-22T00:00:00"/>
    <d v="1899-12-30T08:08:07"/>
    <x v="6"/>
    <n v="-83"/>
    <n v="1088"/>
    <s v="SEMANA 74"/>
  </r>
  <r>
    <s v="IMDM28600332.."/>
    <x v="7"/>
    <d v="2026-08-21T00:00:00"/>
    <d v="1899-12-30T23:49:00"/>
    <x v="10"/>
    <n v="-74"/>
    <n v="426"/>
    <s v="SEMANA 75"/>
  </r>
  <r>
    <s v="IMDM28600332.."/>
    <x v="7"/>
    <d v="2026-08-21T00:00:00"/>
    <d v="1899-12-30T23:38:03"/>
    <x v="11"/>
    <n v="-201"/>
    <n v="188"/>
    <s v="SEMANA 76"/>
  </r>
  <r>
    <s v="IMDM30874314.."/>
    <x v="0"/>
    <d v="2026-08-21T00:00:00"/>
    <d v="1899-12-30T23:00:48"/>
    <x v="1"/>
    <n v="-75"/>
    <n v="2332.87"/>
    <s v="SEMANA 77"/>
  </r>
  <r>
    <s v="IMDM30874314.."/>
    <x v="0"/>
    <d v="2026-08-21T00:00:00"/>
    <d v="1899-12-30T22:51:13"/>
    <x v="0"/>
    <n v="-116"/>
    <n v="2307.87"/>
    <s v="SEMANA 78"/>
  </r>
  <r>
    <s v="IMDM28600332.."/>
    <x v="7"/>
    <d v="2026-08-21T00:00:00"/>
    <d v="1899-12-30T21:23:12"/>
    <x v="6"/>
    <n v="-111"/>
    <n v="389"/>
    <s v="SEMANA 79"/>
  </r>
  <r>
    <s v="IMDM28600323.."/>
    <x v="1"/>
    <d v="2026-08-21T00:00:00"/>
    <d v="1899-12-30T21:16:18"/>
    <x v="0"/>
    <n v="-116"/>
    <n v="1907.59"/>
    <s v="SEMANA 80"/>
  </r>
  <r>
    <s v="IMDM28600332.."/>
    <x v="7"/>
    <d v="2026-08-21T00:00:00"/>
    <d v="1899-12-30T20:23:16"/>
    <x v="12"/>
    <n v="-54"/>
    <n v="500"/>
    <s v="SEMANA 81"/>
  </r>
  <r>
    <s v="IMDM30874314.."/>
    <x v="0"/>
    <d v="2026-08-21T00:00:00"/>
    <d v="1899-12-30T20:03:09"/>
    <x v="0"/>
    <n v="-116"/>
    <n v="2323.87"/>
    <s v="SEMANA 82"/>
  </r>
  <r>
    <s v="IMDM28600331.."/>
    <x v="8"/>
    <d v="2026-08-21T00:00:00"/>
    <d v="1899-12-30T19:33:39"/>
    <x v="12"/>
    <n v="-54"/>
    <n v="254"/>
    <s v="SEMANA 83"/>
  </r>
  <r>
    <s v="IMDM28600312.."/>
    <x v="3"/>
    <d v="2026-08-21T00:00:00"/>
    <d v="1899-12-30T19:15:21"/>
    <x v="6"/>
    <n v="-83"/>
    <n v="1171"/>
    <s v="SEMANA 84"/>
  </r>
  <r>
    <s v="IMDM28600325.."/>
    <x v="9"/>
    <d v="2026-08-21T00:00:00"/>
    <d v="1899-12-30T18:58:16"/>
    <x v="10"/>
    <n v="-82"/>
    <n v="652"/>
    <s v="SEMANA 85"/>
  </r>
  <r>
    <s v="IMDM28600312.."/>
    <x v="3"/>
    <d v="2026-08-21T00:00:00"/>
    <d v="1899-12-30T18:28:09"/>
    <x v="0"/>
    <n v="-122"/>
    <n v="1254"/>
    <s v="SEMANA 86"/>
  </r>
  <r>
    <s v="IMDM28600325.."/>
    <x v="9"/>
    <d v="2026-08-21T00:00:00"/>
    <d v="1899-12-30T18:16:59"/>
    <x v="6"/>
    <n v="-42"/>
    <n v="816"/>
    <s v="SEMANA 87"/>
  </r>
  <r>
    <s v="IMDM28600323.."/>
    <x v="1"/>
    <d v="2026-08-21T00:00:00"/>
    <d v="1899-12-30T16:29:42"/>
    <x v="1"/>
    <n v="-75"/>
    <n v="2023.59"/>
    <s v="SEMANA 88"/>
  </r>
  <r>
    <s v="IMDM28600323.."/>
    <x v="1"/>
    <d v="2026-08-21T00:00:00"/>
    <d v="1899-12-30T16:18:04"/>
    <x v="0"/>
    <n v="-116"/>
    <n v="2098.59"/>
    <s v="SEMANA 89"/>
  </r>
  <r>
    <s v="IMDM28600312.."/>
    <x v="3"/>
    <d v="2026-08-21T00:00:00"/>
    <d v="1899-12-30T13:25:23"/>
    <x v="6"/>
    <n v="-83"/>
    <n v="1376"/>
    <s v="SEMANA 90"/>
  </r>
  <r>
    <s v="IMDM30874314.."/>
    <x v="0"/>
    <d v="2026-08-21T00:00:00"/>
    <d v="1899-12-30T13:25:07"/>
    <x v="1"/>
    <n v="-75"/>
    <n v="2339.87"/>
    <s v="SEMANA 91"/>
  </r>
  <r>
    <s v="IMDM30874314.."/>
    <x v="0"/>
    <d v="2026-08-21T00:00:00"/>
    <d v="1899-12-30T13:13:52"/>
    <x v="0"/>
    <n v="-116"/>
    <n v="2314.87"/>
    <s v="SEMANA 92"/>
  </r>
  <r>
    <s v="IMDM28600325.."/>
    <x v="9"/>
    <d v="2026-08-21T00:00:00"/>
    <d v="1899-12-30T11:35:40"/>
    <x v="0"/>
    <n v="-58"/>
    <n v="762"/>
    <s v="SEMANA 93"/>
  </r>
  <r>
    <s v="IMDM28600325.."/>
    <x v="9"/>
    <d v="2026-08-21T00:00:00"/>
    <d v="1899-12-30T11:32:04"/>
    <x v="9"/>
    <n v="-82"/>
    <n v="734"/>
    <s v="SEMANA 94"/>
  </r>
  <r>
    <s v="IMDM30874314.."/>
    <x v="0"/>
    <d v="2026-08-21T00:00:00"/>
    <d v="1899-12-30T11:18:49"/>
    <x v="0"/>
    <n v="-116"/>
    <n v="2330.87"/>
    <s v="SEMANA 95"/>
  </r>
  <r>
    <s v="IMDM28600312.."/>
    <x v="3"/>
    <d v="2026-08-21T00:00:00"/>
    <d v="1899-12-30T08:54:44"/>
    <x v="6"/>
    <n v="-83"/>
    <n v="1459"/>
    <s v="SEMANA 96"/>
  </r>
  <r>
    <s v="IMDM30874314.."/>
    <x v="0"/>
    <d v="2026-08-21T00:00:00"/>
    <d v="1899-12-30T08:04:52"/>
    <x v="1"/>
    <n v="-75"/>
    <n v="2346.87"/>
    <s v="SEMANA 97"/>
  </r>
  <r>
    <s v="IMDM30874314.."/>
    <x v="0"/>
    <d v="2026-08-21T00:00:00"/>
    <d v="1899-12-30T07:56:06"/>
    <x v="0"/>
    <n v="-116"/>
    <n v="2321.87"/>
    <s v="SEMANA 98"/>
  </r>
  <r>
    <s v="IMDM28600331.."/>
    <x v="8"/>
    <d v="2026-08-21T00:00:00"/>
    <d v="1899-12-30T07:49:53"/>
    <x v="12"/>
    <n v="-54"/>
    <n v="168"/>
    <s v="SEMANA 99"/>
  </r>
  <r>
    <s v="IMDM28600312.."/>
    <x v="3"/>
    <d v="2026-08-21T00:00:00"/>
    <d v="1899-12-30T07:25:06"/>
    <x v="6"/>
    <n v="-83"/>
    <n v="1542"/>
    <s v="SEMANA 100"/>
  </r>
  <r>
    <s v="IMDM30874314.."/>
    <x v="0"/>
    <d v="2026-08-21T00:00:00"/>
    <d v="1899-12-30T06:58:55"/>
    <x v="0"/>
    <n v="-116"/>
    <n v="2337.87"/>
    <s v="SEMANA 101"/>
  </r>
  <r>
    <s v="IMDM30874318.."/>
    <x v="10"/>
    <d v="2026-08-21T00:00:00"/>
    <d v="1899-12-30T06:04:51"/>
    <x v="13"/>
    <n v="-145"/>
    <n v="744"/>
    <s v="SEMANA 102"/>
  </r>
  <r>
    <s v="IMDM30874318.."/>
    <x v="10"/>
    <d v="2026-08-21T00:00:00"/>
    <d v="1899-12-30T05:50:08"/>
    <x v="6"/>
    <n v="-70"/>
    <n v="889"/>
    <s v="SEMANA 103"/>
  </r>
  <r>
    <s v="IMDM30874314.."/>
    <x v="0"/>
    <d v="2026-08-21T00:00:00"/>
    <d v="1899-12-30T00:44:12"/>
    <x v="1"/>
    <n v="-75"/>
    <n v="2353.87"/>
    <s v="SEMANA 104"/>
  </r>
  <r>
    <s v="IMDM30874314.."/>
    <x v="0"/>
    <d v="2026-08-21T00:00:00"/>
    <d v="1899-12-30T00:34:03"/>
    <x v="0"/>
    <n v="-116"/>
    <n v="2328.87"/>
    <s v="SEMANA 105"/>
  </r>
  <r>
    <s v="IMDM28600315.."/>
    <x v="0"/>
    <d v="2026-08-20T00:00:00"/>
    <d v="1899-12-30T21:49:56"/>
    <x v="1"/>
    <n v="-75"/>
    <n v="2438.81"/>
    <s v="SEMANA 106"/>
  </r>
  <r>
    <s v="IMDM28600315.."/>
    <x v="0"/>
    <d v="2026-08-20T00:00:00"/>
    <d v="1899-12-30T21:38:32"/>
    <x v="0"/>
    <n v="-116"/>
    <n v="2513.81"/>
    <s v="SEMANA 107"/>
  </r>
  <r>
    <s v="IMDM28600325.."/>
    <x v="9"/>
    <d v="2026-08-20T00:00:00"/>
    <d v="1899-12-30T21:14:14"/>
    <x v="6"/>
    <n v="-42"/>
    <n v="916"/>
    <s v="SEMANA 108"/>
  </r>
  <r>
    <s v="IMDM28600315.."/>
    <x v="0"/>
    <d v="2026-08-20T00:00:00"/>
    <d v="1899-12-30T20:47:50"/>
    <x v="14"/>
    <n v="-89.89"/>
    <n v="2660.37"/>
    <s v="SEMANA 109"/>
  </r>
  <r>
    <s v="IMDM28600315.."/>
    <x v="0"/>
    <d v="2026-08-20T00:00:00"/>
    <d v="1899-12-30T20:40:58"/>
    <x v="15"/>
    <n v="-30.56"/>
    <n v="2629.81"/>
    <s v="SEMANA 110"/>
  </r>
  <r>
    <s v="IMDM28600315.."/>
    <x v="0"/>
    <d v="2026-08-20T00:00:00"/>
    <d v="1899-12-30T20:17:16"/>
    <x v="16"/>
    <n v="-43"/>
    <n v="2750.26"/>
    <s v="SEMANA 111"/>
  </r>
  <r>
    <s v="IMDM28600315.."/>
    <x v="0"/>
    <d v="2026-08-20T00:00:00"/>
    <d v="1899-12-30T20:03:27"/>
    <x v="16"/>
    <n v="-57"/>
    <n v="2793.26"/>
    <s v="SEMANA 112"/>
  </r>
  <r>
    <s v="IMDM28600325.."/>
    <x v="9"/>
    <d v="2026-08-20T00:00:00"/>
    <d v="1899-12-30T19:54:30"/>
    <x v="6"/>
    <n v="-42"/>
    <n v="958"/>
    <s v="SEMANA 113"/>
  </r>
  <r>
    <s v="IMDM28600331.."/>
    <x v="8"/>
    <d v="2026-08-20T00:00:00"/>
    <d v="1899-12-30T18:23:18"/>
    <x v="12"/>
    <n v="-54"/>
    <n v="222"/>
    <s v="SEMANA 114"/>
  </r>
  <r>
    <s v="IMDM30874314.."/>
    <x v="0"/>
    <d v="2026-08-20T00:00:00"/>
    <d v="1899-12-30T18:19:54"/>
    <x v="0"/>
    <n v="-116"/>
    <n v="2344.87"/>
    <s v="SEMANA 115"/>
  </r>
  <r>
    <s v="IMDM28600312.."/>
    <x v="3"/>
    <d v="2026-08-20T00:00:00"/>
    <d v="1899-12-30T17:56:44"/>
    <x v="6"/>
    <n v="-83"/>
    <n v="1625"/>
    <s v="SEMANA 116"/>
  </r>
  <r>
    <s v="IMDM28600315.."/>
    <x v="0"/>
    <d v="2026-08-20T00:00:00"/>
    <d v="1899-12-30T16:47:38"/>
    <x v="16"/>
    <n v="-57"/>
    <n v="2850.26"/>
    <s v="SEMANA 117"/>
  </r>
  <r>
    <s v="IMDM28600333.."/>
    <x v="5"/>
    <d v="2026-08-20T00:00:00"/>
    <d v="1899-12-30T16:45:46"/>
    <x v="6"/>
    <n v="-111"/>
    <n v="723"/>
    <s v="SEMANA 118"/>
  </r>
  <r>
    <s v="IMDM28600315.."/>
    <x v="0"/>
    <d v="2026-08-20T00:00:00"/>
    <d v="1899-12-30T16:38:50"/>
    <x v="16"/>
    <n v="-43"/>
    <n v="1547.39"/>
    <s v="SEMANA 119"/>
  </r>
  <r>
    <s v="IMDM28600315.."/>
    <x v="0"/>
    <d v="2026-08-20T00:00:00"/>
    <d v="1899-12-30T16:27:00"/>
    <x v="15"/>
    <n v="-140.13"/>
    <n v="1407.26"/>
    <s v="SEMANA 120"/>
  </r>
  <r>
    <s v="IMDM28600333.."/>
    <x v="5"/>
    <d v="2026-08-20T00:00:00"/>
    <d v="1899-12-30T16:19:14"/>
    <x v="12"/>
    <n v="-54"/>
    <n v="669"/>
    <s v="SEMANA 121"/>
  </r>
  <r>
    <s v="IMDM28600315.."/>
    <x v="0"/>
    <d v="2026-08-20T00:00:00"/>
    <d v="1899-12-30T16:12:58"/>
    <x v="14"/>
    <n v="-122.56"/>
    <n v="1590.39"/>
    <s v="SEMANA 122"/>
  </r>
  <r>
    <s v="IMDM30874316.."/>
    <x v="11"/>
    <d v="2026-08-20T00:00:00"/>
    <d v="1899-12-30T14:48:41"/>
    <x v="10"/>
    <n v="-27"/>
    <n v="119"/>
    <s v="SEMANA 123"/>
  </r>
  <r>
    <s v="IMDM28600334.."/>
    <x v="4"/>
    <d v="2026-08-20T00:00:00"/>
    <d v="1899-12-30T14:16:00"/>
    <x v="17"/>
    <n v="-26"/>
    <n v="705"/>
    <s v="SEMANA 124"/>
  </r>
  <r>
    <s v="IMDM30874316.."/>
    <x v="11"/>
    <d v="2026-08-20T00:00:00"/>
    <d v="1899-12-30T13:17:04"/>
    <x v="6"/>
    <n v="-42"/>
    <n v="146"/>
    <s v="SEMANA 125"/>
  </r>
  <r>
    <s v="IMDM28600323.."/>
    <x v="1"/>
    <d v="2026-08-20T00:00:00"/>
    <d v="1899-12-30T13:07:40"/>
    <x v="0"/>
    <n v="-116"/>
    <n v="2214.59"/>
    <s v="SEMANA 126"/>
  </r>
  <r>
    <s v="IMDM30874314.."/>
    <x v="0"/>
    <d v="2026-08-20T00:00:00"/>
    <d v="1899-12-30T12:59:53"/>
    <x v="1"/>
    <n v="-75"/>
    <n v="2360.87"/>
    <s v="SEMANA 127"/>
  </r>
  <r>
    <s v="IMDM28600323.."/>
    <x v="1"/>
    <d v="2026-08-20T00:00:00"/>
    <d v="1899-12-30T12:55:51"/>
    <x v="1"/>
    <n v="-75"/>
    <n v="2330.59"/>
    <s v="SEMANA 128"/>
  </r>
  <r>
    <s v="IMDM30874314.."/>
    <x v="0"/>
    <d v="2026-08-20T00:00:00"/>
    <d v="1899-12-30T12:49:52"/>
    <x v="0"/>
    <n v="-116"/>
    <n v="2335.87"/>
    <s v="SEMANA 129"/>
  </r>
  <r>
    <s v="IMDM28600315.."/>
    <x v="0"/>
    <d v="2026-08-20T00:00:00"/>
    <d v="1899-12-30T12:13:07"/>
    <x v="0"/>
    <n v="-116"/>
    <n v="1712.95"/>
    <s v="SEMANA 130"/>
  </r>
  <r>
    <s v="IMDM28600323.."/>
    <x v="1"/>
    <d v="2026-08-20T00:00:00"/>
    <d v="1899-12-30T11:36:51"/>
    <x v="1"/>
    <n v="-75"/>
    <n v="2405.59"/>
    <s v="SEMANA 131"/>
  </r>
  <r>
    <s v="IMDM28600323.."/>
    <x v="1"/>
    <d v="2026-08-20T00:00:00"/>
    <d v="1899-12-30T11:25:00"/>
    <x v="0"/>
    <n v="-116"/>
    <n v="1480.59"/>
    <s v="SEMANA 132"/>
  </r>
  <r>
    <s v="IMDM30874316.."/>
    <x v="11"/>
    <d v="2026-08-20T00:00:00"/>
    <d v="1899-12-30T10:39:48"/>
    <x v="6"/>
    <n v="-42"/>
    <n v="188"/>
    <s v="SEMANA 133"/>
  </r>
  <r>
    <s v="IMDM28600333.."/>
    <x v="5"/>
    <d v="2026-08-20T00:00:00"/>
    <d v="1899-12-30T09:36:08"/>
    <x v="6"/>
    <n v="-42"/>
    <n v="834"/>
    <s v="SEMANA 134"/>
  </r>
  <r>
    <s v="IMDM28600312.."/>
    <x v="3"/>
    <d v="2026-08-20T00:00:00"/>
    <d v="1899-12-30T08:26:07"/>
    <x v="6"/>
    <n v="-83"/>
    <n v="1708"/>
    <s v="SEMANA 135"/>
  </r>
  <r>
    <s v="IMDM28600312.."/>
    <x v="3"/>
    <d v="2026-08-20T00:00:00"/>
    <d v="1899-12-30T08:21:45"/>
    <x v="6"/>
    <n v="-83"/>
    <n v="1791"/>
    <s v="SEMANA 136"/>
  </r>
  <r>
    <s v="IMDM28600331.."/>
    <x v="8"/>
    <d v="2026-08-20T00:00:00"/>
    <d v="1899-12-30T07:37:41"/>
    <x v="12"/>
    <n v="-54"/>
    <n v="276"/>
    <s v="SEMANA 137"/>
  </r>
  <r>
    <s v="IMDM30874314.."/>
    <x v="0"/>
    <d v="2026-08-20T00:00:00"/>
    <d v="1899-12-30T06:52:12"/>
    <x v="0"/>
    <n v="-116"/>
    <n v="2351.87"/>
    <s v="SEMANA 138"/>
  </r>
  <r>
    <s v="IMDM28600323.."/>
    <x v="1"/>
    <d v="2026-08-19T00:00:00"/>
    <d v="1899-12-30T21:07:43"/>
    <x v="0"/>
    <n v="-116"/>
    <n v="1797.59"/>
    <s v="SEMANA 139"/>
  </r>
  <r>
    <s v="IMDM28600323.."/>
    <x v="1"/>
    <d v="2026-08-19T00:00:00"/>
    <d v="1899-12-30T20:56:58"/>
    <x v="1"/>
    <n v="-75"/>
    <n v="1913.59"/>
    <s v="SEMANA 140"/>
  </r>
  <r>
    <s v="IMDM28600331.."/>
    <x v="8"/>
    <d v="2026-08-19T00:00:00"/>
    <d v="1899-12-30T19:26:49"/>
    <x v="12"/>
    <n v="-54"/>
    <n v="330"/>
    <s v="SEMANA 141"/>
  </r>
  <r>
    <s v="IMDM28600314.."/>
    <x v="6"/>
    <d v="2026-08-19T00:00:00"/>
    <d v="1899-12-30T18:44:28"/>
    <x v="18"/>
    <n v="-27"/>
    <n v="799"/>
    <s v="SEMANA 142"/>
  </r>
  <r>
    <s v="IMDM28600325.."/>
    <x v="9"/>
    <d v="2026-08-19T00:00:00"/>
    <d v="1899-12-30T14:56:17"/>
    <x v="1"/>
    <n v="-75"/>
    <n v="254"/>
    <s v="SEMANA 143"/>
  </r>
  <r>
    <s v="IMDM30874314.."/>
    <x v="0"/>
    <d v="2026-08-19T00:00:00"/>
    <d v="1899-12-30T14:33:55"/>
    <x v="1"/>
    <n v="-75"/>
    <n v="2403.87"/>
    <s v="SEMANA 144"/>
  </r>
  <r>
    <s v="IMDM30874314.."/>
    <x v="0"/>
    <d v="2026-08-19T00:00:00"/>
    <d v="1899-12-30T14:21:20"/>
    <x v="9"/>
    <n v="-57"/>
    <n v="2467.87"/>
    <s v="SEMANA 145"/>
  </r>
  <r>
    <s v="IMDM30874314.."/>
    <x v="0"/>
    <d v="2026-08-19T00:00:00"/>
    <d v="1899-12-30T14:20:49"/>
    <x v="0"/>
    <n v="-58"/>
    <n v="2378.87"/>
    <s v="SEMANA 146"/>
  </r>
  <r>
    <s v="IMDM30874316.."/>
    <x v="11"/>
    <d v="2026-08-19T00:00:00"/>
    <d v="1899-12-30T14:17:31"/>
    <x v="19"/>
    <n v="-54"/>
    <n v="230"/>
    <s v="SEMANA 147"/>
  </r>
  <r>
    <s v="IMDM30874316.."/>
    <x v="11"/>
    <d v="2026-08-19T00:00:00"/>
    <d v="1899-12-30T13:13:40"/>
    <x v="0"/>
    <n v="-58"/>
    <n v="284"/>
    <s v="SEMANA 148"/>
  </r>
  <r>
    <s v="IMDM28600315.."/>
    <x v="0"/>
    <d v="2026-08-19T00:00:00"/>
    <d v="1899-12-30T10:39:49"/>
    <x v="1"/>
    <n v="-75"/>
    <n v="1885.95"/>
    <s v="SEMANA 149"/>
  </r>
  <r>
    <s v="IMDM28600315.."/>
    <x v="0"/>
    <d v="2026-08-19T00:00:00"/>
    <d v="1899-12-30T10:30:34"/>
    <x v="0"/>
    <n v="-116"/>
    <n v="1960.95"/>
    <s v="SEMANA 150"/>
  </r>
  <r>
    <s v="IMDM28600325.."/>
    <x v="9"/>
    <d v="2026-08-19T00:00:00"/>
    <d v="1899-12-30T08:57:19"/>
    <x v="6"/>
    <n v="-42"/>
    <n v="329"/>
    <s v="SEMANA 151"/>
  </r>
  <r>
    <s v="IMDM28600323.."/>
    <x v="1"/>
    <d v="2026-08-19T00:00:00"/>
    <d v="1899-12-30T08:20:27"/>
    <x v="1"/>
    <n v="-75"/>
    <n v="1988.59"/>
    <s v="SEMANA 152"/>
  </r>
  <r>
    <s v="IMDM28600323.."/>
    <x v="1"/>
    <d v="2026-08-19T00:00:00"/>
    <d v="1899-12-30T08:11:52"/>
    <x v="0"/>
    <n v="-116"/>
    <n v="2063.59"/>
    <s v="SEMANA 153"/>
  </r>
  <r>
    <s v="IMDM28600315.."/>
    <x v="0"/>
    <d v="2026-08-19T00:00:00"/>
    <d v="1899-12-30T07:58:04"/>
    <x v="0"/>
    <n v="-116"/>
    <n v="2076.9499999999998"/>
    <s v="SEMANA 154"/>
  </r>
  <r>
    <s v="IMDM28600312.."/>
    <x v="3"/>
    <d v="2026-08-19T00:00:00"/>
    <d v="1899-12-30T07:51:36"/>
    <x v="6"/>
    <n v="-166"/>
    <n v="1874"/>
    <s v="SEMANA 155"/>
  </r>
  <r>
    <s v="IMDM28600331.."/>
    <x v="8"/>
    <d v="2026-08-19T00:00:00"/>
    <d v="1899-12-30T07:49:11"/>
    <x v="12"/>
    <n v="-54"/>
    <n v="384"/>
    <s v="SEMANA 156"/>
  </r>
  <r>
    <s v="IMDM30874314.."/>
    <x v="0"/>
    <d v="2026-08-19T00:00:00"/>
    <d v="1899-12-30T06:47:48"/>
    <x v="0"/>
    <n v="-116"/>
    <n v="2357.87"/>
    <s v="SEMANA 157"/>
  </r>
  <r>
    <s v="IMDM30874316.."/>
    <x v="11"/>
    <d v="2026-08-19T00:00:00"/>
    <d v="1899-12-30T05:32:00"/>
    <x v="0"/>
    <n v="-116"/>
    <n v="342"/>
    <s v="SEMANA 158"/>
  </r>
  <r>
    <s v="IMDM28600331.."/>
    <x v="8"/>
    <d v="2026-08-18T00:00:00"/>
    <d v="1899-12-30T19:55:07"/>
    <x v="12"/>
    <n v="-54"/>
    <n v="438"/>
    <s v="SEMANA 159"/>
  </r>
  <r>
    <s v="IMDM30874314.."/>
    <x v="0"/>
    <d v="2026-08-18T00:00:00"/>
    <d v="1899-12-30T18:49:43"/>
    <x v="1"/>
    <n v="-75"/>
    <n v="2373.87"/>
    <s v="SEMANA 160"/>
  </r>
  <r>
    <s v="IMDM30874314.."/>
    <x v="0"/>
    <d v="2026-08-18T00:00:00"/>
    <d v="1899-12-30T18:37:47"/>
    <x v="0"/>
    <n v="-116"/>
    <n v="2348.87"/>
    <s v="SEMANA 161"/>
  </r>
  <r>
    <s v="IMDM28600312.."/>
    <x v="3"/>
    <d v="2026-08-18T00:00:00"/>
    <d v="1899-12-30T18:19:24"/>
    <x v="6"/>
    <n v="-83"/>
    <n v="2040"/>
    <s v="SEMANA 162"/>
  </r>
  <r>
    <s v="IMDM28600323.."/>
    <x v="1"/>
    <d v="2026-08-18T00:00:00"/>
    <d v="1899-12-30T15:28:52"/>
    <x v="3"/>
    <n v="-99"/>
    <n v="2179.59"/>
    <s v="SEMANA 163"/>
  </r>
  <r>
    <s v="IMDM28600333.."/>
    <x v="5"/>
    <d v="2026-08-18T00:00:00"/>
    <d v="1899-12-30T15:12:47"/>
    <x v="6"/>
    <n v="-70"/>
    <n v="930"/>
    <s v="SEMANA 164"/>
  </r>
  <r>
    <s v="IMDM28600333.."/>
    <x v="5"/>
    <d v="2026-08-18T00:00:00"/>
    <d v="1899-12-30T14:55:41"/>
    <x v="12"/>
    <n v="-54"/>
    <n v="876"/>
    <s v="SEMANA 165"/>
  </r>
  <r>
    <s v="IMDM28600323.."/>
    <x v="1"/>
    <d v="2026-08-18T00:00:00"/>
    <d v="1899-12-30T14:23:03"/>
    <x v="0"/>
    <n v="-116"/>
    <n v="2278.59"/>
    <s v="SEMANA 166"/>
  </r>
  <r>
    <s v="IMDM28600323.."/>
    <x v="1"/>
    <d v="2026-08-18T00:00:00"/>
    <d v="1899-12-30T13:42:02"/>
    <x v="6"/>
    <n v="-111"/>
    <n v="2394.59"/>
    <s v="SEMANA 167"/>
  </r>
  <r>
    <s v="IMDM28600332.."/>
    <x v="7"/>
    <d v="2026-08-18T00:00:00"/>
    <d v="1899-12-30T13:12:06"/>
    <x v="12"/>
    <n v="-108"/>
    <n v="554"/>
    <s v="SEMANA 168"/>
  </r>
  <r>
    <s v="IMDM30874314.."/>
    <x v="0"/>
    <d v="2026-08-18T00:00:00"/>
    <d v="1899-12-30T12:48:50"/>
    <x v="20"/>
    <n v="-57"/>
    <n v="2464.87"/>
    <s v="SEMANA 169"/>
  </r>
  <r>
    <s v="IMDM28600332.."/>
    <x v="7"/>
    <d v="2026-08-18T00:00:00"/>
    <d v="1899-12-30T12:47:10"/>
    <x v="6"/>
    <n v="-105"/>
    <n v="662"/>
    <s v="SEMANA 170"/>
  </r>
  <r>
    <s v="IMDM30874314.."/>
    <x v="0"/>
    <d v="2026-08-18T00:00:00"/>
    <d v="1899-12-30T12:42:07"/>
    <x v="0"/>
    <n v="-58"/>
    <n v="2421.87"/>
    <s v="SEMANA 171"/>
  </r>
  <r>
    <s v="IMDM30874316.."/>
    <x v="11"/>
    <d v="2026-08-18T00:00:00"/>
    <d v="1899-12-30T11:30:38"/>
    <x v="6"/>
    <n v="-42"/>
    <n v="458"/>
    <s v="SEMANA 172"/>
  </r>
  <r>
    <s v="IMDM28600332.."/>
    <x v="7"/>
    <d v="2026-08-18T00:00:00"/>
    <d v="1899-12-30T11:19:58"/>
    <x v="6"/>
    <n v="-139"/>
    <n v="875"/>
    <s v="SEMANA 173"/>
  </r>
  <r>
    <s v="IMDM28600332.."/>
    <x v="7"/>
    <d v="2026-08-18T00:00:00"/>
    <d v="1899-12-30T10:54:46"/>
    <x v="12"/>
    <n v="-108"/>
    <n v="767"/>
    <s v="SEMANA 174"/>
  </r>
  <r>
    <s v="IMDM28600323.."/>
    <x v="1"/>
    <d v="2026-08-18T00:00:00"/>
    <d v="1899-12-30T10:09:19"/>
    <x v="19"/>
    <n v="-201"/>
    <n v="1596.59"/>
    <s v="SEMANA 175"/>
  </r>
  <r>
    <s v="IMDM28600323.."/>
    <x v="1"/>
    <d v="2026-08-18T00:00:00"/>
    <d v="1899-12-30T09:48:47"/>
    <x v="18"/>
    <n v="-27"/>
    <n v="2505.59"/>
    <s v="SEMANA 176"/>
  </r>
  <r>
    <s v="IMDM30874314.."/>
    <x v="0"/>
    <d v="2026-08-18T00:00:00"/>
    <d v="1899-12-30T08:21:45"/>
    <x v="1"/>
    <n v="-75"/>
    <n v="2379.87"/>
    <s v="SEMANA 177"/>
  </r>
  <r>
    <s v="IMDM30874314.."/>
    <x v="0"/>
    <d v="2026-08-18T00:00:00"/>
    <d v="1899-12-30T08:11:08"/>
    <x v="0"/>
    <n v="-116"/>
    <n v="2354.87"/>
    <s v="SEMANA 178"/>
  </r>
  <r>
    <s v="IMDM28600312.."/>
    <x v="3"/>
    <d v="2026-08-18T00:00:00"/>
    <d v="1899-12-30T07:28:29"/>
    <x v="6"/>
    <n v="-83"/>
    <n v="2123"/>
    <s v="SEMANA 179"/>
  </r>
  <r>
    <s v="IMDM28600331.."/>
    <x v="8"/>
    <d v="2026-08-18T00:00:00"/>
    <d v="1899-12-30T07:27:34"/>
    <x v="12"/>
    <n v="-54"/>
    <n v="492"/>
    <s v="SEMANA 180"/>
  </r>
  <r>
    <s v="IMDM30874314.."/>
    <x v="0"/>
    <d v="2026-08-18T00:00:00"/>
    <d v="1899-12-30T06:48:49"/>
    <x v="0"/>
    <n v="-116"/>
    <n v="2370.87"/>
    <s v="SEMANA 181"/>
  </r>
  <r>
    <s v="IMDM30874315.."/>
    <x v="2"/>
    <d v="2026-08-17T00:00:00"/>
    <d v="1899-12-30T22:58:26"/>
    <x v="7"/>
    <n v="-51"/>
    <n v="1891"/>
    <s v="SEMANA 182"/>
  </r>
  <r>
    <s v="IMDM30874315.."/>
    <x v="2"/>
    <d v="2026-08-17T00:00:00"/>
    <d v="1899-12-30T22:54:07"/>
    <x v="8"/>
    <n v="-58"/>
    <n v="1942"/>
    <s v="SEMANA 183"/>
  </r>
  <r>
    <s v="IMDM28600315.."/>
    <x v="0"/>
    <d v="2026-08-17T00:00:00"/>
    <d v="1899-12-30T22:07:54"/>
    <x v="1"/>
    <n v="-75"/>
    <n v="2235.9499999999998"/>
    <s v="SEMANA 184"/>
  </r>
  <r>
    <s v="IMDM28600315.."/>
    <x v="0"/>
    <d v="2026-08-17T00:00:00"/>
    <d v="1899-12-30T21:54:50"/>
    <x v="0"/>
    <n v="-116"/>
    <n v="2384.9499999999998"/>
    <s v="SEMANA 185"/>
  </r>
  <r>
    <s v="IMDM28600315.."/>
    <x v="0"/>
    <d v="2026-08-17T00:00:00"/>
    <d v="1899-12-30T21:46:28"/>
    <x v="3"/>
    <n v="-74"/>
    <n v="2310.9499999999998"/>
    <s v="SEMANA 186"/>
  </r>
  <r>
    <s v="IMDM28600312.."/>
    <x v="3"/>
    <d v="2026-08-17T00:00:00"/>
    <d v="1899-12-30T21:17:38"/>
    <x v="6"/>
    <n v="-83"/>
    <n v="2206"/>
    <s v="SEMANA 187"/>
  </r>
  <r>
    <s v="IMDM28600323.."/>
    <x v="1"/>
    <d v="2026-08-17T00:00:00"/>
    <d v="1899-12-30T20:44:01"/>
    <x v="0"/>
    <n v="-116"/>
    <n v="1532.59"/>
    <s v="SEMANA 188"/>
  </r>
  <r>
    <s v="IMDM28600315.."/>
    <x v="0"/>
    <d v="2026-08-17T00:00:00"/>
    <d v="1899-12-30T19:29:36"/>
    <x v="3"/>
    <n v="-99"/>
    <n v="2562.9699999999998"/>
    <s v="SEMANA 189"/>
  </r>
  <r>
    <s v="IMDM28600315.."/>
    <x v="0"/>
    <d v="2026-08-17T00:00:00"/>
    <d v="1899-12-30T19:23:41"/>
    <x v="5"/>
    <n v="-5.0199999999999996"/>
    <n v="2557.9499999999998"/>
    <s v="SEMANA 190"/>
  </r>
  <r>
    <s v="IMDM28600315.."/>
    <x v="0"/>
    <d v="2026-08-17T00:00:00"/>
    <d v="1899-12-30T19:11:56"/>
    <x v="14"/>
    <n v="-131.06"/>
    <n v="2661.97"/>
    <s v="SEMANA 191"/>
  </r>
  <r>
    <s v="IMDM28600331.."/>
    <x v="8"/>
    <d v="2026-08-17T00:00:00"/>
    <d v="1899-12-30T19:02:55"/>
    <x v="12"/>
    <n v="-54"/>
    <n v="546"/>
    <s v="SEMANA 192"/>
  </r>
  <r>
    <s v="IMDM28600315.."/>
    <x v="0"/>
    <d v="2026-08-17T00:00:00"/>
    <d v="1899-12-30T19:01:36"/>
    <x v="15"/>
    <n v="-30.56"/>
    <n v="2793.03"/>
    <s v="SEMANA 193"/>
  </r>
  <r>
    <s v="IMDM28600315.."/>
    <x v="0"/>
    <d v="2026-08-17T00:00:00"/>
    <d v="1899-12-30T18:30:50"/>
    <x v="16"/>
    <n v="-43"/>
    <n v="2395.81"/>
    <s v="SEMANA 194"/>
  </r>
  <r>
    <s v="IMDM28600315.."/>
    <x v="0"/>
    <d v="2026-08-17T00:00:00"/>
    <d v="1899-12-30T18:17:47"/>
    <x v="16"/>
    <n v="-57"/>
    <n v="1828.95"/>
    <s v="SEMANA 195"/>
  </r>
  <r>
    <s v="IMDM30874315.."/>
    <x v="2"/>
    <d v="2026-08-17T00:00:00"/>
    <d v="1899-12-30T15:53:28"/>
    <x v="0"/>
    <n v="-116"/>
    <n v="255"/>
    <s v="SEMANA 196"/>
  </r>
  <r>
    <s v="IMDM30874317.."/>
    <x v="12"/>
    <d v="2026-08-17T00:00:00"/>
    <d v="1899-12-30T15:31:59"/>
    <x v="9"/>
    <n v="-82"/>
    <n v="360"/>
    <s v="SEMANA 197"/>
  </r>
  <r>
    <s v="IMDM28600315.."/>
    <x v="0"/>
    <d v="2026-08-17T00:00:00"/>
    <d v="1899-12-30T15:22:42"/>
    <x v="16"/>
    <n v="-57"/>
    <n v="2500.9499999999998"/>
    <s v="SEMANA 198"/>
  </r>
  <r>
    <s v="IMDM28600315.."/>
    <x v="0"/>
    <d v="2026-08-17T00:00:00"/>
    <d v="1899-12-30T15:15:16"/>
    <x v="16"/>
    <n v="-43"/>
    <n v="2192.9499999999998"/>
    <s v="SEMANA 199"/>
  </r>
  <r>
    <s v="IMDM28600315.."/>
    <x v="0"/>
    <d v="2026-08-17T00:00:00"/>
    <d v="1899-12-30T15:07:41"/>
    <x v="15"/>
    <n v="-140.13"/>
    <n v="2823.59"/>
    <s v="SEMANA 200"/>
  </r>
  <r>
    <s v="IMDM28600323.."/>
    <x v="1"/>
    <d v="2026-08-17T00:00:00"/>
    <d v="1899-12-30T15:06:29"/>
    <x v="1"/>
    <n v="-158"/>
    <n v="1648.59"/>
    <s v="SEMANA 201"/>
  </r>
  <r>
    <s v="IMDM30874317.."/>
    <x v="12"/>
    <d v="2026-08-17T00:00:00"/>
    <d v="1899-12-30T14:54:34"/>
    <x v="10"/>
    <n v="-82"/>
    <n v="278"/>
    <s v="SEMANA 202"/>
  </r>
  <r>
    <s v="IMDM28600315.."/>
    <x v="0"/>
    <d v="2026-08-17T00:00:00"/>
    <d v="1899-12-30T14:53:59"/>
    <x v="14"/>
    <n v="-79.45"/>
    <n v="1463.72"/>
    <s v="SEMANA 203"/>
  </r>
  <r>
    <s v="IMDM30874315.."/>
    <x v="2"/>
    <d v="2026-08-17T00:00:00"/>
    <d v="1899-12-30T14:51:55"/>
    <x v="0"/>
    <n v="-116"/>
    <n v="371"/>
    <s v="SEMANA 204"/>
  </r>
  <r>
    <s v="IMDM30874317.."/>
    <x v="12"/>
    <d v="2026-08-17T00:00:00"/>
    <d v="1899-12-30T14:42:33"/>
    <x v="0"/>
    <n v="-58"/>
    <n v="442"/>
    <s v="SEMANA 205"/>
  </r>
  <r>
    <s v="IMDM30874315.."/>
    <x v="2"/>
    <d v="2026-08-17T00:00:00"/>
    <d v="1899-12-30T13:45:36"/>
    <x v="1"/>
    <n v="-75"/>
    <n v="487"/>
    <s v="SEMANA 206"/>
  </r>
  <r>
    <s v="IMDM30874315.."/>
    <x v="2"/>
    <d v="2026-08-17T00:00:00"/>
    <d v="1899-12-30T13:31:11"/>
    <x v="0"/>
    <n v="-116"/>
    <n v="562"/>
    <s v="SEMANA 207"/>
  </r>
  <r>
    <s v="IMDM28600332.."/>
    <x v="7"/>
    <d v="2026-08-17T00:00:00"/>
    <d v="1899-12-30T13:25:29"/>
    <x v="6"/>
    <n v="-139"/>
    <n v="114"/>
    <s v="SEMANA 208"/>
  </r>
  <r>
    <s v="IMDM30874315.."/>
    <x v="2"/>
    <d v="2026-08-17T00:00:00"/>
    <d v="1899-12-30T13:21:14"/>
    <x v="3"/>
    <n v="-99"/>
    <n v="156"/>
    <s v="SEMANA 209"/>
  </r>
  <r>
    <s v="IMDM30874315.."/>
    <x v="2"/>
    <d v="2026-08-17T00:00:00"/>
    <d v="1899-12-30T13:14:45"/>
    <x v="5"/>
    <n v="-7.45"/>
    <n v="1990.55"/>
    <s v="SEMANA 210"/>
  </r>
  <r>
    <s v="IMDM30874316.."/>
    <x v="11"/>
    <d v="2026-08-17T00:00:00"/>
    <d v="1899-12-30T11:05:17"/>
    <x v="6"/>
    <n v="-42"/>
    <n v="420.51"/>
    <s v="SEMANA 211"/>
  </r>
  <r>
    <s v="IMDM30874316.."/>
    <x v="11"/>
    <d v="2026-08-17T00:00:00"/>
    <d v="1899-12-30T11:00:50"/>
    <x v="19"/>
    <n v="-201"/>
    <n v="219.51"/>
    <s v="SEMANA 212"/>
  </r>
  <r>
    <s v="IMDM28600332.."/>
    <x v="7"/>
    <d v="2026-08-17T00:00:00"/>
    <d v="1899-12-30T10:55:01"/>
    <x v="6"/>
    <n v="-139"/>
    <n v="361"/>
    <s v="SEMANA 213"/>
  </r>
  <r>
    <s v="IMDM28600332.."/>
    <x v="7"/>
    <d v="2026-08-17T00:00:00"/>
    <d v="1899-12-30T10:32:35"/>
    <x v="12"/>
    <n v="-108"/>
    <n v="253"/>
    <s v="SEMANA 214"/>
  </r>
  <r>
    <s v="IMDM30874315.."/>
    <x v="2"/>
    <d v="2026-08-17T00:00:00"/>
    <d v="1899-12-30T07:34:30"/>
    <x v="3"/>
    <n v="-99"/>
    <n v="785"/>
    <s v="SEMANA 215"/>
  </r>
  <r>
    <s v="IMDM28600312.."/>
    <x v="3"/>
    <d v="2026-08-17T00:00:00"/>
    <d v="1899-12-30T07:32:30"/>
    <x v="6"/>
    <n v="-83"/>
    <n v="2289"/>
    <s v="SEMANA 216"/>
  </r>
  <r>
    <s v="IMDM30874315.."/>
    <x v="2"/>
    <d v="2026-08-17T00:00:00"/>
    <d v="1899-12-30T07:18:34"/>
    <x v="0"/>
    <n v="-116"/>
    <n v="884"/>
    <s v="SEMANA 217"/>
  </r>
  <r>
    <s v="IMDM28600315.."/>
    <x v="0"/>
    <d v="2026-08-17T00:00:00"/>
    <d v="1899-12-30T07:07:47"/>
    <x v="3"/>
    <n v="-99"/>
    <n v="1543.17"/>
    <s v="SEMANA 218"/>
  </r>
  <r>
    <s v="IMDM28600315.."/>
    <x v="0"/>
    <d v="2026-08-17T00:00:00"/>
    <d v="1899-12-30T06:54:54"/>
    <x v="0"/>
    <n v="-116"/>
    <n v="1642.17"/>
    <s v="SEMANA 219"/>
  </r>
  <r>
    <s v="IMDM28600312.."/>
    <x v="3"/>
    <d v="2026-08-17T00:00:00"/>
    <d v="1899-12-30T06:42:15"/>
    <x v="6"/>
    <n v="-70"/>
    <n v="2372"/>
    <s v="SEMANA 220"/>
  </r>
  <r>
    <s v="IMDM30874315.."/>
    <x v="2"/>
    <d v="2026-08-17T00:00:00"/>
    <d v="1899-12-30T06:38:04"/>
    <x v="8"/>
    <n v="-58"/>
    <n v="392"/>
    <s v="SEMANA 221"/>
  </r>
  <r>
    <s v="IMDM28600334.."/>
    <x v="4"/>
    <d v="2026-08-17T00:00:00"/>
    <d v="1899-12-30T06:37:47"/>
    <x v="3"/>
    <n v="-99"/>
    <n v="731"/>
    <s v="SEMANA 222"/>
  </r>
  <r>
    <s v="IMDM30874315.."/>
    <x v="2"/>
    <d v="2026-08-17T00:00:00"/>
    <d v="1899-12-30T06:33:03"/>
    <x v="7"/>
    <n v="-51"/>
    <n v="450"/>
    <s v="SEMANA 223"/>
  </r>
  <r>
    <s v="IMDM28600334.."/>
    <x v="4"/>
    <d v="2026-08-17T00:00:00"/>
    <d v="1899-12-30T06:24:28"/>
    <x v="0"/>
    <n v="-116"/>
    <n v="830"/>
    <s v="SEMANA 224"/>
  </r>
  <r>
    <s v="IMDM28600334.."/>
    <x v="4"/>
    <d v="2026-08-17T00:00:00"/>
    <d v="1899-12-30T04:46:19"/>
    <x v="12"/>
    <n v="-54"/>
    <n v="946"/>
    <s v="SEMANA 2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ESPONSABLE">
  <location ref="C6:D20" firstHeaderRow="1" firstDataRow="1" firstDataCol="1"/>
  <pivotFields count="8">
    <pivotField showAll="0"/>
    <pivotField axis="axisRow" showAll="0">
      <items count="14">
        <item x="12"/>
        <item x="5"/>
        <item x="3"/>
        <item x="2"/>
        <item x="11"/>
        <item x="7"/>
        <item x="10"/>
        <item x="4"/>
        <item x="1"/>
        <item x="0"/>
        <item x="8"/>
        <item x="9"/>
        <item x="6"/>
        <item t="default"/>
      </items>
    </pivotField>
    <pivotField numFmtId="14" showAll="0"/>
    <pivotField showAll="0"/>
    <pivotField showAll="0">
      <items count="22">
        <item x="19"/>
        <item x="17"/>
        <item x="11"/>
        <item x="18"/>
        <item x="8"/>
        <item x="16"/>
        <item x="13"/>
        <item x="12"/>
        <item x="10"/>
        <item x="20"/>
        <item x="4"/>
        <item x="9"/>
        <item x="1"/>
        <item x="0"/>
        <item x="7"/>
        <item x="14"/>
        <item x="5"/>
        <item x="3"/>
        <item x="2"/>
        <item x="15"/>
        <item x="6"/>
        <item t="default"/>
      </items>
    </pivotField>
    <pivotField dataField="1" numFmtId="8" showAll="0"/>
    <pivotField numFmtId="8"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SUMO" fld="5" baseField="0" baseItem="0"/>
  </dataFields>
  <formats count="6">
    <format dxfId="12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a1" displayName="Tabla1" ref="A1:H194" totalsRowCount="1" headerRowDxfId="23" totalsRowDxfId="22">
  <autoFilter ref="A1:H193"/>
  <tableColumns count="8">
    <tableColumn id="1" name="Tag" totalsRowLabel="Total" totalsRowDxfId="21"/>
    <tableColumn id="2" name="No.Economico" totalsRowDxfId="20"/>
    <tableColumn id="3" name="Fecha" dataDxfId="27" totalsRowDxfId="19"/>
    <tableColumn id="4" name="Hora" dataDxfId="26" totalsRowDxfId="18"/>
    <tableColumn id="5" name="Caseta" totalsRowDxfId="17"/>
    <tableColumn id="6" name="Importe" totalsRowFunction="sum" dataDxfId="25" totalsRowDxfId="16" totalsRowCellStyle="Moneda"/>
    <tableColumn id="7" name="Saldo" dataDxfId="24" totalsRowDxfId="15"/>
    <tableColumn id="8" name="SEMANA" totalsRowFunction="count" totalsRowDxfId="14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E1048576"/>
  <sheetViews>
    <sheetView workbookViewId="0">
      <selection activeCell="F6" sqref="F6"/>
    </sheetView>
  </sheetViews>
  <sheetFormatPr baseColWidth="10" defaultRowHeight="15" x14ac:dyDescent="0.25"/>
  <cols>
    <col min="1" max="1" width="18" bestFit="1" customWidth="1"/>
    <col min="2" max="2" width="16.28515625" bestFit="1" customWidth="1"/>
    <col min="3" max="3" width="23.28515625" bestFit="1" customWidth="1"/>
    <col min="4" max="4" width="15.85546875" style="7" bestFit="1" customWidth="1"/>
  </cols>
  <sheetData>
    <row r="3" spans="2:5" x14ac:dyDescent="0.25">
      <c r="B3" s="8" t="s">
        <v>252</v>
      </c>
      <c r="C3" s="8"/>
      <c r="D3" s="8"/>
      <c r="E3" s="8"/>
    </row>
    <row r="4" spans="2:5" x14ac:dyDescent="0.25">
      <c r="B4" s="8"/>
      <c r="C4" s="8"/>
      <c r="D4" s="8"/>
      <c r="E4" s="8"/>
    </row>
    <row r="6" spans="2:5" ht="18.75" x14ac:dyDescent="0.3">
      <c r="C6" s="9" t="s">
        <v>251</v>
      </c>
      <c r="D6" s="10" t="s">
        <v>250</v>
      </c>
    </row>
    <row r="7" spans="2:5" ht="18.75" x14ac:dyDescent="0.3">
      <c r="C7" s="11" t="s">
        <v>54</v>
      </c>
      <c r="D7" s="10">
        <v>-222</v>
      </c>
    </row>
    <row r="8" spans="2:5" ht="18.75" x14ac:dyDescent="0.3">
      <c r="C8" s="11" t="s">
        <v>28</v>
      </c>
      <c r="D8" s="10">
        <v>-686</v>
      </c>
    </row>
    <row r="9" spans="2:5" ht="18.75" x14ac:dyDescent="0.3">
      <c r="C9" s="11" t="s">
        <v>20</v>
      </c>
      <c r="D9" s="10">
        <v>-1629</v>
      </c>
    </row>
    <row r="10" spans="2:5" ht="18.75" x14ac:dyDescent="0.3">
      <c r="C10" s="11" t="s">
        <v>14</v>
      </c>
      <c r="D10" s="10">
        <v>-1399.45</v>
      </c>
    </row>
    <row r="11" spans="2:5" ht="18.75" x14ac:dyDescent="0.3">
      <c r="C11" s="11" t="s">
        <v>48</v>
      </c>
      <c r="D11" s="10">
        <v>-624</v>
      </c>
    </row>
    <row r="12" spans="2:5" ht="18.75" x14ac:dyDescent="0.3">
      <c r="C12" s="11" t="s">
        <v>34</v>
      </c>
      <c r="D12" s="10">
        <v>-1286</v>
      </c>
    </row>
    <row r="13" spans="2:5" ht="18.75" x14ac:dyDescent="0.3">
      <c r="C13" s="11" t="s">
        <v>42</v>
      </c>
      <c r="D13" s="10">
        <v>-215</v>
      </c>
    </row>
    <row r="14" spans="2:5" ht="18.75" x14ac:dyDescent="0.3">
      <c r="C14" s="11" t="s">
        <v>23</v>
      </c>
      <c r="D14" s="10">
        <v>-655.49</v>
      </c>
    </row>
    <row r="15" spans="2:5" ht="18.75" x14ac:dyDescent="0.3">
      <c r="C15" s="11" t="s">
        <v>11</v>
      </c>
      <c r="D15" s="10">
        <v>-2819.49</v>
      </c>
    </row>
    <row r="16" spans="2:5" ht="18.75" x14ac:dyDescent="0.3">
      <c r="C16" s="11" t="s">
        <v>8</v>
      </c>
      <c r="D16" s="10">
        <v>-5662.3600000000006</v>
      </c>
    </row>
    <row r="17" spans="3:4" ht="18.75" x14ac:dyDescent="0.3">
      <c r="C17" s="11" t="s">
        <v>38</v>
      </c>
      <c r="D17" s="10">
        <v>-486</v>
      </c>
    </row>
    <row r="18" spans="3:4" ht="18.75" x14ac:dyDescent="0.3">
      <c r="C18" s="11" t="s">
        <v>40</v>
      </c>
      <c r="D18" s="10">
        <v>-465</v>
      </c>
    </row>
    <row r="19" spans="3:4" ht="18.75" x14ac:dyDescent="0.3">
      <c r="C19" s="11" t="s">
        <v>31</v>
      </c>
      <c r="D19" s="10">
        <v>-54</v>
      </c>
    </row>
    <row r="20" spans="3:4" ht="18.75" x14ac:dyDescent="0.3">
      <c r="C20" s="11" t="s">
        <v>249</v>
      </c>
      <c r="D20" s="10">
        <v>-16203.79</v>
      </c>
    </row>
    <row r="1048576" spans="4:4" x14ac:dyDescent="0.25">
      <c r="D1048576" s="7">
        <f>SUM(D1:D1048575)</f>
        <v>-32407.58</v>
      </c>
    </row>
  </sheetData>
  <mergeCells count="1">
    <mergeCell ref="B3:E4"/>
  </mergeCell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4"/>
  <sheetViews>
    <sheetView tabSelected="1" topLeftCell="A116" workbookViewId="0">
      <selection activeCell="E6" sqref="E6"/>
    </sheetView>
  </sheetViews>
  <sheetFormatPr baseColWidth="10" defaultRowHeight="15" x14ac:dyDescent="0.25"/>
  <cols>
    <col min="1" max="1" width="15.42578125" bestFit="1" customWidth="1"/>
    <col min="2" max="2" width="18" bestFit="1" customWidth="1"/>
    <col min="3" max="3" width="10.7109375" bestFit="1" customWidth="1"/>
    <col min="4" max="4" width="8.140625" bestFit="1" customWidth="1"/>
    <col min="5" max="5" width="25.140625" bestFit="1" customWidth="1"/>
    <col min="6" max="6" width="11.5703125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55</v>
      </c>
    </row>
    <row r="2" spans="1:8" x14ac:dyDescent="0.25">
      <c r="A2" t="s">
        <v>7</v>
      </c>
      <c r="B2" t="s">
        <v>8</v>
      </c>
      <c r="C2" s="1">
        <v>46257</v>
      </c>
      <c r="D2" s="2">
        <v>0.87953703703703701</v>
      </c>
      <c r="E2" t="s">
        <v>9</v>
      </c>
      <c r="F2" s="3">
        <v>-116</v>
      </c>
      <c r="G2" s="3">
        <v>2293.87</v>
      </c>
      <c r="H2" t="s">
        <v>56</v>
      </c>
    </row>
    <row r="3" spans="1:8" x14ac:dyDescent="0.25">
      <c r="A3" t="s">
        <v>10</v>
      </c>
      <c r="B3" t="s">
        <v>11</v>
      </c>
      <c r="C3" s="1">
        <v>46257</v>
      </c>
      <c r="D3" s="2">
        <v>0.84650462962962958</v>
      </c>
      <c r="E3" t="s">
        <v>9</v>
      </c>
      <c r="F3" s="3">
        <v>-58</v>
      </c>
      <c r="G3" s="3">
        <v>1987.1</v>
      </c>
      <c r="H3" t="s">
        <v>57</v>
      </c>
    </row>
    <row r="4" spans="1:8" x14ac:dyDescent="0.25">
      <c r="A4" t="s">
        <v>10</v>
      </c>
      <c r="B4" t="s">
        <v>11</v>
      </c>
      <c r="C4" s="1">
        <v>46257</v>
      </c>
      <c r="D4" s="2">
        <v>0.84615740740740741</v>
      </c>
      <c r="E4" t="s">
        <v>9</v>
      </c>
      <c r="F4" s="3">
        <v>-58</v>
      </c>
      <c r="G4" s="3">
        <v>2045.1</v>
      </c>
      <c r="H4" t="s">
        <v>58</v>
      </c>
    </row>
    <row r="5" spans="1:8" x14ac:dyDescent="0.25">
      <c r="A5" t="s">
        <v>10</v>
      </c>
      <c r="B5" t="s">
        <v>11</v>
      </c>
      <c r="C5" s="1">
        <v>46257</v>
      </c>
      <c r="D5" s="2">
        <v>0.83855324074074078</v>
      </c>
      <c r="E5" t="s">
        <v>12</v>
      </c>
      <c r="F5" s="3">
        <v>-75</v>
      </c>
      <c r="G5" s="3">
        <v>2103.1</v>
      </c>
      <c r="H5" t="s">
        <v>59</v>
      </c>
    </row>
    <row r="6" spans="1:8" x14ac:dyDescent="0.25">
      <c r="A6" t="s">
        <v>7</v>
      </c>
      <c r="B6" t="s">
        <v>8</v>
      </c>
      <c r="C6" s="1">
        <v>46257</v>
      </c>
      <c r="D6" s="2">
        <v>0.74732638888888892</v>
      </c>
      <c r="E6" t="s">
        <v>9</v>
      </c>
      <c r="F6" s="3">
        <v>-116</v>
      </c>
      <c r="G6" s="3">
        <v>2309.87</v>
      </c>
      <c r="H6" t="s">
        <v>60</v>
      </c>
    </row>
    <row r="7" spans="1:8" x14ac:dyDescent="0.25">
      <c r="A7" t="s">
        <v>10</v>
      </c>
      <c r="B7" t="s">
        <v>11</v>
      </c>
      <c r="C7" s="1">
        <v>46257</v>
      </c>
      <c r="D7" s="2">
        <v>0.70623842592592589</v>
      </c>
      <c r="E7" t="s">
        <v>12</v>
      </c>
      <c r="F7" s="3">
        <v>-75</v>
      </c>
      <c r="G7" s="3">
        <v>2277.1</v>
      </c>
      <c r="H7" t="s">
        <v>61</v>
      </c>
    </row>
    <row r="8" spans="1:8" x14ac:dyDescent="0.25">
      <c r="A8" t="s">
        <v>13</v>
      </c>
      <c r="B8" t="s">
        <v>14</v>
      </c>
      <c r="C8" s="1">
        <v>46257</v>
      </c>
      <c r="D8" s="2">
        <v>0.70524305555555555</v>
      </c>
      <c r="E8" t="s">
        <v>15</v>
      </c>
      <c r="F8" s="3">
        <v>-37</v>
      </c>
      <c r="G8" s="3">
        <v>1635.55</v>
      </c>
      <c r="H8" t="s">
        <v>62</v>
      </c>
    </row>
    <row r="9" spans="1:8" x14ac:dyDescent="0.25">
      <c r="A9" t="s">
        <v>10</v>
      </c>
      <c r="B9" t="s">
        <v>11</v>
      </c>
      <c r="C9" s="1">
        <v>46257</v>
      </c>
      <c r="D9" s="2">
        <v>0.70038194444444446</v>
      </c>
      <c r="E9" t="s">
        <v>9</v>
      </c>
      <c r="F9" s="3">
        <v>-116</v>
      </c>
      <c r="G9" s="3">
        <v>2352.1</v>
      </c>
      <c r="H9" t="s">
        <v>63</v>
      </c>
    </row>
    <row r="10" spans="1:8" x14ac:dyDescent="0.25">
      <c r="A10" t="s">
        <v>10</v>
      </c>
      <c r="B10" t="s">
        <v>11</v>
      </c>
      <c r="C10" s="1">
        <v>46257</v>
      </c>
      <c r="D10" s="2">
        <v>0.69506944444444441</v>
      </c>
      <c r="E10" t="s">
        <v>16</v>
      </c>
      <c r="F10" s="3">
        <v>-99</v>
      </c>
      <c r="G10" s="3">
        <v>2178.1</v>
      </c>
      <c r="H10" t="s">
        <v>64</v>
      </c>
    </row>
    <row r="11" spans="1:8" x14ac:dyDescent="0.25">
      <c r="A11" t="s">
        <v>13</v>
      </c>
      <c r="B11" t="s">
        <v>14</v>
      </c>
      <c r="C11" s="1">
        <v>46257</v>
      </c>
      <c r="D11" s="2">
        <v>0.68807870370370372</v>
      </c>
      <c r="E11" t="s">
        <v>17</v>
      </c>
      <c r="F11" s="3">
        <v>-76</v>
      </c>
      <c r="G11" s="3">
        <v>1672.55</v>
      </c>
      <c r="H11" t="s">
        <v>65</v>
      </c>
    </row>
    <row r="12" spans="1:8" x14ac:dyDescent="0.25">
      <c r="A12" t="s">
        <v>10</v>
      </c>
      <c r="B12" t="s">
        <v>11</v>
      </c>
      <c r="C12" s="1">
        <v>46257</v>
      </c>
      <c r="D12" s="2">
        <v>0.6868981481481482</v>
      </c>
      <c r="E12" t="s">
        <v>18</v>
      </c>
      <c r="F12" s="3">
        <v>-33.49</v>
      </c>
      <c r="G12" s="3">
        <v>1468.1</v>
      </c>
      <c r="H12" t="s">
        <v>66</v>
      </c>
    </row>
    <row r="13" spans="1:8" x14ac:dyDescent="0.25">
      <c r="A13" t="s">
        <v>10</v>
      </c>
      <c r="B13" t="s">
        <v>11</v>
      </c>
      <c r="C13" s="1">
        <v>46257</v>
      </c>
      <c r="D13" s="2">
        <v>0.56371527777777775</v>
      </c>
      <c r="E13" t="s">
        <v>16</v>
      </c>
      <c r="F13" s="3">
        <v>-99</v>
      </c>
      <c r="G13" s="3">
        <v>1501.59</v>
      </c>
      <c r="H13" t="s">
        <v>67</v>
      </c>
    </row>
    <row r="14" spans="1:8" x14ac:dyDescent="0.25">
      <c r="A14" t="s">
        <v>10</v>
      </c>
      <c r="B14" t="s">
        <v>11</v>
      </c>
      <c r="C14" s="1">
        <v>46256</v>
      </c>
      <c r="D14" s="2">
        <v>0.92766203703703709</v>
      </c>
      <c r="E14" t="s">
        <v>9</v>
      </c>
      <c r="F14" s="3">
        <v>-116</v>
      </c>
      <c r="G14" s="3">
        <v>1600.59</v>
      </c>
      <c r="H14" t="s">
        <v>68</v>
      </c>
    </row>
    <row r="15" spans="1:8" x14ac:dyDescent="0.25">
      <c r="A15" t="s">
        <v>10</v>
      </c>
      <c r="B15" t="s">
        <v>11</v>
      </c>
      <c r="C15" s="1">
        <v>46256</v>
      </c>
      <c r="D15" s="2">
        <v>0.92092592592592593</v>
      </c>
      <c r="E15" t="s">
        <v>12</v>
      </c>
      <c r="F15" s="3">
        <v>-75</v>
      </c>
      <c r="G15" s="3">
        <v>1716.59</v>
      </c>
      <c r="H15" t="s">
        <v>69</v>
      </c>
    </row>
    <row r="16" spans="1:8" x14ac:dyDescent="0.25">
      <c r="A16" t="s">
        <v>7</v>
      </c>
      <c r="B16" t="s">
        <v>8</v>
      </c>
      <c r="C16" s="1">
        <v>46256</v>
      </c>
      <c r="D16" s="2">
        <v>0.8139467592592593</v>
      </c>
      <c r="E16" t="s">
        <v>12</v>
      </c>
      <c r="F16" s="3">
        <v>-75</v>
      </c>
      <c r="G16" s="3">
        <v>2325.87</v>
      </c>
      <c r="H16" t="s">
        <v>70</v>
      </c>
    </row>
    <row r="17" spans="1:8" x14ac:dyDescent="0.25">
      <c r="A17" t="s">
        <v>19</v>
      </c>
      <c r="B17" t="s">
        <v>20</v>
      </c>
      <c r="C17" s="1">
        <v>46256</v>
      </c>
      <c r="D17" s="2">
        <v>0.8105324074074074</v>
      </c>
      <c r="E17" t="s">
        <v>21</v>
      </c>
      <c r="F17" s="3">
        <v>-70</v>
      </c>
      <c r="G17" s="3">
        <v>813</v>
      </c>
      <c r="H17" t="s">
        <v>71</v>
      </c>
    </row>
    <row r="18" spans="1:8" x14ac:dyDescent="0.25">
      <c r="A18" t="s">
        <v>7</v>
      </c>
      <c r="B18" t="s">
        <v>8</v>
      </c>
      <c r="C18" s="1">
        <v>46256</v>
      </c>
      <c r="D18" s="2">
        <v>0.80644675925925924</v>
      </c>
      <c r="E18" t="s">
        <v>9</v>
      </c>
      <c r="F18" s="3">
        <v>-116</v>
      </c>
      <c r="G18" s="3">
        <v>2300.87</v>
      </c>
      <c r="H18" t="s">
        <v>72</v>
      </c>
    </row>
    <row r="19" spans="1:8" x14ac:dyDescent="0.25">
      <c r="A19" t="s">
        <v>22</v>
      </c>
      <c r="B19" t="s">
        <v>23</v>
      </c>
      <c r="C19" s="1">
        <v>46256</v>
      </c>
      <c r="D19" s="2">
        <v>0.76379629629629631</v>
      </c>
      <c r="E19" t="s">
        <v>21</v>
      </c>
      <c r="F19" s="3">
        <v>-70</v>
      </c>
      <c r="G19" s="3">
        <v>644.51</v>
      </c>
      <c r="H19" t="s">
        <v>73</v>
      </c>
    </row>
    <row r="20" spans="1:8" x14ac:dyDescent="0.25">
      <c r="A20" t="s">
        <v>22</v>
      </c>
      <c r="B20" t="s">
        <v>23</v>
      </c>
      <c r="C20" s="1">
        <v>46256</v>
      </c>
      <c r="D20" s="2">
        <v>0.74229166666666668</v>
      </c>
      <c r="E20" t="s">
        <v>21</v>
      </c>
      <c r="F20" s="3">
        <v>-42</v>
      </c>
      <c r="G20" s="3">
        <v>813.51</v>
      </c>
      <c r="H20" t="s">
        <v>74</v>
      </c>
    </row>
    <row r="21" spans="1:8" x14ac:dyDescent="0.25">
      <c r="A21" t="s">
        <v>19</v>
      </c>
      <c r="B21" t="s">
        <v>20</v>
      </c>
      <c r="C21" s="1">
        <v>46256</v>
      </c>
      <c r="D21" s="2">
        <v>0.73745370370370367</v>
      </c>
      <c r="E21" t="s">
        <v>21</v>
      </c>
      <c r="F21" s="3">
        <v>-83</v>
      </c>
      <c r="G21" s="3">
        <v>883</v>
      </c>
      <c r="H21" t="s">
        <v>75</v>
      </c>
    </row>
    <row r="22" spans="1:8" x14ac:dyDescent="0.25">
      <c r="A22" t="s">
        <v>22</v>
      </c>
      <c r="B22" t="s">
        <v>23</v>
      </c>
      <c r="C22" s="1">
        <v>46256</v>
      </c>
      <c r="D22" s="2">
        <v>0.72226851851851848</v>
      </c>
      <c r="E22" t="s">
        <v>9</v>
      </c>
      <c r="F22" s="3">
        <v>-116</v>
      </c>
      <c r="G22" s="3">
        <v>855.51</v>
      </c>
      <c r="H22" t="s">
        <v>76</v>
      </c>
    </row>
    <row r="23" spans="1:8" x14ac:dyDescent="0.25">
      <c r="A23" t="s">
        <v>22</v>
      </c>
      <c r="B23" t="s">
        <v>23</v>
      </c>
      <c r="C23" s="1">
        <v>46256</v>
      </c>
      <c r="D23" s="2">
        <v>0.71424768518518522</v>
      </c>
      <c r="E23" t="s">
        <v>16</v>
      </c>
      <c r="F23" s="3">
        <v>-99</v>
      </c>
      <c r="G23" s="3">
        <v>714.51</v>
      </c>
      <c r="H23" t="s">
        <v>77</v>
      </c>
    </row>
    <row r="24" spans="1:8" x14ac:dyDescent="0.25">
      <c r="A24" t="s">
        <v>22</v>
      </c>
      <c r="B24" t="s">
        <v>23</v>
      </c>
      <c r="C24" s="1">
        <v>46256</v>
      </c>
      <c r="D24" s="2">
        <v>0.70505787037037038</v>
      </c>
      <c r="E24" t="s">
        <v>18</v>
      </c>
      <c r="F24" s="3">
        <v>-33.49</v>
      </c>
      <c r="G24" s="3">
        <v>971.51</v>
      </c>
      <c r="H24" t="s">
        <v>78</v>
      </c>
    </row>
    <row r="25" spans="1:8" x14ac:dyDescent="0.25">
      <c r="A25" t="s">
        <v>19</v>
      </c>
      <c r="B25" t="s">
        <v>20</v>
      </c>
      <c r="C25" s="1">
        <v>46256</v>
      </c>
      <c r="D25" s="2">
        <v>0.67511574074074077</v>
      </c>
      <c r="E25" t="s">
        <v>9</v>
      </c>
      <c r="F25" s="3">
        <v>-122</v>
      </c>
      <c r="G25" s="3">
        <v>966</v>
      </c>
      <c r="H25" t="s">
        <v>79</v>
      </c>
    </row>
    <row r="26" spans="1:8" x14ac:dyDescent="0.25">
      <c r="A26" t="s">
        <v>13</v>
      </c>
      <c r="B26" t="s">
        <v>14</v>
      </c>
      <c r="C26" s="1">
        <v>46256</v>
      </c>
      <c r="D26" s="2">
        <v>0.5728240740740741</v>
      </c>
      <c r="E26" t="s">
        <v>24</v>
      </c>
      <c r="F26" s="3">
        <v>-51</v>
      </c>
      <c r="G26" s="3">
        <v>1652.55</v>
      </c>
      <c r="H26" t="s">
        <v>80</v>
      </c>
    </row>
    <row r="27" spans="1:8" x14ac:dyDescent="0.25">
      <c r="A27" t="s">
        <v>13</v>
      </c>
      <c r="B27" t="s">
        <v>14</v>
      </c>
      <c r="C27" s="1">
        <v>46256</v>
      </c>
      <c r="D27" s="2">
        <v>0.5700115740740741</v>
      </c>
      <c r="E27" t="s">
        <v>25</v>
      </c>
      <c r="F27" s="3">
        <v>-58</v>
      </c>
      <c r="G27" s="3">
        <v>1703.55</v>
      </c>
      <c r="H27" t="s">
        <v>81</v>
      </c>
    </row>
    <row r="28" spans="1:8" x14ac:dyDescent="0.25">
      <c r="A28" t="s">
        <v>7</v>
      </c>
      <c r="B28" t="s">
        <v>8</v>
      </c>
      <c r="C28" s="1">
        <v>46256</v>
      </c>
      <c r="D28" s="2">
        <v>0.56043981481481486</v>
      </c>
      <c r="E28" t="s">
        <v>9</v>
      </c>
      <c r="F28" s="3">
        <v>-116</v>
      </c>
      <c r="G28" s="3">
        <v>2316.87</v>
      </c>
      <c r="H28" t="s">
        <v>82</v>
      </c>
    </row>
    <row r="29" spans="1:8" x14ac:dyDescent="0.25">
      <c r="A29" t="s">
        <v>13</v>
      </c>
      <c r="B29" t="s">
        <v>14</v>
      </c>
      <c r="C29" s="1">
        <v>46256</v>
      </c>
      <c r="D29" s="2">
        <v>0.56042824074074071</v>
      </c>
      <c r="E29" t="s">
        <v>12</v>
      </c>
      <c r="F29" s="3">
        <v>-75</v>
      </c>
      <c r="G29" s="3">
        <v>1761.55</v>
      </c>
      <c r="H29" t="s">
        <v>83</v>
      </c>
    </row>
    <row r="30" spans="1:8" x14ac:dyDescent="0.25">
      <c r="A30" t="s">
        <v>13</v>
      </c>
      <c r="B30" t="s">
        <v>14</v>
      </c>
      <c r="C30" s="1">
        <v>46256</v>
      </c>
      <c r="D30" s="2">
        <v>0.55319444444444443</v>
      </c>
      <c r="E30" t="s">
        <v>9</v>
      </c>
      <c r="F30" s="3">
        <v>-58</v>
      </c>
      <c r="G30" s="3">
        <v>1836.55</v>
      </c>
      <c r="H30" t="s">
        <v>84</v>
      </c>
    </row>
    <row r="31" spans="1:8" x14ac:dyDescent="0.25">
      <c r="A31" t="s">
        <v>13</v>
      </c>
      <c r="B31" t="s">
        <v>14</v>
      </c>
      <c r="C31" s="1">
        <v>46256</v>
      </c>
      <c r="D31" s="2">
        <v>0.55206018518518518</v>
      </c>
      <c r="E31" t="s">
        <v>26</v>
      </c>
      <c r="F31" s="3">
        <v>-82</v>
      </c>
      <c r="G31" s="3">
        <v>66</v>
      </c>
      <c r="H31" t="s">
        <v>85</v>
      </c>
    </row>
    <row r="32" spans="1:8" x14ac:dyDescent="0.25">
      <c r="A32" t="s">
        <v>27</v>
      </c>
      <c r="B32" t="s">
        <v>28</v>
      </c>
      <c r="C32" s="1">
        <v>46256</v>
      </c>
      <c r="D32" s="2">
        <v>0.48598379629629629</v>
      </c>
      <c r="E32" t="s">
        <v>9</v>
      </c>
      <c r="F32" s="3">
        <v>-58</v>
      </c>
      <c r="G32" s="3">
        <v>204</v>
      </c>
      <c r="H32" t="s">
        <v>86</v>
      </c>
    </row>
    <row r="33" spans="1:8" x14ac:dyDescent="0.25">
      <c r="A33" t="s">
        <v>27</v>
      </c>
      <c r="B33" t="s">
        <v>28</v>
      </c>
      <c r="C33" s="1">
        <v>46256</v>
      </c>
      <c r="D33" s="2">
        <v>0.48520833333333335</v>
      </c>
      <c r="E33" t="s">
        <v>26</v>
      </c>
      <c r="F33" s="3">
        <v>-82</v>
      </c>
      <c r="G33" s="3">
        <v>1014</v>
      </c>
      <c r="H33" t="s">
        <v>87</v>
      </c>
    </row>
    <row r="34" spans="1:8" x14ac:dyDescent="0.25">
      <c r="A34" t="s">
        <v>29</v>
      </c>
      <c r="B34" t="s">
        <v>8</v>
      </c>
      <c r="C34" s="1">
        <v>46256</v>
      </c>
      <c r="D34" s="2">
        <v>0.42532407407407408</v>
      </c>
      <c r="E34" t="s">
        <v>12</v>
      </c>
      <c r="F34" s="3">
        <v>-75</v>
      </c>
      <c r="G34" s="3">
        <v>2088.81</v>
      </c>
      <c r="H34" t="s">
        <v>88</v>
      </c>
    </row>
    <row r="35" spans="1:8" x14ac:dyDescent="0.25">
      <c r="A35" t="s">
        <v>10</v>
      </c>
      <c r="B35" t="s">
        <v>11</v>
      </c>
      <c r="C35" s="1">
        <v>46256</v>
      </c>
      <c r="D35" s="2">
        <v>0.42348379629629629</v>
      </c>
      <c r="E35" t="s">
        <v>9</v>
      </c>
      <c r="F35" s="3">
        <v>-116</v>
      </c>
      <c r="G35" s="3">
        <v>1791.59</v>
      </c>
      <c r="H35" t="s">
        <v>89</v>
      </c>
    </row>
    <row r="36" spans="1:8" x14ac:dyDescent="0.25">
      <c r="A36" t="s">
        <v>29</v>
      </c>
      <c r="B36" t="s">
        <v>8</v>
      </c>
      <c r="C36" s="1">
        <v>46256</v>
      </c>
      <c r="D36" s="4">
        <v>0.41736111111111113</v>
      </c>
      <c r="E36" t="s">
        <v>9</v>
      </c>
      <c r="F36" s="3">
        <v>-116</v>
      </c>
      <c r="G36" s="3">
        <v>2163.81</v>
      </c>
      <c r="H36" t="s">
        <v>90</v>
      </c>
    </row>
    <row r="37" spans="1:8" x14ac:dyDescent="0.25">
      <c r="A37" t="s">
        <v>30</v>
      </c>
      <c r="B37" t="s">
        <v>31</v>
      </c>
      <c r="C37" s="1">
        <v>46256</v>
      </c>
      <c r="D37" s="2">
        <v>0.40024305555555556</v>
      </c>
      <c r="E37" t="s">
        <v>32</v>
      </c>
      <c r="F37" s="3">
        <v>-27</v>
      </c>
      <c r="G37" s="3">
        <v>772</v>
      </c>
      <c r="H37" t="s">
        <v>91</v>
      </c>
    </row>
    <row r="38" spans="1:8" x14ac:dyDescent="0.25">
      <c r="A38" t="s">
        <v>27</v>
      </c>
      <c r="B38" t="s">
        <v>28</v>
      </c>
      <c r="C38" s="1">
        <v>46256</v>
      </c>
      <c r="D38" s="2">
        <v>0.38755787037037037</v>
      </c>
      <c r="E38" t="s">
        <v>32</v>
      </c>
      <c r="F38" s="3">
        <v>-82</v>
      </c>
      <c r="G38" s="3">
        <v>918</v>
      </c>
      <c r="H38" t="s">
        <v>92</v>
      </c>
    </row>
    <row r="39" spans="1:8" x14ac:dyDescent="0.25">
      <c r="A39" t="s">
        <v>27</v>
      </c>
      <c r="B39" t="s">
        <v>28</v>
      </c>
      <c r="C39" s="1">
        <v>46256</v>
      </c>
      <c r="D39" s="2">
        <v>0.37975694444444447</v>
      </c>
      <c r="E39" t="s">
        <v>9</v>
      </c>
      <c r="F39" s="3">
        <v>-58</v>
      </c>
      <c r="G39" s="3">
        <v>536</v>
      </c>
      <c r="H39" t="s">
        <v>93</v>
      </c>
    </row>
    <row r="40" spans="1:8" x14ac:dyDescent="0.25">
      <c r="A40" t="s">
        <v>27</v>
      </c>
      <c r="B40" t="s">
        <v>28</v>
      </c>
      <c r="C40" s="1">
        <v>46256</v>
      </c>
      <c r="D40" s="2">
        <v>0.37328703703703703</v>
      </c>
      <c r="E40" t="s">
        <v>12</v>
      </c>
      <c r="F40" s="3">
        <v>-75</v>
      </c>
      <c r="G40" s="3">
        <v>594</v>
      </c>
      <c r="H40" t="s">
        <v>94</v>
      </c>
    </row>
    <row r="41" spans="1:8" x14ac:dyDescent="0.25">
      <c r="A41" t="s">
        <v>29</v>
      </c>
      <c r="B41" t="s">
        <v>8</v>
      </c>
      <c r="C41" s="1">
        <v>46256</v>
      </c>
      <c r="D41" s="2">
        <v>0.35358796296296297</v>
      </c>
      <c r="E41" t="s">
        <v>9</v>
      </c>
      <c r="F41" s="3">
        <v>-116</v>
      </c>
      <c r="G41" s="3">
        <v>2279.81</v>
      </c>
      <c r="H41" t="s">
        <v>95</v>
      </c>
    </row>
    <row r="42" spans="1:8" x14ac:dyDescent="0.25">
      <c r="A42" t="s">
        <v>19</v>
      </c>
      <c r="B42" t="s">
        <v>20</v>
      </c>
      <c r="C42" s="1">
        <v>46256</v>
      </c>
      <c r="D42" s="2">
        <v>0.3389699074074074</v>
      </c>
      <c r="E42" t="s">
        <v>21</v>
      </c>
      <c r="F42" s="3">
        <v>-83</v>
      </c>
      <c r="G42" s="3">
        <v>1088</v>
      </c>
      <c r="H42" t="s">
        <v>96</v>
      </c>
    </row>
    <row r="43" spans="1:8" x14ac:dyDescent="0.25">
      <c r="A43" t="s">
        <v>33</v>
      </c>
      <c r="B43" t="s">
        <v>34</v>
      </c>
      <c r="C43" s="1">
        <v>46255</v>
      </c>
      <c r="D43" s="4">
        <v>0.99236111111111114</v>
      </c>
      <c r="E43" t="s">
        <v>32</v>
      </c>
      <c r="F43" s="3">
        <v>-74</v>
      </c>
      <c r="G43" s="3">
        <v>426</v>
      </c>
      <c r="H43" t="s">
        <v>97</v>
      </c>
    </row>
    <row r="44" spans="1:8" x14ac:dyDescent="0.25">
      <c r="A44" t="s">
        <v>33</v>
      </c>
      <c r="B44" t="s">
        <v>34</v>
      </c>
      <c r="C44" s="1">
        <v>46255</v>
      </c>
      <c r="D44" s="2">
        <v>0.98475694444444439</v>
      </c>
      <c r="E44" t="s">
        <v>35</v>
      </c>
      <c r="F44" s="3">
        <v>-201</v>
      </c>
      <c r="G44" s="3">
        <v>188</v>
      </c>
      <c r="H44" t="s">
        <v>98</v>
      </c>
    </row>
    <row r="45" spans="1:8" x14ac:dyDescent="0.25">
      <c r="A45" t="s">
        <v>7</v>
      </c>
      <c r="B45" t="s">
        <v>8</v>
      </c>
      <c r="C45" s="1">
        <v>46255</v>
      </c>
      <c r="D45" s="2">
        <v>0.9588888888888889</v>
      </c>
      <c r="E45" t="s">
        <v>12</v>
      </c>
      <c r="F45" s="3">
        <v>-75</v>
      </c>
      <c r="G45" s="3">
        <v>2332.87</v>
      </c>
      <c r="H45" t="s">
        <v>99</v>
      </c>
    </row>
    <row r="46" spans="1:8" x14ac:dyDescent="0.25">
      <c r="A46" t="s">
        <v>7</v>
      </c>
      <c r="B46" t="s">
        <v>8</v>
      </c>
      <c r="C46" s="1">
        <v>46255</v>
      </c>
      <c r="D46" s="2">
        <v>0.95223379629629634</v>
      </c>
      <c r="E46" t="s">
        <v>9</v>
      </c>
      <c r="F46" s="3">
        <v>-116</v>
      </c>
      <c r="G46" s="3">
        <v>2307.87</v>
      </c>
      <c r="H46" t="s">
        <v>100</v>
      </c>
    </row>
    <row r="47" spans="1:8" x14ac:dyDescent="0.25">
      <c r="A47" t="s">
        <v>33</v>
      </c>
      <c r="B47" t="s">
        <v>34</v>
      </c>
      <c r="C47" s="1">
        <v>46255</v>
      </c>
      <c r="D47" s="2">
        <v>0.89111111111111108</v>
      </c>
      <c r="E47" t="s">
        <v>21</v>
      </c>
      <c r="F47" s="3">
        <v>-111</v>
      </c>
      <c r="G47" s="3">
        <v>389</v>
      </c>
      <c r="H47" t="s">
        <v>101</v>
      </c>
    </row>
    <row r="48" spans="1:8" x14ac:dyDescent="0.25">
      <c r="A48" t="s">
        <v>10</v>
      </c>
      <c r="B48" t="s">
        <v>11</v>
      </c>
      <c r="C48" s="1">
        <v>46255</v>
      </c>
      <c r="D48" s="2">
        <v>0.88631944444444444</v>
      </c>
      <c r="E48" t="s">
        <v>9</v>
      </c>
      <c r="F48" s="3">
        <v>-116</v>
      </c>
      <c r="G48" s="3">
        <v>1907.59</v>
      </c>
      <c r="H48" t="s">
        <v>102</v>
      </c>
    </row>
    <row r="49" spans="1:8" x14ac:dyDescent="0.25">
      <c r="A49" t="s">
        <v>33</v>
      </c>
      <c r="B49" t="s">
        <v>34</v>
      </c>
      <c r="C49" s="1">
        <v>46255</v>
      </c>
      <c r="D49" s="2">
        <v>0.84949074074074071</v>
      </c>
      <c r="E49" t="s">
        <v>36</v>
      </c>
      <c r="F49" s="3">
        <v>-54</v>
      </c>
      <c r="G49" s="3">
        <v>500</v>
      </c>
      <c r="H49" t="s">
        <v>103</v>
      </c>
    </row>
    <row r="50" spans="1:8" x14ac:dyDescent="0.25">
      <c r="A50" t="s">
        <v>7</v>
      </c>
      <c r="B50" t="s">
        <v>8</v>
      </c>
      <c r="C50" s="1">
        <v>46255</v>
      </c>
      <c r="D50" s="2">
        <v>0.83552083333333338</v>
      </c>
      <c r="E50" t="s">
        <v>9</v>
      </c>
      <c r="F50" s="3">
        <v>-116</v>
      </c>
      <c r="G50" s="3">
        <v>2323.87</v>
      </c>
      <c r="H50" t="s">
        <v>104</v>
      </c>
    </row>
    <row r="51" spans="1:8" x14ac:dyDescent="0.25">
      <c r="A51" t="s">
        <v>37</v>
      </c>
      <c r="B51" t="s">
        <v>38</v>
      </c>
      <c r="C51" s="1">
        <v>46255</v>
      </c>
      <c r="D51" s="2">
        <v>0.81503472222222217</v>
      </c>
      <c r="E51" t="s">
        <v>36</v>
      </c>
      <c r="F51" s="3">
        <v>-54</v>
      </c>
      <c r="G51" s="3">
        <v>254</v>
      </c>
      <c r="H51" t="s">
        <v>105</v>
      </c>
    </row>
    <row r="52" spans="1:8" x14ac:dyDescent="0.25">
      <c r="A52" t="s">
        <v>19</v>
      </c>
      <c r="B52" t="s">
        <v>20</v>
      </c>
      <c r="C52" s="1">
        <v>46255</v>
      </c>
      <c r="D52" s="2">
        <v>0.80232638888888885</v>
      </c>
      <c r="E52" t="s">
        <v>21</v>
      </c>
      <c r="F52" s="3">
        <v>-83</v>
      </c>
      <c r="G52" s="3">
        <v>1171</v>
      </c>
      <c r="H52" t="s">
        <v>106</v>
      </c>
    </row>
    <row r="53" spans="1:8" x14ac:dyDescent="0.25">
      <c r="A53" t="s">
        <v>39</v>
      </c>
      <c r="B53" t="s">
        <v>40</v>
      </c>
      <c r="C53" s="1">
        <v>46255</v>
      </c>
      <c r="D53" s="2">
        <v>0.79046296296296292</v>
      </c>
      <c r="E53" t="s">
        <v>32</v>
      </c>
      <c r="F53" s="3">
        <v>-82</v>
      </c>
      <c r="G53" s="3">
        <v>652</v>
      </c>
      <c r="H53" t="s">
        <v>107</v>
      </c>
    </row>
    <row r="54" spans="1:8" x14ac:dyDescent="0.25">
      <c r="A54" t="s">
        <v>19</v>
      </c>
      <c r="B54" t="s">
        <v>20</v>
      </c>
      <c r="C54" s="1">
        <v>46255</v>
      </c>
      <c r="D54" s="2">
        <v>0.76954861111111106</v>
      </c>
      <c r="E54" t="s">
        <v>9</v>
      </c>
      <c r="F54" s="3">
        <v>-122</v>
      </c>
      <c r="G54" s="3">
        <v>1254</v>
      </c>
      <c r="H54" t="s">
        <v>108</v>
      </c>
    </row>
    <row r="55" spans="1:8" x14ac:dyDescent="0.25">
      <c r="A55" t="s">
        <v>39</v>
      </c>
      <c r="B55" t="s">
        <v>40</v>
      </c>
      <c r="C55" s="1">
        <v>46255</v>
      </c>
      <c r="D55" s="2">
        <v>0.76179398148148147</v>
      </c>
      <c r="E55" t="s">
        <v>21</v>
      </c>
      <c r="F55" s="3">
        <v>-42</v>
      </c>
      <c r="G55" s="3">
        <v>816</v>
      </c>
      <c r="H55" t="s">
        <v>109</v>
      </c>
    </row>
    <row r="56" spans="1:8" x14ac:dyDescent="0.25">
      <c r="A56" t="s">
        <v>10</v>
      </c>
      <c r="B56" t="s">
        <v>11</v>
      </c>
      <c r="C56" s="1">
        <v>46255</v>
      </c>
      <c r="D56" s="2">
        <v>0.68729166666666663</v>
      </c>
      <c r="E56" t="s">
        <v>12</v>
      </c>
      <c r="F56" s="3">
        <v>-75</v>
      </c>
      <c r="G56" s="3">
        <v>2023.59</v>
      </c>
      <c r="H56" t="s">
        <v>110</v>
      </c>
    </row>
    <row r="57" spans="1:8" x14ac:dyDescent="0.25">
      <c r="A57" t="s">
        <v>10</v>
      </c>
      <c r="B57" t="s">
        <v>11</v>
      </c>
      <c r="C57" s="1">
        <v>46255</v>
      </c>
      <c r="D57" s="2">
        <v>0.67921296296296296</v>
      </c>
      <c r="E57" t="s">
        <v>9</v>
      </c>
      <c r="F57" s="3">
        <v>-116</v>
      </c>
      <c r="G57" s="3">
        <v>2098.59</v>
      </c>
      <c r="H57" t="s">
        <v>111</v>
      </c>
    </row>
    <row r="58" spans="1:8" x14ac:dyDescent="0.25">
      <c r="A58" t="s">
        <v>19</v>
      </c>
      <c r="B58" t="s">
        <v>20</v>
      </c>
      <c r="C58" s="1">
        <v>46255</v>
      </c>
      <c r="D58" s="2">
        <v>0.55929398148148146</v>
      </c>
      <c r="E58" t="s">
        <v>21</v>
      </c>
      <c r="F58" s="3">
        <v>-83</v>
      </c>
      <c r="G58" s="3">
        <v>1376</v>
      </c>
      <c r="H58" t="s">
        <v>112</v>
      </c>
    </row>
    <row r="59" spans="1:8" x14ac:dyDescent="0.25">
      <c r="A59" t="s">
        <v>7</v>
      </c>
      <c r="B59" t="s">
        <v>8</v>
      </c>
      <c r="C59" s="1">
        <v>46255</v>
      </c>
      <c r="D59" s="2">
        <v>0.55910879629629628</v>
      </c>
      <c r="E59" t="s">
        <v>12</v>
      </c>
      <c r="F59" s="3">
        <v>-75</v>
      </c>
      <c r="G59" s="3">
        <v>2339.87</v>
      </c>
      <c r="H59" t="s">
        <v>113</v>
      </c>
    </row>
    <row r="60" spans="1:8" x14ac:dyDescent="0.25">
      <c r="A60" t="s">
        <v>7</v>
      </c>
      <c r="B60" t="s">
        <v>8</v>
      </c>
      <c r="C60" s="1">
        <v>46255</v>
      </c>
      <c r="D60" s="2">
        <v>0.55129629629629628</v>
      </c>
      <c r="E60" t="s">
        <v>9</v>
      </c>
      <c r="F60" s="3">
        <v>-116</v>
      </c>
      <c r="G60" s="3">
        <v>2314.87</v>
      </c>
      <c r="H60" t="s">
        <v>114</v>
      </c>
    </row>
    <row r="61" spans="1:8" x14ac:dyDescent="0.25">
      <c r="A61" t="s">
        <v>39</v>
      </c>
      <c r="B61" t="s">
        <v>40</v>
      </c>
      <c r="C61" s="1">
        <v>46255</v>
      </c>
      <c r="D61" s="2">
        <v>0.48310185185185184</v>
      </c>
      <c r="E61" t="s">
        <v>9</v>
      </c>
      <c r="F61" s="3">
        <v>-58</v>
      </c>
      <c r="G61" s="3">
        <v>762</v>
      </c>
      <c r="H61" t="s">
        <v>115</v>
      </c>
    </row>
    <row r="62" spans="1:8" x14ac:dyDescent="0.25">
      <c r="A62" t="s">
        <v>39</v>
      </c>
      <c r="B62" t="s">
        <v>40</v>
      </c>
      <c r="C62" s="1">
        <v>46255</v>
      </c>
      <c r="D62" s="2">
        <v>0.48060185185185184</v>
      </c>
      <c r="E62" t="s">
        <v>26</v>
      </c>
      <c r="F62" s="3">
        <v>-82</v>
      </c>
      <c r="G62" s="3">
        <v>734</v>
      </c>
      <c r="H62" t="s">
        <v>116</v>
      </c>
    </row>
    <row r="63" spans="1:8" x14ac:dyDescent="0.25">
      <c r="A63" t="s">
        <v>7</v>
      </c>
      <c r="B63" t="s">
        <v>8</v>
      </c>
      <c r="C63" s="1">
        <v>46255</v>
      </c>
      <c r="D63" s="2">
        <v>0.47140046296296295</v>
      </c>
      <c r="E63" t="s">
        <v>9</v>
      </c>
      <c r="F63" s="3">
        <v>-116</v>
      </c>
      <c r="G63" s="3">
        <v>2330.87</v>
      </c>
      <c r="H63" t="s">
        <v>117</v>
      </c>
    </row>
    <row r="64" spans="1:8" x14ac:dyDescent="0.25">
      <c r="A64" t="s">
        <v>19</v>
      </c>
      <c r="B64" t="s">
        <v>20</v>
      </c>
      <c r="C64" s="1">
        <v>46255</v>
      </c>
      <c r="D64" s="2">
        <v>0.37134259259259261</v>
      </c>
      <c r="E64" t="s">
        <v>21</v>
      </c>
      <c r="F64" s="3">
        <v>-83</v>
      </c>
      <c r="G64" s="3">
        <v>1459</v>
      </c>
      <c r="H64" t="s">
        <v>118</v>
      </c>
    </row>
    <row r="65" spans="1:8" x14ac:dyDescent="0.25">
      <c r="A65" t="s">
        <v>7</v>
      </c>
      <c r="B65" t="s">
        <v>8</v>
      </c>
      <c r="C65" s="1">
        <v>46255</v>
      </c>
      <c r="D65" s="2">
        <v>0.33671296296296294</v>
      </c>
      <c r="E65" t="s">
        <v>12</v>
      </c>
      <c r="F65" s="3">
        <v>-75</v>
      </c>
      <c r="G65" s="3">
        <v>2346.87</v>
      </c>
      <c r="H65" t="s">
        <v>119</v>
      </c>
    </row>
    <row r="66" spans="1:8" x14ac:dyDescent="0.25">
      <c r="A66" t="s">
        <v>7</v>
      </c>
      <c r="B66" t="s">
        <v>8</v>
      </c>
      <c r="C66" s="1">
        <v>46255</v>
      </c>
      <c r="D66" s="2">
        <v>0.330625</v>
      </c>
      <c r="E66" t="s">
        <v>9</v>
      </c>
      <c r="F66" s="3">
        <v>-116</v>
      </c>
      <c r="G66" s="3">
        <v>2321.87</v>
      </c>
      <c r="H66" t="s">
        <v>120</v>
      </c>
    </row>
    <row r="67" spans="1:8" x14ac:dyDescent="0.25">
      <c r="A67" t="s">
        <v>37</v>
      </c>
      <c r="B67" t="s">
        <v>38</v>
      </c>
      <c r="C67" s="1">
        <v>46255</v>
      </c>
      <c r="D67" s="2">
        <v>0.32630787037037035</v>
      </c>
      <c r="E67" t="s">
        <v>36</v>
      </c>
      <c r="F67" s="3">
        <v>-54</v>
      </c>
      <c r="G67" s="3">
        <v>168</v>
      </c>
      <c r="H67" t="s">
        <v>121</v>
      </c>
    </row>
    <row r="68" spans="1:8" x14ac:dyDescent="0.25">
      <c r="A68" t="s">
        <v>19</v>
      </c>
      <c r="B68" t="s">
        <v>20</v>
      </c>
      <c r="C68" s="1">
        <v>46255</v>
      </c>
      <c r="D68" s="2">
        <v>0.30909722222222225</v>
      </c>
      <c r="E68" t="s">
        <v>21</v>
      </c>
      <c r="F68" s="3">
        <v>-83</v>
      </c>
      <c r="G68" s="3">
        <v>1542</v>
      </c>
      <c r="H68" t="s">
        <v>122</v>
      </c>
    </row>
    <row r="69" spans="1:8" x14ac:dyDescent="0.25">
      <c r="A69" t="s">
        <v>7</v>
      </c>
      <c r="B69" t="s">
        <v>8</v>
      </c>
      <c r="C69" s="1">
        <v>46255</v>
      </c>
      <c r="D69" s="2">
        <v>0.29091435185185183</v>
      </c>
      <c r="E69" t="s">
        <v>9</v>
      </c>
      <c r="F69" s="3">
        <v>-116</v>
      </c>
      <c r="G69" s="3">
        <v>2337.87</v>
      </c>
      <c r="H69" t="s">
        <v>123</v>
      </c>
    </row>
    <row r="70" spans="1:8" x14ac:dyDescent="0.25">
      <c r="A70" t="s">
        <v>41</v>
      </c>
      <c r="B70" t="s">
        <v>42</v>
      </c>
      <c r="C70" s="1">
        <v>46255</v>
      </c>
      <c r="D70" s="2">
        <v>0.25336805555555558</v>
      </c>
      <c r="E70" t="s">
        <v>43</v>
      </c>
      <c r="F70" s="3">
        <v>-145</v>
      </c>
      <c r="G70" s="3">
        <v>744</v>
      </c>
      <c r="H70" t="s">
        <v>124</v>
      </c>
    </row>
    <row r="71" spans="1:8" x14ac:dyDescent="0.25">
      <c r="A71" t="s">
        <v>41</v>
      </c>
      <c r="B71" t="s">
        <v>42</v>
      </c>
      <c r="C71" s="1">
        <v>46255</v>
      </c>
      <c r="D71" s="2">
        <v>0.24314814814814814</v>
      </c>
      <c r="E71" t="s">
        <v>21</v>
      </c>
      <c r="F71" s="3">
        <v>-70</v>
      </c>
      <c r="G71" s="3">
        <v>889</v>
      </c>
      <c r="H71" t="s">
        <v>125</v>
      </c>
    </row>
    <row r="72" spans="1:8" x14ac:dyDescent="0.25">
      <c r="A72" t="s">
        <v>7</v>
      </c>
      <c r="B72" t="s">
        <v>8</v>
      </c>
      <c r="C72" s="1">
        <v>46255</v>
      </c>
      <c r="D72" s="2">
        <v>3.0694444444444444E-2</v>
      </c>
      <c r="E72" t="s">
        <v>12</v>
      </c>
      <c r="F72" s="3">
        <v>-75</v>
      </c>
      <c r="G72" s="3">
        <v>2353.87</v>
      </c>
      <c r="H72" t="s">
        <v>126</v>
      </c>
    </row>
    <row r="73" spans="1:8" x14ac:dyDescent="0.25">
      <c r="A73" t="s">
        <v>7</v>
      </c>
      <c r="B73" t="s">
        <v>8</v>
      </c>
      <c r="C73" s="1">
        <v>46255</v>
      </c>
      <c r="D73" s="2">
        <v>2.3645833333333335E-2</v>
      </c>
      <c r="E73" t="s">
        <v>9</v>
      </c>
      <c r="F73" s="3">
        <v>-116</v>
      </c>
      <c r="G73" s="3">
        <v>2328.87</v>
      </c>
      <c r="H73" t="s">
        <v>127</v>
      </c>
    </row>
    <row r="74" spans="1:8" x14ac:dyDescent="0.25">
      <c r="A74" t="s">
        <v>29</v>
      </c>
      <c r="B74" t="s">
        <v>8</v>
      </c>
      <c r="C74" s="1">
        <v>46254</v>
      </c>
      <c r="D74" s="2">
        <v>0.90967592592592594</v>
      </c>
      <c r="E74" t="s">
        <v>12</v>
      </c>
      <c r="F74" s="3">
        <v>-75</v>
      </c>
      <c r="G74" s="3">
        <v>2438.81</v>
      </c>
      <c r="H74" t="s">
        <v>128</v>
      </c>
    </row>
    <row r="75" spans="1:8" x14ac:dyDescent="0.25">
      <c r="A75" t="s">
        <v>29</v>
      </c>
      <c r="B75" t="s">
        <v>8</v>
      </c>
      <c r="C75" s="1">
        <v>46254</v>
      </c>
      <c r="D75" s="2">
        <v>0.90175925925925926</v>
      </c>
      <c r="E75" t="s">
        <v>9</v>
      </c>
      <c r="F75" s="3">
        <v>-116</v>
      </c>
      <c r="G75" s="3">
        <v>2513.81</v>
      </c>
      <c r="H75" t="s">
        <v>129</v>
      </c>
    </row>
    <row r="76" spans="1:8" x14ac:dyDescent="0.25">
      <c r="A76" t="s">
        <v>39</v>
      </c>
      <c r="B76" t="s">
        <v>40</v>
      </c>
      <c r="C76" s="1">
        <v>46254</v>
      </c>
      <c r="D76" s="2">
        <v>0.88488425925925929</v>
      </c>
      <c r="E76" t="s">
        <v>21</v>
      </c>
      <c r="F76" s="3">
        <v>-42</v>
      </c>
      <c r="G76" s="3">
        <v>916</v>
      </c>
      <c r="H76" t="s">
        <v>130</v>
      </c>
    </row>
    <row r="77" spans="1:8" x14ac:dyDescent="0.25">
      <c r="A77" t="s">
        <v>29</v>
      </c>
      <c r="B77" t="s">
        <v>8</v>
      </c>
      <c r="C77" s="1">
        <v>46254</v>
      </c>
      <c r="D77" s="2">
        <v>0.86655092592592597</v>
      </c>
      <c r="E77" t="s">
        <v>44</v>
      </c>
      <c r="F77" s="3">
        <v>-89.89</v>
      </c>
      <c r="G77" s="3">
        <v>2660.37</v>
      </c>
      <c r="H77" t="s">
        <v>131</v>
      </c>
    </row>
    <row r="78" spans="1:8" x14ac:dyDescent="0.25">
      <c r="A78" t="s">
        <v>29</v>
      </c>
      <c r="B78" t="s">
        <v>8</v>
      </c>
      <c r="C78" s="1">
        <v>46254</v>
      </c>
      <c r="D78" s="2">
        <v>0.86178240740740741</v>
      </c>
      <c r="E78" t="s">
        <v>45</v>
      </c>
      <c r="F78" s="3">
        <v>-30.56</v>
      </c>
      <c r="G78" s="3">
        <v>2629.81</v>
      </c>
      <c r="H78" t="s">
        <v>132</v>
      </c>
    </row>
    <row r="79" spans="1:8" x14ac:dyDescent="0.25">
      <c r="A79" t="s">
        <v>29</v>
      </c>
      <c r="B79" t="s">
        <v>8</v>
      </c>
      <c r="C79" s="1">
        <v>46254</v>
      </c>
      <c r="D79" s="2">
        <v>0.84532407407407406</v>
      </c>
      <c r="E79" t="s">
        <v>46</v>
      </c>
      <c r="F79" s="3">
        <v>-43</v>
      </c>
      <c r="G79" s="3">
        <v>2750.26</v>
      </c>
      <c r="H79" t="s">
        <v>133</v>
      </c>
    </row>
    <row r="80" spans="1:8" x14ac:dyDescent="0.25">
      <c r="A80" t="s">
        <v>29</v>
      </c>
      <c r="B80" t="s">
        <v>8</v>
      </c>
      <c r="C80" s="1">
        <v>46254</v>
      </c>
      <c r="D80" s="2">
        <v>0.83572916666666663</v>
      </c>
      <c r="E80" t="s">
        <v>46</v>
      </c>
      <c r="F80" s="3">
        <v>-57</v>
      </c>
      <c r="G80" s="3">
        <v>2793.26</v>
      </c>
      <c r="H80" t="s">
        <v>134</v>
      </c>
    </row>
    <row r="81" spans="1:8" x14ac:dyDescent="0.25">
      <c r="A81" t="s">
        <v>39</v>
      </c>
      <c r="B81" t="s">
        <v>40</v>
      </c>
      <c r="C81" s="1">
        <v>46254</v>
      </c>
      <c r="D81" s="2">
        <v>0.82951388888888888</v>
      </c>
      <c r="E81" t="s">
        <v>21</v>
      </c>
      <c r="F81" s="3">
        <v>-42</v>
      </c>
      <c r="G81" s="3">
        <v>958</v>
      </c>
      <c r="H81" t="s">
        <v>135</v>
      </c>
    </row>
    <row r="82" spans="1:8" x14ac:dyDescent="0.25">
      <c r="A82" t="s">
        <v>37</v>
      </c>
      <c r="B82" t="s">
        <v>38</v>
      </c>
      <c r="C82" s="1">
        <v>46254</v>
      </c>
      <c r="D82" s="2">
        <v>0.76618055555555553</v>
      </c>
      <c r="E82" t="s">
        <v>36</v>
      </c>
      <c r="F82" s="3">
        <v>-54</v>
      </c>
      <c r="G82" s="3">
        <v>222</v>
      </c>
      <c r="H82" t="s">
        <v>136</v>
      </c>
    </row>
    <row r="83" spans="1:8" x14ac:dyDescent="0.25">
      <c r="A83" t="s">
        <v>7</v>
      </c>
      <c r="B83" t="s">
        <v>8</v>
      </c>
      <c r="C83" s="1">
        <v>46254</v>
      </c>
      <c r="D83" s="2">
        <v>0.7638194444444445</v>
      </c>
      <c r="E83" t="s">
        <v>9</v>
      </c>
      <c r="F83" s="3">
        <v>-116</v>
      </c>
      <c r="G83" s="3">
        <v>2344.87</v>
      </c>
      <c r="H83" t="s">
        <v>137</v>
      </c>
    </row>
    <row r="84" spans="1:8" x14ac:dyDescent="0.25">
      <c r="A84" t="s">
        <v>19</v>
      </c>
      <c r="B84" t="s">
        <v>20</v>
      </c>
      <c r="C84" s="1">
        <v>46254</v>
      </c>
      <c r="D84" s="2">
        <v>0.7477314814814815</v>
      </c>
      <c r="E84" t="s">
        <v>21</v>
      </c>
      <c r="F84" s="3">
        <v>-83</v>
      </c>
      <c r="G84" s="3">
        <v>1625</v>
      </c>
      <c r="H84" t="s">
        <v>138</v>
      </c>
    </row>
    <row r="85" spans="1:8" x14ac:dyDescent="0.25">
      <c r="A85" t="s">
        <v>29</v>
      </c>
      <c r="B85" t="s">
        <v>8</v>
      </c>
      <c r="C85" s="1">
        <v>46254</v>
      </c>
      <c r="D85" s="2">
        <v>0.69974537037037032</v>
      </c>
      <c r="E85" t="s">
        <v>46</v>
      </c>
      <c r="F85" s="3">
        <v>-57</v>
      </c>
      <c r="G85" s="3">
        <v>2850.26</v>
      </c>
      <c r="H85" t="s">
        <v>139</v>
      </c>
    </row>
    <row r="86" spans="1:8" x14ac:dyDescent="0.25">
      <c r="A86" t="s">
        <v>27</v>
      </c>
      <c r="B86" t="s">
        <v>28</v>
      </c>
      <c r="C86" s="1">
        <v>46254</v>
      </c>
      <c r="D86" s="2">
        <v>0.69844907407407408</v>
      </c>
      <c r="E86" t="s">
        <v>21</v>
      </c>
      <c r="F86" s="3">
        <v>-111</v>
      </c>
      <c r="G86" s="3">
        <v>723</v>
      </c>
      <c r="H86" t="s">
        <v>140</v>
      </c>
    </row>
    <row r="87" spans="1:8" x14ac:dyDescent="0.25">
      <c r="A87" t="s">
        <v>29</v>
      </c>
      <c r="B87" t="s">
        <v>8</v>
      </c>
      <c r="C87" s="1">
        <v>46254</v>
      </c>
      <c r="D87" s="2">
        <v>0.69363425925925926</v>
      </c>
      <c r="E87" t="s">
        <v>46</v>
      </c>
      <c r="F87" s="3">
        <v>-43</v>
      </c>
      <c r="G87" s="3">
        <v>1547.39</v>
      </c>
      <c r="H87" t="s">
        <v>141</v>
      </c>
    </row>
    <row r="88" spans="1:8" x14ac:dyDescent="0.25">
      <c r="A88" t="s">
        <v>29</v>
      </c>
      <c r="B88" t="s">
        <v>8</v>
      </c>
      <c r="C88" s="1">
        <v>46254</v>
      </c>
      <c r="D88" s="4">
        <v>0.68541666666666667</v>
      </c>
      <c r="E88" t="s">
        <v>45</v>
      </c>
      <c r="F88" s="3">
        <v>-140.13</v>
      </c>
      <c r="G88" s="3">
        <v>1407.26</v>
      </c>
      <c r="H88" t="s">
        <v>142</v>
      </c>
    </row>
    <row r="89" spans="1:8" x14ac:dyDescent="0.25">
      <c r="A89" t="s">
        <v>27</v>
      </c>
      <c r="B89" t="s">
        <v>28</v>
      </c>
      <c r="C89" s="1">
        <v>46254</v>
      </c>
      <c r="D89" s="2">
        <v>0.68002314814814813</v>
      </c>
      <c r="E89" t="s">
        <v>36</v>
      </c>
      <c r="F89" s="3">
        <v>-54</v>
      </c>
      <c r="G89" s="3">
        <v>669</v>
      </c>
      <c r="H89" t="s">
        <v>143</v>
      </c>
    </row>
    <row r="90" spans="1:8" x14ac:dyDescent="0.25">
      <c r="A90" t="s">
        <v>29</v>
      </c>
      <c r="B90" t="s">
        <v>8</v>
      </c>
      <c r="C90" s="1">
        <v>46254</v>
      </c>
      <c r="D90" s="2">
        <v>0.6756712962962963</v>
      </c>
      <c r="E90" t="s">
        <v>44</v>
      </c>
      <c r="F90" s="3">
        <v>-122.56</v>
      </c>
      <c r="G90" s="3">
        <v>1590.39</v>
      </c>
      <c r="H90" t="s">
        <v>144</v>
      </c>
    </row>
    <row r="91" spans="1:8" x14ac:dyDescent="0.25">
      <c r="A91" t="s">
        <v>47</v>
      </c>
      <c r="B91" t="s">
        <v>48</v>
      </c>
      <c r="C91" s="1">
        <v>46254</v>
      </c>
      <c r="D91" s="2">
        <v>0.61714120370370373</v>
      </c>
      <c r="E91" t="s">
        <v>32</v>
      </c>
      <c r="F91" s="3">
        <v>-27</v>
      </c>
      <c r="G91" s="3">
        <v>119</v>
      </c>
      <c r="H91" t="s">
        <v>145</v>
      </c>
    </row>
    <row r="92" spans="1:8" x14ac:dyDescent="0.25">
      <c r="A92" t="s">
        <v>22</v>
      </c>
      <c r="B92" t="s">
        <v>23</v>
      </c>
      <c r="C92" s="1">
        <v>46254</v>
      </c>
      <c r="D92" s="4">
        <v>0.59444444444444444</v>
      </c>
      <c r="E92" t="s">
        <v>49</v>
      </c>
      <c r="F92" s="3">
        <v>-26</v>
      </c>
      <c r="G92" s="3">
        <v>705</v>
      </c>
      <c r="H92" t="s">
        <v>146</v>
      </c>
    </row>
    <row r="93" spans="1:8" x14ac:dyDescent="0.25">
      <c r="A93" t="s">
        <v>47</v>
      </c>
      <c r="B93" t="s">
        <v>48</v>
      </c>
      <c r="C93" s="1">
        <v>46254</v>
      </c>
      <c r="D93" s="2">
        <v>0.55351851851851852</v>
      </c>
      <c r="E93" t="s">
        <v>21</v>
      </c>
      <c r="F93" s="3">
        <v>-42</v>
      </c>
      <c r="G93" s="3">
        <v>146</v>
      </c>
      <c r="H93" t="s">
        <v>147</v>
      </c>
    </row>
    <row r="94" spans="1:8" x14ac:dyDescent="0.25">
      <c r="A94" t="s">
        <v>10</v>
      </c>
      <c r="B94" t="s">
        <v>11</v>
      </c>
      <c r="C94" s="1">
        <v>46254</v>
      </c>
      <c r="D94" s="2">
        <v>0.54699074074074072</v>
      </c>
      <c r="E94" t="s">
        <v>9</v>
      </c>
      <c r="F94" s="3">
        <v>-116</v>
      </c>
      <c r="G94" s="3">
        <v>2214.59</v>
      </c>
      <c r="H94" t="s">
        <v>148</v>
      </c>
    </row>
    <row r="95" spans="1:8" x14ac:dyDescent="0.25">
      <c r="A95" t="s">
        <v>7</v>
      </c>
      <c r="B95" t="s">
        <v>8</v>
      </c>
      <c r="C95" s="1">
        <v>46254</v>
      </c>
      <c r="D95" s="2">
        <v>0.54158564814814814</v>
      </c>
      <c r="E95" t="s">
        <v>12</v>
      </c>
      <c r="F95" s="3">
        <v>-75</v>
      </c>
      <c r="G95" s="3">
        <v>2360.87</v>
      </c>
      <c r="H95" t="s">
        <v>149</v>
      </c>
    </row>
    <row r="96" spans="1:8" x14ac:dyDescent="0.25">
      <c r="A96" t="s">
        <v>10</v>
      </c>
      <c r="B96" t="s">
        <v>11</v>
      </c>
      <c r="C96" s="1">
        <v>46254</v>
      </c>
      <c r="D96" s="2">
        <v>0.53878472222222218</v>
      </c>
      <c r="E96" t="s">
        <v>12</v>
      </c>
      <c r="F96" s="3">
        <v>-75</v>
      </c>
      <c r="G96" s="3">
        <v>2330.59</v>
      </c>
      <c r="H96" t="s">
        <v>150</v>
      </c>
    </row>
    <row r="97" spans="1:8" x14ac:dyDescent="0.25">
      <c r="A97" t="s">
        <v>7</v>
      </c>
      <c r="B97" t="s">
        <v>8</v>
      </c>
      <c r="C97" s="1">
        <v>46254</v>
      </c>
      <c r="D97" s="2">
        <v>0.53462962962962968</v>
      </c>
      <c r="E97" t="s">
        <v>9</v>
      </c>
      <c r="F97" s="3">
        <v>-116</v>
      </c>
      <c r="G97" s="3">
        <v>2335.87</v>
      </c>
      <c r="H97" t="s">
        <v>151</v>
      </c>
    </row>
    <row r="98" spans="1:8" x14ac:dyDescent="0.25">
      <c r="A98" t="s">
        <v>29</v>
      </c>
      <c r="B98" t="s">
        <v>8</v>
      </c>
      <c r="C98" s="1">
        <v>46254</v>
      </c>
      <c r="D98" s="2">
        <v>0.50910879629629635</v>
      </c>
      <c r="E98" t="s">
        <v>9</v>
      </c>
      <c r="F98" s="3">
        <v>-116</v>
      </c>
      <c r="G98" s="3">
        <v>1712.95</v>
      </c>
      <c r="H98" t="s">
        <v>152</v>
      </c>
    </row>
    <row r="99" spans="1:8" x14ac:dyDescent="0.25">
      <c r="A99" t="s">
        <v>10</v>
      </c>
      <c r="B99" t="s">
        <v>11</v>
      </c>
      <c r="C99" s="1">
        <v>46254</v>
      </c>
      <c r="D99" s="2">
        <v>0.4839236111111111</v>
      </c>
      <c r="E99" t="s">
        <v>12</v>
      </c>
      <c r="F99" s="3">
        <v>-75</v>
      </c>
      <c r="G99" s="3">
        <v>2405.59</v>
      </c>
      <c r="H99" t="s">
        <v>153</v>
      </c>
    </row>
    <row r="100" spans="1:8" x14ac:dyDescent="0.25">
      <c r="A100" t="s">
        <v>10</v>
      </c>
      <c r="B100" t="s">
        <v>11</v>
      </c>
      <c r="C100" s="1">
        <v>46254</v>
      </c>
      <c r="D100" s="4">
        <v>0.47569444444444442</v>
      </c>
      <c r="E100" t="s">
        <v>9</v>
      </c>
      <c r="F100" s="3">
        <v>-116</v>
      </c>
      <c r="G100" s="3">
        <v>1480.59</v>
      </c>
      <c r="H100" t="s">
        <v>154</v>
      </c>
    </row>
    <row r="101" spans="1:8" x14ac:dyDescent="0.25">
      <c r="A101" t="s">
        <v>47</v>
      </c>
      <c r="B101" t="s">
        <v>48</v>
      </c>
      <c r="C101" s="1">
        <v>46254</v>
      </c>
      <c r="D101" s="2">
        <v>0.44430555555555556</v>
      </c>
      <c r="E101" t="s">
        <v>21</v>
      </c>
      <c r="F101" s="3">
        <v>-42</v>
      </c>
      <c r="G101" s="3">
        <v>188</v>
      </c>
      <c r="H101" t="s">
        <v>155</v>
      </c>
    </row>
    <row r="102" spans="1:8" x14ac:dyDescent="0.25">
      <c r="A102" t="s">
        <v>27</v>
      </c>
      <c r="B102" t="s">
        <v>28</v>
      </c>
      <c r="C102" s="1">
        <v>46254</v>
      </c>
      <c r="D102" s="2">
        <v>0.40009259259259261</v>
      </c>
      <c r="E102" t="s">
        <v>21</v>
      </c>
      <c r="F102" s="3">
        <v>-42</v>
      </c>
      <c r="G102" s="3">
        <v>834</v>
      </c>
      <c r="H102" t="s">
        <v>156</v>
      </c>
    </row>
    <row r="103" spans="1:8" x14ac:dyDescent="0.25">
      <c r="A103" t="s">
        <v>19</v>
      </c>
      <c r="B103" t="s">
        <v>20</v>
      </c>
      <c r="C103" s="1">
        <v>46254</v>
      </c>
      <c r="D103" s="2">
        <v>0.35146990740740741</v>
      </c>
      <c r="E103" t="s">
        <v>21</v>
      </c>
      <c r="F103" s="3">
        <v>-83</v>
      </c>
      <c r="G103" s="3">
        <v>1708</v>
      </c>
      <c r="H103" t="s">
        <v>157</v>
      </c>
    </row>
    <row r="104" spans="1:8" x14ac:dyDescent="0.25">
      <c r="A104" t="s">
        <v>19</v>
      </c>
      <c r="B104" t="s">
        <v>20</v>
      </c>
      <c r="C104" s="1">
        <v>46254</v>
      </c>
      <c r="D104" s="2">
        <v>0.34843750000000001</v>
      </c>
      <c r="E104" t="s">
        <v>21</v>
      </c>
      <c r="F104" s="3">
        <v>-83</v>
      </c>
      <c r="G104" s="3">
        <v>1791</v>
      </c>
      <c r="H104" t="s">
        <v>158</v>
      </c>
    </row>
    <row r="105" spans="1:8" x14ac:dyDescent="0.25">
      <c r="A105" t="s">
        <v>37</v>
      </c>
      <c r="B105" t="s">
        <v>38</v>
      </c>
      <c r="C105" s="1">
        <v>46254</v>
      </c>
      <c r="D105" s="2">
        <v>0.31783564814814813</v>
      </c>
      <c r="E105" t="s">
        <v>36</v>
      </c>
      <c r="F105" s="3">
        <v>-54</v>
      </c>
      <c r="G105" s="3">
        <v>276</v>
      </c>
      <c r="H105" t="s">
        <v>159</v>
      </c>
    </row>
    <row r="106" spans="1:8" x14ac:dyDescent="0.25">
      <c r="A106" t="s">
        <v>7</v>
      </c>
      <c r="B106" t="s">
        <v>8</v>
      </c>
      <c r="C106" s="1">
        <v>46254</v>
      </c>
      <c r="D106" s="2">
        <v>0.28625</v>
      </c>
      <c r="E106" t="s">
        <v>9</v>
      </c>
      <c r="F106" s="3">
        <v>-116</v>
      </c>
      <c r="G106" s="3">
        <v>2351.87</v>
      </c>
      <c r="H106" t="s">
        <v>160</v>
      </c>
    </row>
    <row r="107" spans="1:8" x14ac:dyDescent="0.25">
      <c r="A107" t="s">
        <v>10</v>
      </c>
      <c r="B107" t="s">
        <v>11</v>
      </c>
      <c r="C107" s="1">
        <v>46253</v>
      </c>
      <c r="D107" s="2">
        <v>0.88035879629629632</v>
      </c>
      <c r="E107" t="s">
        <v>9</v>
      </c>
      <c r="F107" s="3">
        <v>-116</v>
      </c>
      <c r="G107" s="3">
        <v>1797.59</v>
      </c>
      <c r="H107" t="s">
        <v>161</v>
      </c>
    </row>
    <row r="108" spans="1:8" x14ac:dyDescent="0.25">
      <c r="A108" t="s">
        <v>10</v>
      </c>
      <c r="B108" t="s">
        <v>11</v>
      </c>
      <c r="C108" s="1">
        <v>46253</v>
      </c>
      <c r="D108" s="2">
        <v>0.87289351851851849</v>
      </c>
      <c r="E108" t="s">
        <v>12</v>
      </c>
      <c r="F108" s="3">
        <v>-75</v>
      </c>
      <c r="G108" s="3">
        <v>1913.59</v>
      </c>
      <c r="H108" t="s">
        <v>162</v>
      </c>
    </row>
    <row r="109" spans="1:8" x14ac:dyDescent="0.25">
      <c r="A109" t="s">
        <v>37</v>
      </c>
      <c r="B109" t="s">
        <v>38</v>
      </c>
      <c r="C109" s="1">
        <v>46253</v>
      </c>
      <c r="D109" s="2">
        <v>0.8102893518518518</v>
      </c>
      <c r="E109" t="s">
        <v>36</v>
      </c>
      <c r="F109" s="3">
        <v>-54</v>
      </c>
      <c r="G109" s="3">
        <v>330</v>
      </c>
      <c r="H109" t="s">
        <v>163</v>
      </c>
    </row>
    <row r="110" spans="1:8" x14ac:dyDescent="0.25">
      <c r="A110" t="s">
        <v>30</v>
      </c>
      <c r="B110" t="s">
        <v>31</v>
      </c>
      <c r="C110" s="1">
        <v>46253</v>
      </c>
      <c r="D110" s="2">
        <v>0.78087962962962965</v>
      </c>
      <c r="E110" t="s">
        <v>50</v>
      </c>
      <c r="F110" s="3">
        <v>-27</v>
      </c>
      <c r="G110" s="3">
        <v>799</v>
      </c>
      <c r="H110" t="s">
        <v>164</v>
      </c>
    </row>
    <row r="111" spans="1:8" x14ac:dyDescent="0.25">
      <c r="A111" t="s">
        <v>39</v>
      </c>
      <c r="B111" t="s">
        <v>40</v>
      </c>
      <c r="C111" s="1">
        <v>46253</v>
      </c>
      <c r="D111" s="2">
        <v>0.62241898148148145</v>
      </c>
      <c r="E111" t="s">
        <v>12</v>
      </c>
      <c r="F111" s="3">
        <v>-75</v>
      </c>
      <c r="G111" s="3">
        <v>254</v>
      </c>
      <c r="H111" t="s">
        <v>165</v>
      </c>
    </row>
    <row r="112" spans="1:8" x14ac:dyDescent="0.25">
      <c r="A112" t="s">
        <v>7</v>
      </c>
      <c r="B112" t="s">
        <v>8</v>
      </c>
      <c r="C112" s="1">
        <v>46253</v>
      </c>
      <c r="D112" s="2">
        <v>0.60688657407407409</v>
      </c>
      <c r="E112" t="s">
        <v>12</v>
      </c>
      <c r="F112" s="3">
        <v>-75</v>
      </c>
      <c r="G112" s="3">
        <v>2403.87</v>
      </c>
      <c r="H112" t="s">
        <v>166</v>
      </c>
    </row>
    <row r="113" spans="1:8" x14ac:dyDescent="0.25">
      <c r="A113" t="s">
        <v>7</v>
      </c>
      <c r="B113" t="s">
        <v>8</v>
      </c>
      <c r="C113" s="1">
        <v>46253</v>
      </c>
      <c r="D113" s="2">
        <v>0.5981481481481481</v>
      </c>
      <c r="E113" t="s">
        <v>26</v>
      </c>
      <c r="F113" s="3">
        <v>-57</v>
      </c>
      <c r="G113" s="3">
        <v>2467.87</v>
      </c>
      <c r="H113" t="s">
        <v>167</v>
      </c>
    </row>
    <row r="114" spans="1:8" x14ac:dyDescent="0.25">
      <c r="A114" t="s">
        <v>7</v>
      </c>
      <c r="B114" t="s">
        <v>8</v>
      </c>
      <c r="C114" s="1">
        <v>46253</v>
      </c>
      <c r="D114" s="2">
        <v>0.59778935185185189</v>
      </c>
      <c r="E114" t="s">
        <v>9</v>
      </c>
      <c r="F114" s="3">
        <v>-58</v>
      </c>
      <c r="G114" s="3">
        <v>2378.87</v>
      </c>
      <c r="H114" t="s">
        <v>168</v>
      </c>
    </row>
    <row r="115" spans="1:8" x14ac:dyDescent="0.25">
      <c r="A115" t="s">
        <v>47</v>
      </c>
      <c r="B115" t="s">
        <v>48</v>
      </c>
      <c r="C115" s="1">
        <v>46253</v>
      </c>
      <c r="D115" s="2">
        <v>0.5954976851851852</v>
      </c>
      <c r="E115" t="s">
        <v>51</v>
      </c>
      <c r="F115" s="3">
        <v>-54</v>
      </c>
      <c r="G115" s="3">
        <v>230</v>
      </c>
      <c r="H115" t="s">
        <v>169</v>
      </c>
    </row>
    <row r="116" spans="1:8" x14ac:dyDescent="0.25">
      <c r="A116" t="s">
        <v>47</v>
      </c>
      <c r="B116" t="s">
        <v>48</v>
      </c>
      <c r="C116" s="1">
        <v>46253</v>
      </c>
      <c r="D116" s="2">
        <v>0.55115740740740737</v>
      </c>
      <c r="E116" t="s">
        <v>9</v>
      </c>
      <c r="F116" s="3">
        <v>-58</v>
      </c>
      <c r="G116" s="3">
        <v>284</v>
      </c>
      <c r="H116" t="s">
        <v>170</v>
      </c>
    </row>
    <row r="117" spans="1:8" x14ac:dyDescent="0.25">
      <c r="A117" t="s">
        <v>29</v>
      </c>
      <c r="B117" t="s">
        <v>8</v>
      </c>
      <c r="C117" s="1">
        <v>46253</v>
      </c>
      <c r="D117" s="2">
        <v>0.4443171296296296</v>
      </c>
      <c r="E117" t="s">
        <v>12</v>
      </c>
      <c r="F117" s="3">
        <v>-75</v>
      </c>
      <c r="G117" s="3">
        <v>1885.95</v>
      </c>
      <c r="H117" t="s">
        <v>171</v>
      </c>
    </row>
    <row r="118" spans="1:8" x14ac:dyDescent="0.25">
      <c r="A118" t="s">
        <v>29</v>
      </c>
      <c r="B118" t="s">
        <v>8</v>
      </c>
      <c r="C118" s="1">
        <v>46253</v>
      </c>
      <c r="D118" s="2">
        <v>0.43789351851851854</v>
      </c>
      <c r="E118" t="s">
        <v>9</v>
      </c>
      <c r="F118" s="3">
        <v>-116</v>
      </c>
      <c r="G118" s="3">
        <v>1960.95</v>
      </c>
      <c r="H118" t="s">
        <v>172</v>
      </c>
    </row>
    <row r="119" spans="1:8" x14ac:dyDescent="0.25">
      <c r="A119" t="s">
        <v>39</v>
      </c>
      <c r="B119" t="s">
        <v>40</v>
      </c>
      <c r="C119" s="1">
        <v>46253</v>
      </c>
      <c r="D119" s="2">
        <v>0.37313657407407408</v>
      </c>
      <c r="E119" t="s">
        <v>21</v>
      </c>
      <c r="F119" s="3">
        <v>-42</v>
      </c>
      <c r="G119" s="3">
        <v>329</v>
      </c>
      <c r="H119" t="s">
        <v>173</v>
      </c>
    </row>
    <row r="120" spans="1:8" x14ac:dyDescent="0.25">
      <c r="A120" t="s">
        <v>10</v>
      </c>
      <c r="B120" t="s">
        <v>11</v>
      </c>
      <c r="C120" s="1">
        <v>46253</v>
      </c>
      <c r="D120" s="2">
        <v>0.3475347222222222</v>
      </c>
      <c r="E120" t="s">
        <v>12</v>
      </c>
      <c r="F120" s="3">
        <v>-75</v>
      </c>
      <c r="G120" s="3">
        <v>1988.59</v>
      </c>
      <c r="H120" t="s">
        <v>174</v>
      </c>
    </row>
    <row r="121" spans="1:8" x14ac:dyDescent="0.25">
      <c r="A121" t="s">
        <v>10</v>
      </c>
      <c r="B121" t="s">
        <v>11</v>
      </c>
      <c r="C121" s="1">
        <v>46253</v>
      </c>
      <c r="D121" s="2">
        <v>0.34157407407407409</v>
      </c>
      <c r="E121" t="s">
        <v>9</v>
      </c>
      <c r="F121" s="3">
        <v>-116</v>
      </c>
      <c r="G121" s="3">
        <v>2063.59</v>
      </c>
      <c r="H121" t="s">
        <v>175</v>
      </c>
    </row>
    <row r="122" spans="1:8" x14ac:dyDescent="0.25">
      <c r="A122" t="s">
        <v>29</v>
      </c>
      <c r="B122" t="s">
        <v>8</v>
      </c>
      <c r="C122" s="1">
        <v>46253</v>
      </c>
      <c r="D122" s="2">
        <v>0.33199074074074075</v>
      </c>
      <c r="E122" t="s">
        <v>9</v>
      </c>
      <c r="F122" s="3">
        <v>-116</v>
      </c>
      <c r="G122" s="3">
        <v>2076.9499999999998</v>
      </c>
      <c r="H122" t="s">
        <v>176</v>
      </c>
    </row>
    <row r="123" spans="1:8" x14ac:dyDescent="0.25">
      <c r="A123" t="s">
        <v>19</v>
      </c>
      <c r="B123" t="s">
        <v>20</v>
      </c>
      <c r="C123" s="1">
        <v>46253</v>
      </c>
      <c r="D123" s="2">
        <v>0.32750000000000001</v>
      </c>
      <c r="E123" t="s">
        <v>21</v>
      </c>
      <c r="F123" s="3">
        <v>-166</v>
      </c>
      <c r="G123" s="3">
        <v>1874</v>
      </c>
      <c r="H123" t="s">
        <v>177</v>
      </c>
    </row>
    <row r="124" spans="1:8" x14ac:dyDescent="0.25">
      <c r="A124" t="s">
        <v>37</v>
      </c>
      <c r="B124" t="s">
        <v>38</v>
      </c>
      <c r="C124" s="1">
        <v>46253</v>
      </c>
      <c r="D124" s="2">
        <v>0.32582175925925927</v>
      </c>
      <c r="E124" t="s">
        <v>36</v>
      </c>
      <c r="F124" s="3">
        <v>-54</v>
      </c>
      <c r="G124" s="3">
        <v>384</v>
      </c>
      <c r="H124" t="s">
        <v>178</v>
      </c>
    </row>
    <row r="125" spans="1:8" x14ac:dyDescent="0.25">
      <c r="A125" t="s">
        <v>7</v>
      </c>
      <c r="B125" t="s">
        <v>8</v>
      </c>
      <c r="C125" s="1">
        <v>46253</v>
      </c>
      <c r="D125" s="2">
        <v>0.28319444444444447</v>
      </c>
      <c r="E125" t="s">
        <v>9</v>
      </c>
      <c r="F125" s="3">
        <v>-116</v>
      </c>
      <c r="G125" s="3">
        <v>2357.87</v>
      </c>
      <c r="H125" t="s">
        <v>179</v>
      </c>
    </row>
    <row r="126" spans="1:8" x14ac:dyDescent="0.25">
      <c r="A126" t="s">
        <v>47</v>
      </c>
      <c r="B126" t="s">
        <v>48</v>
      </c>
      <c r="C126" s="1">
        <v>46253</v>
      </c>
      <c r="D126" s="4">
        <v>0.23055555555555557</v>
      </c>
      <c r="E126" t="s">
        <v>9</v>
      </c>
      <c r="F126" s="3">
        <v>-116</v>
      </c>
      <c r="G126" s="3">
        <v>342</v>
      </c>
      <c r="H126" t="s">
        <v>180</v>
      </c>
    </row>
    <row r="127" spans="1:8" x14ac:dyDescent="0.25">
      <c r="A127" t="s">
        <v>37</v>
      </c>
      <c r="B127" t="s">
        <v>38</v>
      </c>
      <c r="C127" s="1">
        <v>46252</v>
      </c>
      <c r="D127" s="2">
        <v>0.82994212962962965</v>
      </c>
      <c r="E127" t="s">
        <v>36</v>
      </c>
      <c r="F127" s="3">
        <v>-54</v>
      </c>
      <c r="G127" s="3">
        <v>438</v>
      </c>
      <c r="H127" t="s">
        <v>181</v>
      </c>
    </row>
    <row r="128" spans="1:8" x14ac:dyDescent="0.25">
      <c r="A128" t="s">
        <v>7</v>
      </c>
      <c r="B128" t="s">
        <v>8</v>
      </c>
      <c r="C128" s="1">
        <v>46252</v>
      </c>
      <c r="D128" s="2">
        <v>0.78452546296296299</v>
      </c>
      <c r="E128" t="s">
        <v>12</v>
      </c>
      <c r="F128" s="3">
        <v>-75</v>
      </c>
      <c r="G128" s="3">
        <v>2373.87</v>
      </c>
      <c r="H128" t="s">
        <v>182</v>
      </c>
    </row>
    <row r="129" spans="1:8" x14ac:dyDescent="0.25">
      <c r="A129" t="s">
        <v>7</v>
      </c>
      <c r="B129" t="s">
        <v>8</v>
      </c>
      <c r="C129" s="1">
        <v>46252</v>
      </c>
      <c r="D129" s="2">
        <v>0.77623842592592596</v>
      </c>
      <c r="E129" t="s">
        <v>9</v>
      </c>
      <c r="F129" s="3">
        <v>-116</v>
      </c>
      <c r="G129" s="3">
        <v>2348.87</v>
      </c>
      <c r="H129" t="s">
        <v>183</v>
      </c>
    </row>
    <row r="130" spans="1:8" x14ac:dyDescent="0.25">
      <c r="A130" t="s">
        <v>19</v>
      </c>
      <c r="B130" t="s">
        <v>20</v>
      </c>
      <c r="C130" s="1">
        <v>46252</v>
      </c>
      <c r="D130" s="2">
        <v>0.76347222222222222</v>
      </c>
      <c r="E130" t="s">
        <v>21</v>
      </c>
      <c r="F130" s="3">
        <v>-83</v>
      </c>
      <c r="G130" s="3">
        <v>2040</v>
      </c>
      <c r="H130" t="s">
        <v>184</v>
      </c>
    </row>
    <row r="131" spans="1:8" x14ac:dyDescent="0.25">
      <c r="A131" t="s">
        <v>10</v>
      </c>
      <c r="B131" t="s">
        <v>11</v>
      </c>
      <c r="C131" s="1">
        <v>46252</v>
      </c>
      <c r="D131" s="2">
        <v>0.64504629629629628</v>
      </c>
      <c r="E131" t="s">
        <v>16</v>
      </c>
      <c r="F131" s="3">
        <v>-99</v>
      </c>
      <c r="G131" s="3">
        <v>2179.59</v>
      </c>
      <c r="H131" t="s">
        <v>185</v>
      </c>
    </row>
    <row r="132" spans="1:8" x14ac:dyDescent="0.25">
      <c r="A132" t="s">
        <v>27</v>
      </c>
      <c r="B132" t="s">
        <v>28</v>
      </c>
      <c r="C132" s="1">
        <v>46252</v>
      </c>
      <c r="D132" s="2">
        <v>0.6338773148148148</v>
      </c>
      <c r="E132" t="s">
        <v>21</v>
      </c>
      <c r="F132" s="3">
        <v>-70</v>
      </c>
      <c r="G132" s="3">
        <v>930</v>
      </c>
      <c r="H132" t="s">
        <v>186</v>
      </c>
    </row>
    <row r="133" spans="1:8" x14ac:dyDescent="0.25">
      <c r="A133" t="s">
        <v>27</v>
      </c>
      <c r="B133" t="s">
        <v>28</v>
      </c>
      <c r="C133" s="1">
        <v>46252</v>
      </c>
      <c r="D133" s="2">
        <v>0.62200231481481483</v>
      </c>
      <c r="E133" t="s">
        <v>36</v>
      </c>
      <c r="F133" s="3">
        <v>-54</v>
      </c>
      <c r="G133" s="3">
        <v>876</v>
      </c>
      <c r="H133" t="s">
        <v>187</v>
      </c>
    </row>
    <row r="134" spans="1:8" x14ac:dyDescent="0.25">
      <c r="A134" t="s">
        <v>10</v>
      </c>
      <c r="B134" t="s">
        <v>11</v>
      </c>
      <c r="C134" s="1">
        <v>46252</v>
      </c>
      <c r="D134" s="2">
        <v>0.59934027777777776</v>
      </c>
      <c r="E134" t="s">
        <v>9</v>
      </c>
      <c r="F134" s="3">
        <v>-116</v>
      </c>
      <c r="G134" s="3">
        <v>2278.59</v>
      </c>
      <c r="H134" t="s">
        <v>188</v>
      </c>
    </row>
    <row r="135" spans="1:8" x14ac:dyDescent="0.25">
      <c r="A135" t="s">
        <v>10</v>
      </c>
      <c r="B135" t="s">
        <v>11</v>
      </c>
      <c r="C135" s="1">
        <v>46252</v>
      </c>
      <c r="D135" s="2">
        <v>0.57085648148148149</v>
      </c>
      <c r="E135" t="s">
        <v>21</v>
      </c>
      <c r="F135" s="3">
        <v>-111</v>
      </c>
      <c r="G135" s="3">
        <v>2394.59</v>
      </c>
      <c r="H135" t="s">
        <v>189</v>
      </c>
    </row>
    <row r="136" spans="1:8" x14ac:dyDescent="0.25">
      <c r="A136" t="s">
        <v>33</v>
      </c>
      <c r="B136" t="s">
        <v>34</v>
      </c>
      <c r="C136" s="1">
        <v>46252</v>
      </c>
      <c r="D136" s="2">
        <v>0.5500694444444445</v>
      </c>
      <c r="E136" t="s">
        <v>36</v>
      </c>
      <c r="F136" s="3">
        <v>-108</v>
      </c>
      <c r="G136" s="3">
        <v>554</v>
      </c>
      <c r="H136" t="s">
        <v>190</v>
      </c>
    </row>
    <row r="137" spans="1:8" x14ac:dyDescent="0.25">
      <c r="A137" t="s">
        <v>7</v>
      </c>
      <c r="B137" t="s">
        <v>8</v>
      </c>
      <c r="C137" s="1">
        <v>46252</v>
      </c>
      <c r="D137" s="2">
        <v>0.53391203703703705</v>
      </c>
      <c r="E137" t="s">
        <v>52</v>
      </c>
      <c r="F137" s="3">
        <v>-57</v>
      </c>
      <c r="G137" s="3">
        <v>2464.87</v>
      </c>
      <c r="H137" t="s">
        <v>191</v>
      </c>
    </row>
    <row r="138" spans="1:8" x14ac:dyDescent="0.25">
      <c r="A138" t="s">
        <v>33</v>
      </c>
      <c r="B138" t="s">
        <v>34</v>
      </c>
      <c r="C138" s="1">
        <v>46252</v>
      </c>
      <c r="D138" s="2">
        <v>0.53275462962962961</v>
      </c>
      <c r="E138" t="s">
        <v>21</v>
      </c>
      <c r="F138" s="3">
        <v>-105</v>
      </c>
      <c r="G138" s="3">
        <v>662</v>
      </c>
      <c r="H138" t="s">
        <v>192</v>
      </c>
    </row>
    <row r="139" spans="1:8" x14ac:dyDescent="0.25">
      <c r="A139" t="s">
        <v>7</v>
      </c>
      <c r="B139" t="s">
        <v>8</v>
      </c>
      <c r="C139" s="1">
        <v>46252</v>
      </c>
      <c r="D139" s="2">
        <v>0.52924768518518517</v>
      </c>
      <c r="E139" t="s">
        <v>9</v>
      </c>
      <c r="F139" s="3">
        <v>-58</v>
      </c>
      <c r="G139" s="3">
        <v>2421.87</v>
      </c>
      <c r="H139" t="s">
        <v>193</v>
      </c>
    </row>
    <row r="140" spans="1:8" x14ac:dyDescent="0.25">
      <c r="A140" t="s">
        <v>47</v>
      </c>
      <c r="B140" t="s">
        <v>48</v>
      </c>
      <c r="C140" s="1">
        <v>46252</v>
      </c>
      <c r="D140" s="2">
        <v>0.47960648148148149</v>
      </c>
      <c r="E140" t="s">
        <v>21</v>
      </c>
      <c r="F140" s="3">
        <v>-42</v>
      </c>
      <c r="G140" s="3">
        <v>458</v>
      </c>
      <c r="H140" t="s">
        <v>194</v>
      </c>
    </row>
    <row r="141" spans="1:8" x14ac:dyDescent="0.25">
      <c r="A141" t="s">
        <v>33</v>
      </c>
      <c r="B141" t="s">
        <v>34</v>
      </c>
      <c r="C141" s="1">
        <v>46252</v>
      </c>
      <c r="D141" s="2">
        <v>0.47219907407407408</v>
      </c>
      <c r="E141" t="s">
        <v>21</v>
      </c>
      <c r="F141" s="3">
        <v>-139</v>
      </c>
      <c r="G141" s="3">
        <v>875</v>
      </c>
      <c r="H141" t="s">
        <v>195</v>
      </c>
    </row>
    <row r="142" spans="1:8" x14ac:dyDescent="0.25">
      <c r="A142" t="s">
        <v>33</v>
      </c>
      <c r="B142" t="s">
        <v>34</v>
      </c>
      <c r="C142" s="1">
        <v>46252</v>
      </c>
      <c r="D142" s="2">
        <v>0.45469907407407406</v>
      </c>
      <c r="E142" t="s">
        <v>36</v>
      </c>
      <c r="F142" s="3">
        <v>-108</v>
      </c>
      <c r="G142" s="3">
        <v>767</v>
      </c>
      <c r="H142" t="s">
        <v>196</v>
      </c>
    </row>
    <row r="143" spans="1:8" x14ac:dyDescent="0.25">
      <c r="A143" t="s">
        <v>10</v>
      </c>
      <c r="B143" t="s">
        <v>11</v>
      </c>
      <c r="C143" s="1">
        <v>46252</v>
      </c>
      <c r="D143" s="2">
        <v>0.42313657407407407</v>
      </c>
      <c r="E143" t="s">
        <v>51</v>
      </c>
      <c r="F143" s="3">
        <v>-201</v>
      </c>
      <c r="G143" s="3">
        <v>1596.59</v>
      </c>
      <c r="H143" t="s">
        <v>197</v>
      </c>
    </row>
    <row r="144" spans="1:8" x14ac:dyDescent="0.25">
      <c r="A144" t="s">
        <v>10</v>
      </c>
      <c r="B144" t="s">
        <v>11</v>
      </c>
      <c r="C144" s="1">
        <v>46252</v>
      </c>
      <c r="D144" s="2">
        <v>0.40887731481481482</v>
      </c>
      <c r="E144" t="s">
        <v>50</v>
      </c>
      <c r="F144" s="3">
        <v>-27</v>
      </c>
      <c r="G144" s="3">
        <v>2505.59</v>
      </c>
      <c r="H144" t="s">
        <v>198</v>
      </c>
    </row>
    <row r="145" spans="1:8" x14ac:dyDescent="0.25">
      <c r="A145" t="s">
        <v>7</v>
      </c>
      <c r="B145" t="s">
        <v>8</v>
      </c>
      <c r="C145" s="1">
        <v>46252</v>
      </c>
      <c r="D145" s="2">
        <v>0.34843750000000001</v>
      </c>
      <c r="E145" t="s">
        <v>12</v>
      </c>
      <c r="F145" s="3">
        <v>-75</v>
      </c>
      <c r="G145" s="3">
        <v>2379.87</v>
      </c>
      <c r="H145" t="s">
        <v>199</v>
      </c>
    </row>
    <row r="146" spans="1:8" x14ac:dyDescent="0.25">
      <c r="A146" t="s">
        <v>7</v>
      </c>
      <c r="B146" t="s">
        <v>8</v>
      </c>
      <c r="C146" s="1">
        <v>46252</v>
      </c>
      <c r="D146" s="2">
        <v>0.34106481481481482</v>
      </c>
      <c r="E146" t="s">
        <v>9</v>
      </c>
      <c r="F146" s="3">
        <v>-116</v>
      </c>
      <c r="G146" s="3">
        <v>2354.87</v>
      </c>
      <c r="H146" t="s">
        <v>200</v>
      </c>
    </row>
    <row r="147" spans="1:8" x14ac:dyDescent="0.25">
      <c r="A147" t="s">
        <v>19</v>
      </c>
      <c r="B147" t="s">
        <v>20</v>
      </c>
      <c r="C147" s="1">
        <v>46252</v>
      </c>
      <c r="D147" s="2">
        <v>0.31144675925925924</v>
      </c>
      <c r="E147" t="s">
        <v>21</v>
      </c>
      <c r="F147" s="3">
        <v>-83</v>
      </c>
      <c r="G147" s="3">
        <v>2123</v>
      </c>
      <c r="H147" t="s">
        <v>201</v>
      </c>
    </row>
    <row r="148" spans="1:8" x14ac:dyDescent="0.25">
      <c r="A148" t="s">
        <v>37</v>
      </c>
      <c r="B148" t="s">
        <v>38</v>
      </c>
      <c r="C148" s="1">
        <v>46252</v>
      </c>
      <c r="D148" s="2">
        <v>0.31081018518518516</v>
      </c>
      <c r="E148" t="s">
        <v>36</v>
      </c>
      <c r="F148" s="3">
        <v>-54</v>
      </c>
      <c r="G148" s="3">
        <v>492</v>
      </c>
      <c r="H148" t="s">
        <v>202</v>
      </c>
    </row>
    <row r="149" spans="1:8" x14ac:dyDescent="0.25">
      <c r="A149" t="s">
        <v>7</v>
      </c>
      <c r="B149" t="s">
        <v>8</v>
      </c>
      <c r="C149" s="1">
        <v>46252</v>
      </c>
      <c r="D149" s="2">
        <v>0.28390046296296295</v>
      </c>
      <c r="E149" t="s">
        <v>9</v>
      </c>
      <c r="F149" s="3">
        <v>-116</v>
      </c>
      <c r="G149" s="3">
        <v>2370.87</v>
      </c>
      <c r="H149" t="s">
        <v>203</v>
      </c>
    </row>
    <row r="150" spans="1:8" x14ac:dyDescent="0.25">
      <c r="A150" t="s">
        <v>13</v>
      </c>
      <c r="B150" t="s">
        <v>14</v>
      </c>
      <c r="C150" s="1">
        <v>46251</v>
      </c>
      <c r="D150" s="2">
        <v>0.95724537037037039</v>
      </c>
      <c r="E150" t="s">
        <v>24</v>
      </c>
      <c r="F150" s="3">
        <v>-51</v>
      </c>
      <c r="G150" s="3">
        <v>1891</v>
      </c>
      <c r="H150" t="s">
        <v>204</v>
      </c>
    </row>
    <row r="151" spans="1:8" x14ac:dyDescent="0.25">
      <c r="A151" t="s">
        <v>13</v>
      </c>
      <c r="B151" t="s">
        <v>14</v>
      </c>
      <c r="C151" s="1">
        <v>46251</v>
      </c>
      <c r="D151" s="2">
        <v>0.95424768518518521</v>
      </c>
      <c r="E151" t="s">
        <v>25</v>
      </c>
      <c r="F151" s="3">
        <v>-58</v>
      </c>
      <c r="G151" s="3">
        <v>1942</v>
      </c>
      <c r="H151" t="s">
        <v>205</v>
      </c>
    </row>
    <row r="152" spans="1:8" x14ac:dyDescent="0.25">
      <c r="A152" t="s">
        <v>29</v>
      </c>
      <c r="B152" t="s">
        <v>8</v>
      </c>
      <c r="C152" s="1">
        <v>46251</v>
      </c>
      <c r="D152" s="2">
        <v>0.92215277777777782</v>
      </c>
      <c r="E152" t="s">
        <v>12</v>
      </c>
      <c r="F152" s="3">
        <v>-75</v>
      </c>
      <c r="G152" s="3">
        <v>2235.9499999999998</v>
      </c>
      <c r="H152" t="s">
        <v>206</v>
      </c>
    </row>
    <row r="153" spans="1:8" x14ac:dyDescent="0.25">
      <c r="A153" t="s">
        <v>29</v>
      </c>
      <c r="B153" t="s">
        <v>8</v>
      </c>
      <c r="C153" s="1">
        <v>46251</v>
      </c>
      <c r="D153" s="2">
        <v>0.9130787037037037</v>
      </c>
      <c r="E153" t="s">
        <v>9</v>
      </c>
      <c r="F153" s="3">
        <v>-116</v>
      </c>
      <c r="G153" s="3">
        <v>2384.9499999999998</v>
      </c>
      <c r="H153" t="s">
        <v>207</v>
      </c>
    </row>
    <row r="154" spans="1:8" x14ac:dyDescent="0.25">
      <c r="A154" t="s">
        <v>29</v>
      </c>
      <c r="B154" t="s">
        <v>8</v>
      </c>
      <c r="C154" s="1">
        <v>46251</v>
      </c>
      <c r="D154" s="2">
        <v>0.90726851851851853</v>
      </c>
      <c r="E154" t="s">
        <v>16</v>
      </c>
      <c r="F154" s="3">
        <v>-74</v>
      </c>
      <c r="G154" s="3">
        <v>2310.9499999999998</v>
      </c>
      <c r="H154" t="s">
        <v>208</v>
      </c>
    </row>
    <row r="155" spans="1:8" x14ac:dyDescent="0.25">
      <c r="A155" t="s">
        <v>19</v>
      </c>
      <c r="B155" t="s">
        <v>20</v>
      </c>
      <c r="C155" s="1">
        <v>46251</v>
      </c>
      <c r="D155" s="2">
        <v>0.88724537037037032</v>
      </c>
      <c r="E155" t="s">
        <v>21</v>
      </c>
      <c r="F155" s="3">
        <v>-83</v>
      </c>
      <c r="G155" s="3">
        <v>2206</v>
      </c>
      <c r="H155" t="s">
        <v>209</v>
      </c>
    </row>
    <row r="156" spans="1:8" x14ac:dyDescent="0.25">
      <c r="A156" t="s">
        <v>10</v>
      </c>
      <c r="B156" t="s">
        <v>11</v>
      </c>
      <c r="C156" s="1">
        <v>46251</v>
      </c>
      <c r="D156" s="2">
        <v>0.86390046296296297</v>
      </c>
      <c r="E156" t="s">
        <v>9</v>
      </c>
      <c r="F156" s="3">
        <v>-116</v>
      </c>
      <c r="G156" s="3">
        <v>1532.59</v>
      </c>
      <c r="H156" t="s">
        <v>210</v>
      </c>
    </row>
    <row r="157" spans="1:8" x14ac:dyDescent="0.25">
      <c r="A157" t="s">
        <v>29</v>
      </c>
      <c r="B157" t="s">
        <v>8</v>
      </c>
      <c r="C157" s="1">
        <v>46251</v>
      </c>
      <c r="D157" s="2">
        <v>0.81222222222222218</v>
      </c>
      <c r="E157" t="s">
        <v>16</v>
      </c>
      <c r="F157" s="3">
        <v>-99</v>
      </c>
      <c r="G157" s="3">
        <v>2562.9699999999998</v>
      </c>
      <c r="H157" t="s">
        <v>211</v>
      </c>
    </row>
    <row r="158" spans="1:8" x14ac:dyDescent="0.25">
      <c r="A158" t="s">
        <v>29</v>
      </c>
      <c r="B158" t="s">
        <v>8</v>
      </c>
      <c r="C158" s="1">
        <v>46251</v>
      </c>
      <c r="D158" s="2">
        <v>0.80811342592592594</v>
      </c>
      <c r="E158" t="s">
        <v>18</v>
      </c>
      <c r="F158" s="3">
        <v>-5.0199999999999996</v>
      </c>
      <c r="G158" s="3">
        <v>2557.9499999999998</v>
      </c>
      <c r="H158" t="s">
        <v>212</v>
      </c>
    </row>
    <row r="159" spans="1:8" x14ac:dyDescent="0.25">
      <c r="A159" t="s">
        <v>29</v>
      </c>
      <c r="B159" t="s">
        <v>8</v>
      </c>
      <c r="C159" s="1">
        <v>46251</v>
      </c>
      <c r="D159" s="2">
        <v>0.79995370370370367</v>
      </c>
      <c r="E159" t="s">
        <v>44</v>
      </c>
      <c r="F159" s="3">
        <v>-131.06</v>
      </c>
      <c r="G159" s="3">
        <v>2661.97</v>
      </c>
      <c r="H159" t="s">
        <v>213</v>
      </c>
    </row>
    <row r="160" spans="1:8" x14ac:dyDescent="0.25">
      <c r="A160" t="s">
        <v>37</v>
      </c>
      <c r="B160" t="s">
        <v>38</v>
      </c>
      <c r="C160" s="1">
        <v>46251</v>
      </c>
      <c r="D160" s="2">
        <v>0.79369212962962965</v>
      </c>
      <c r="E160" t="s">
        <v>36</v>
      </c>
      <c r="F160" s="3">
        <v>-54</v>
      </c>
      <c r="G160" s="3">
        <v>546</v>
      </c>
      <c r="H160" t="s">
        <v>214</v>
      </c>
    </row>
    <row r="161" spans="1:8" x14ac:dyDescent="0.25">
      <c r="A161" t="s">
        <v>29</v>
      </c>
      <c r="B161" t="s">
        <v>8</v>
      </c>
      <c r="C161" s="1">
        <v>46251</v>
      </c>
      <c r="D161" s="2">
        <v>0.7927777777777778</v>
      </c>
      <c r="E161" t="s">
        <v>45</v>
      </c>
      <c r="F161" s="3">
        <v>-30.56</v>
      </c>
      <c r="G161" s="3">
        <v>2793.03</v>
      </c>
      <c r="H161" t="s">
        <v>215</v>
      </c>
    </row>
    <row r="162" spans="1:8" x14ac:dyDescent="0.25">
      <c r="A162" t="s">
        <v>29</v>
      </c>
      <c r="B162" t="s">
        <v>8</v>
      </c>
      <c r="C162" s="1">
        <v>46251</v>
      </c>
      <c r="D162" s="2">
        <v>0.77141203703703709</v>
      </c>
      <c r="E162" t="s">
        <v>46</v>
      </c>
      <c r="F162" s="3">
        <v>-43</v>
      </c>
      <c r="G162" s="3">
        <v>2395.81</v>
      </c>
      <c r="H162" t="s">
        <v>216</v>
      </c>
    </row>
    <row r="163" spans="1:8" x14ac:dyDescent="0.25">
      <c r="A163" t="s">
        <v>29</v>
      </c>
      <c r="B163" t="s">
        <v>8</v>
      </c>
      <c r="C163" s="1">
        <v>46251</v>
      </c>
      <c r="D163" s="2">
        <v>0.76234953703703701</v>
      </c>
      <c r="E163" t="s">
        <v>46</v>
      </c>
      <c r="F163" s="3">
        <v>-57</v>
      </c>
      <c r="G163" s="3">
        <v>1828.95</v>
      </c>
      <c r="H163" t="s">
        <v>217</v>
      </c>
    </row>
    <row r="164" spans="1:8" x14ac:dyDescent="0.25">
      <c r="A164" t="s">
        <v>13</v>
      </c>
      <c r="B164" t="s">
        <v>14</v>
      </c>
      <c r="C164" s="1">
        <v>46251</v>
      </c>
      <c r="D164" s="2">
        <v>0.66212962962962962</v>
      </c>
      <c r="E164" t="s">
        <v>9</v>
      </c>
      <c r="F164" s="3">
        <v>-116</v>
      </c>
      <c r="G164" s="3">
        <v>255</v>
      </c>
      <c r="H164" t="s">
        <v>218</v>
      </c>
    </row>
    <row r="165" spans="1:8" x14ac:dyDescent="0.25">
      <c r="A165" t="s">
        <v>53</v>
      </c>
      <c r="B165" t="s">
        <v>54</v>
      </c>
      <c r="C165" s="1">
        <v>46251</v>
      </c>
      <c r="D165" s="2">
        <v>0.6472106481481481</v>
      </c>
      <c r="E165" t="s">
        <v>26</v>
      </c>
      <c r="F165" s="3">
        <v>-82</v>
      </c>
      <c r="G165" s="3">
        <v>360</v>
      </c>
      <c r="H165" t="s">
        <v>219</v>
      </c>
    </row>
    <row r="166" spans="1:8" x14ac:dyDescent="0.25">
      <c r="A166" t="s">
        <v>29</v>
      </c>
      <c r="B166" t="s">
        <v>8</v>
      </c>
      <c r="C166" s="1">
        <v>46251</v>
      </c>
      <c r="D166" s="2">
        <v>0.64076388888888891</v>
      </c>
      <c r="E166" t="s">
        <v>46</v>
      </c>
      <c r="F166" s="3">
        <v>-57</v>
      </c>
      <c r="G166" s="3">
        <v>2500.9499999999998</v>
      </c>
      <c r="H166" t="s">
        <v>220</v>
      </c>
    </row>
    <row r="167" spans="1:8" x14ac:dyDescent="0.25">
      <c r="A167" t="s">
        <v>29</v>
      </c>
      <c r="B167" t="s">
        <v>8</v>
      </c>
      <c r="C167" s="1">
        <v>46251</v>
      </c>
      <c r="D167" s="2">
        <v>0.63560185185185181</v>
      </c>
      <c r="E167" t="s">
        <v>46</v>
      </c>
      <c r="F167" s="3">
        <v>-43</v>
      </c>
      <c r="G167" s="3">
        <v>2192.9499999999998</v>
      </c>
      <c r="H167" t="s">
        <v>221</v>
      </c>
    </row>
    <row r="168" spans="1:8" x14ac:dyDescent="0.25">
      <c r="A168" t="s">
        <v>29</v>
      </c>
      <c r="B168" t="s">
        <v>8</v>
      </c>
      <c r="C168" s="1">
        <v>46251</v>
      </c>
      <c r="D168" s="2">
        <v>0.63033564814814813</v>
      </c>
      <c r="E168" t="s">
        <v>45</v>
      </c>
      <c r="F168" s="3">
        <v>-140.13</v>
      </c>
      <c r="G168" s="3">
        <v>2823.59</v>
      </c>
      <c r="H168" t="s">
        <v>222</v>
      </c>
    </row>
    <row r="169" spans="1:8" x14ac:dyDescent="0.25">
      <c r="A169" t="s">
        <v>10</v>
      </c>
      <c r="B169" t="s">
        <v>11</v>
      </c>
      <c r="C169" s="1">
        <v>46251</v>
      </c>
      <c r="D169" s="2">
        <v>0.62950231481481478</v>
      </c>
      <c r="E169" t="s">
        <v>12</v>
      </c>
      <c r="F169" s="3">
        <v>-158</v>
      </c>
      <c r="G169" s="3">
        <v>1648.59</v>
      </c>
      <c r="H169" t="s">
        <v>223</v>
      </c>
    </row>
    <row r="170" spans="1:8" x14ac:dyDescent="0.25">
      <c r="A170" t="s">
        <v>53</v>
      </c>
      <c r="B170" t="s">
        <v>54</v>
      </c>
      <c r="C170" s="1">
        <v>46251</v>
      </c>
      <c r="D170" s="2">
        <v>0.62122685185185189</v>
      </c>
      <c r="E170" t="s">
        <v>32</v>
      </c>
      <c r="F170" s="3">
        <v>-82</v>
      </c>
      <c r="G170" s="3">
        <v>278</v>
      </c>
      <c r="H170" t="s">
        <v>224</v>
      </c>
    </row>
    <row r="171" spans="1:8" x14ac:dyDescent="0.25">
      <c r="A171" t="s">
        <v>29</v>
      </c>
      <c r="B171" t="s">
        <v>8</v>
      </c>
      <c r="C171" s="1">
        <v>46251</v>
      </c>
      <c r="D171" s="2">
        <v>0.62082175925925931</v>
      </c>
      <c r="E171" t="s">
        <v>44</v>
      </c>
      <c r="F171" s="3">
        <v>-79.45</v>
      </c>
      <c r="G171" s="3">
        <v>1463.72</v>
      </c>
      <c r="H171" t="s">
        <v>225</v>
      </c>
    </row>
    <row r="172" spans="1:8" x14ac:dyDescent="0.25">
      <c r="A172" t="s">
        <v>13</v>
      </c>
      <c r="B172" t="s">
        <v>14</v>
      </c>
      <c r="C172" s="1">
        <v>46251</v>
      </c>
      <c r="D172" s="2">
        <v>0.61938657407407405</v>
      </c>
      <c r="E172" t="s">
        <v>9</v>
      </c>
      <c r="F172" s="3">
        <v>-116</v>
      </c>
      <c r="G172" s="3">
        <v>371</v>
      </c>
      <c r="H172" t="s">
        <v>226</v>
      </c>
    </row>
    <row r="173" spans="1:8" x14ac:dyDescent="0.25">
      <c r="A173" t="s">
        <v>53</v>
      </c>
      <c r="B173" t="s">
        <v>54</v>
      </c>
      <c r="C173" s="1">
        <v>46251</v>
      </c>
      <c r="D173" s="2">
        <v>0.61288194444444444</v>
      </c>
      <c r="E173" t="s">
        <v>9</v>
      </c>
      <c r="F173" s="3">
        <v>-58</v>
      </c>
      <c r="G173" s="3">
        <v>442</v>
      </c>
      <c r="H173" t="s">
        <v>227</v>
      </c>
    </row>
    <row r="174" spans="1:8" x14ac:dyDescent="0.25">
      <c r="A174" t="s">
        <v>13</v>
      </c>
      <c r="B174" t="s">
        <v>14</v>
      </c>
      <c r="C174" s="1">
        <v>46251</v>
      </c>
      <c r="D174" s="2">
        <v>0.57333333333333336</v>
      </c>
      <c r="E174" t="s">
        <v>12</v>
      </c>
      <c r="F174" s="3">
        <v>-75</v>
      </c>
      <c r="G174" s="3">
        <v>487</v>
      </c>
      <c r="H174" t="s">
        <v>228</v>
      </c>
    </row>
    <row r="175" spans="1:8" x14ac:dyDescent="0.25">
      <c r="A175" t="s">
        <v>13</v>
      </c>
      <c r="B175" t="s">
        <v>14</v>
      </c>
      <c r="C175" s="1">
        <v>46251</v>
      </c>
      <c r="D175" s="2">
        <v>0.56332175925925931</v>
      </c>
      <c r="E175" t="s">
        <v>9</v>
      </c>
      <c r="F175" s="3">
        <v>-116</v>
      </c>
      <c r="G175" s="3">
        <v>562</v>
      </c>
      <c r="H175" t="s">
        <v>229</v>
      </c>
    </row>
    <row r="176" spans="1:8" x14ac:dyDescent="0.25">
      <c r="A176" t="s">
        <v>33</v>
      </c>
      <c r="B176" t="s">
        <v>34</v>
      </c>
      <c r="C176" s="1">
        <v>46251</v>
      </c>
      <c r="D176" s="2">
        <v>0.55936342592592592</v>
      </c>
      <c r="E176" t="s">
        <v>21</v>
      </c>
      <c r="F176" s="3">
        <v>-139</v>
      </c>
      <c r="G176" s="3">
        <v>114</v>
      </c>
      <c r="H176" t="s">
        <v>230</v>
      </c>
    </row>
    <row r="177" spans="1:8" x14ac:dyDescent="0.25">
      <c r="A177" t="s">
        <v>13</v>
      </c>
      <c r="B177" t="s">
        <v>14</v>
      </c>
      <c r="C177" s="1">
        <v>46251</v>
      </c>
      <c r="D177" s="2">
        <v>0.55641203703703701</v>
      </c>
      <c r="E177" t="s">
        <v>16</v>
      </c>
      <c r="F177" s="3">
        <v>-99</v>
      </c>
      <c r="G177" s="3">
        <v>156</v>
      </c>
      <c r="H177" t="s">
        <v>231</v>
      </c>
    </row>
    <row r="178" spans="1:8" x14ac:dyDescent="0.25">
      <c r="A178" t="s">
        <v>13</v>
      </c>
      <c r="B178" t="s">
        <v>14</v>
      </c>
      <c r="C178" s="1">
        <v>46251</v>
      </c>
      <c r="D178" s="2">
        <v>0.55190972222222223</v>
      </c>
      <c r="E178" t="s">
        <v>18</v>
      </c>
      <c r="F178" s="3">
        <v>-7.45</v>
      </c>
      <c r="G178" s="3">
        <v>1990.55</v>
      </c>
      <c r="H178" t="s">
        <v>232</v>
      </c>
    </row>
    <row r="179" spans="1:8" x14ac:dyDescent="0.25">
      <c r="A179" t="s">
        <v>47</v>
      </c>
      <c r="B179" t="s">
        <v>48</v>
      </c>
      <c r="C179" s="1">
        <v>46251</v>
      </c>
      <c r="D179" s="2">
        <v>0.4620023148148148</v>
      </c>
      <c r="E179" t="s">
        <v>21</v>
      </c>
      <c r="F179" s="3">
        <v>-42</v>
      </c>
      <c r="G179" s="3">
        <v>420.51</v>
      </c>
      <c r="H179" t="s">
        <v>233</v>
      </c>
    </row>
    <row r="180" spans="1:8" x14ac:dyDescent="0.25">
      <c r="A180" t="s">
        <v>47</v>
      </c>
      <c r="B180" t="s">
        <v>48</v>
      </c>
      <c r="C180" s="1">
        <v>46251</v>
      </c>
      <c r="D180" s="2">
        <v>0.45891203703703703</v>
      </c>
      <c r="E180" t="s">
        <v>51</v>
      </c>
      <c r="F180" s="3">
        <v>-201</v>
      </c>
      <c r="G180" s="3">
        <v>219.51</v>
      </c>
      <c r="H180" t="s">
        <v>234</v>
      </c>
    </row>
    <row r="181" spans="1:8" x14ac:dyDescent="0.25">
      <c r="A181" t="s">
        <v>33</v>
      </c>
      <c r="B181" t="s">
        <v>34</v>
      </c>
      <c r="C181" s="1">
        <v>46251</v>
      </c>
      <c r="D181" s="2">
        <v>0.4548726851851852</v>
      </c>
      <c r="E181" t="s">
        <v>21</v>
      </c>
      <c r="F181" s="3">
        <v>-139</v>
      </c>
      <c r="G181" s="3">
        <v>361</v>
      </c>
      <c r="H181" t="s">
        <v>235</v>
      </c>
    </row>
    <row r="182" spans="1:8" x14ac:dyDescent="0.25">
      <c r="A182" t="s">
        <v>33</v>
      </c>
      <c r="B182" t="s">
        <v>34</v>
      </c>
      <c r="C182" s="1">
        <v>46251</v>
      </c>
      <c r="D182" s="2">
        <v>0.43929398148148147</v>
      </c>
      <c r="E182" t="s">
        <v>36</v>
      </c>
      <c r="F182" s="3">
        <v>-108</v>
      </c>
      <c r="G182" s="3">
        <v>253</v>
      </c>
      <c r="H182" t="s">
        <v>236</v>
      </c>
    </row>
    <row r="183" spans="1:8" x14ac:dyDescent="0.25">
      <c r="A183" t="s">
        <v>13</v>
      </c>
      <c r="B183" t="s">
        <v>14</v>
      </c>
      <c r="C183" s="1">
        <v>46251</v>
      </c>
      <c r="D183" s="2">
        <v>0.31562499999999999</v>
      </c>
      <c r="E183" t="s">
        <v>16</v>
      </c>
      <c r="F183" s="3">
        <v>-99</v>
      </c>
      <c r="G183" s="3">
        <v>785</v>
      </c>
      <c r="H183" t="s">
        <v>237</v>
      </c>
    </row>
    <row r="184" spans="1:8" x14ac:dyDescent="0.25">
      <c r="A184" t="s">
        <v>19</v>
      </c>
      <c r="B184" t="s">
        <v>20</v>
      </c>
      <c r="C184" s="1">
        <v>46251</v>
      </c>
      <c r="D184" s="2">
        <v>0.3142361111111111</v>
      </c>
      <c r="E184" t="s">
        <v>21</v>
      </c>
      <c r="F184" s="3">
        <v>-83</v>
      </c>
      <c r="G184" s="3">
        <v>2289</v>
      </c>
      <c r="H184" t="s">
        <v>238</v>
      </c>
    </row>
    <row r="185" spans="1:8" x14ac:dyDescent="0.25">
      <c r="A185" t="s">
        <v>13</v>
      </c>
      <c r="B185" t="s">
        <v>14</v>
      </c>
      <c r="C185" s="1">
        <v>46251</v>
      </c>
      <c r="D185" s="2">
        <v>0.30456018518518518</v>
      </c>
      <c r="E185" t="s">
        <v>9</v>
      </c>
      <c r="F185" s="3">
        <v>-116</v>
      </c>
      <c r="G185" s="3">
        <v>884</v>
      </c>
      <c r="H185" t="s">
        <v>239</v>
      </c>
    </row>
    <row r="186" spans="1:8" x14ac:dyDescent="0.25">
      <c r="A186" t="s">
        <v>29</v>
      </c>
      <c r="B186" t="s">
        <v>8</v>
      </c>
      <c r="C186" s="1">
        <v>46251</v>
      </c>
      <c r="D186" s="2">
        <v>0.29707175925925927</v>
      </c>
      <c r="E186" t="s">
        <v>16</v>
      </c>
      <c r="F186" s="3">
        <v>-99</v>
      </c>
      <c r="G186" s="3">
        <v>1543.17</v>
      </c>
      <c r="H186" t="s">
        <v>240</v>
      </c>
    </row>
    <row r="187" spans="1:8" x14ac:dyDescent="0.25">
      <c r="A187" t="s">
        <v>29</v>
      </c>
      <c r="B187" t="s">
        <v>8</v>
      </c>
      <c r="C187" s="1">
        <v>46251</v>
      </c>
      <c r="D187" s="2">
        <v>0.28812500000000002</v>
      </c>
      <c r="E187" t="s">
        <v>9</v>
      </c>
      <c r="F187" s="3">
        <v>-116</v>
      </c>
      <c r="G187" s="3">
        <v>1642.17</v>
      </c>
      <c r="H187" t="s">
        <v>241</v>
      </c>
    </row>
    <row r="188" spans="1:8" x14ac:dyDescent="0.25">
      <c r="A188" t="s">
        <v>19</v>
      </c>
      <c r="B188" t="s">
        <v>20</v>
      </c>
      <c r="C188" s="1">
        <v>46251</v>
      </c>
      <c r="D188" s="2">
        <v>0.27934027777777776</v>
      </c>
      <c r="E188" t="s">
        <v>21</v>
      </c>
      <c r="F188" s="3">
        <v>-70</v>
      </c>
      <c r="G188" s="3">
        <v>2372</v>
      </c>
      <c r="H188" t="s">
        <v>242</v>
      </c>
    </row>
    <row r="189" spans="1:8" x14ac:dyDescent="0.25">
      <c r="A189" t="s">
        <v>13</v>
      </c>
      <c r="B189" t="s">
        <v>14</v>
      </c>
      <c r="C189" s="1">
        <v>46251</v>
      </c>
      <c r="D189" s="2">
        <v>0.27643518518518517</v>
      </c>
      <c r="E189" t="s">
        <v>25</v>
      </c>
      <c r="F189" s="3">
        <v>-58</v>
      </c>
      <c r="G189" s="3">
        <v>392</v>
      </c>
      <c r="H189" t="s">
        <v>243</v>
      </c>
    </row>
    <row r="190" spans="1:8" x14ac:dyDescent="0.25">
      <c r="A190" t="s">
        <v>22</v>
      </c>
      <c r="B190" t="s">
        <v>23</v>
      </c>
      <c r="C190" s="1">
        <v>46251</v>
      </c>
      <c r="D190" s="2">
        <v>0.2762384259259259</v>
      </c>
      <c r="E190" t="s">
        <v>16</v>
      </c>
      <c r="F190" s="3">
        <v>-99</v>
      </c>
      <c r="G190" s="3">
        <v>731</v>
      </c>
      <c r="H190" t="s">
        <v>244</v>
      </c>
    </row>
    <row r="191" spans="1:8" x14ac:dyDescent="0.25">
      <c r="A191" t="s">
        <v>13</v>
      </c>
      <c r="B191" t="s">
        <v>14</v>
      </c>
      <c r="C191" s="1">
        <v>46251</v>
      </c>
      <c r="D191" s="2">
        <v>0.27295138888888887</v>
      </c>
      <c r="E191" t="s">
        <v>24</v>
      </c>
      <c r="F191" s="3">
        <v>-51</v>
      </c>
      <c r="G191" s="3">
        <v>450</v>
      </c>
      <c r="H191" t="s">
        <v>245</v>
      </c>
    </row>
    <row r="192" spans="1:8" x14ac:dyDescent="0.25">
      <c r="A192" t="s">
        <v>22</v>
      </c>
      <c r="B192" t="s">
        <v>23</v>
      </c>
      <c r="C192" s="1">
        <v>46251</v>
      </c>
      <c r="D192" s="2">
        <v>0.26699074074074075</v>
      </c>
      <c r="E192" t="s">
        <v>9</v>
      </c>
      <c r="F192" s="3">
        <v>-116</v>
      </c>
      <c r="G192" s="3">
        <v>830</v>
      </c>
      <c r="H192" t="s">
        <v>246</v>
      </c>
    </row>
    <row r="193" spans="1:8" x14ac:dyDescent="0.25">
      <c r="A193" t="s">
        <v>22</v>
      </c>
      <c r="B193" t="s">
        <v>23</v>
      </c>
      <c r="C193" s="1">
        <v>46251</v>
      </c>
      <c r="D193" s="2">
        <v>0.19883101851851853</v>
      </c>
      <c r="E193" t="s">
        <v>36</v>
      </c>
      <c r="F193" s="3">
        <v>-54</v>
      </c>
      <c r="G193" s="3">
        <v>946</v>
      </c>
      <c r="H193" t="s">
        <v>247</v>
      </c>
    </row>
    <row r="194" spans="1:8" x14ac:dyDescent="0.25">
      <c r="A194" s="5" t="s">
        <v>248</v>
      </c>
      <c r="B194" s="5"/>
      <c r="C194" s="5"/>
      <c r="D194" s="5"/>
      <c r="E194" s="5"/>
      <c r="F194" s="6">
        <f>SUBTOTAL(109,Tabla1[Importe])</f>
        <v>-16203.79</v>
      </c>
      <c r="G194" s="5"/>
      <c r="H194" s="5">
        <f>SUBTOTAL(103,Tabla1[SEMANA])</f>
        <v>192</v>
      </c>
    </row>
  </sheetData>
  <phoneticPr fontId="18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R1</vt:lpstr>
      <vt:lpstr>MOVIMIENTOS </vt:lpstr>
      <vt:lpstr>'R1'!Área_de_impresión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Olitza Edith</dc:creator>
  <cp:lastModifiedBy>KARLA MALDONADO</cp:lastModifiedBy>
  <cp:lastPrinted>2026-08-24T17:16:43Z</cp:lastPrinted>
  <dcterms:created xsi:type="dcterms:W3CDTF">2026-08-24T17:17:00Z</dcterms:created>
  <dcterms:modified xsi:type="dcterms:W3CDTF">2026-08-24T17:17:00Z</dcterms:modified>
</cp:coreProperties>
</file>