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OSE\Desktop\Proyecto fenix\TAGS\semana 34\"/>
    </mc:Choice>
  </mc:AlternateContent>
  <xr:revisionPtr revIDLastSave="0" documentId="13_ncr:1_{5C44FB83-5DD4-4E31-A58C-89AEF9945335}" xr6:coauthVersionLast="47" xr6:coauthVersionMax="47" xr10:uidLastSave="{00000000-0000-0000-0000-000000000000}"/>
  <bookViews>
    <workbookView xWindow="0" yWindow="360" windowWidth="23256" windowHeight="12456" firstSheet="1" activeTab="1" xr2:uid="{00000000-000D-0000-FFFF-FFFF00000000}"/>
  </bookViews>
  <sheets>
    <sheet name="R1" sheetId="2" r:id="rId1"/>
    <sheet name="DESGLOSE " sheetId="1" r:id="rId2"/>
  </sheets>
  <definedNames>
    <definedName name="_xlnm.Print_Area" localSheetId="0">'R1'!$B$3:$E$21</definedName>
  </definedName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7" i="1" l="1"/>
  <c r="Q107" i="1"/>
  <c r="K167" i="1"/>
</calcChain>
</file>

<file path=xl/sharedStrings.xml><?xml version="1.0" encoding="utf-8"?>
<sst xmlns="http://schemas.openxmlformats.org/spreadsheetml/2006/main" count="716" uniqueCount="68">
  <si>
    <t>Tag</t>
  </si>
  <si>
    <t>No.Economico</t>
  </si>
  <si>
    <t>Fecha</t>
  </si>
  <si>
    <t>Hora</t>
  </si>
  <si>
    <t>Caseta</t>
  </si>
  <si>
    <t>Importe</t>
  </si>
  <si>
    <t>XONACATLAN</t>
  </si>
  <si>
    <t>MARQUESA T2</t>
  </si>
  <si>
    <t>CTO. EXT. MEXIQUENSE</t>
  </si>
  <si>
    <t>SAN MIGUEL</t>
  </si>
  <si>
    <t>MARQUESA VIAPASS</t>
  </si>
  <si>
    <t>CERRILLO</t>
  </si>
  <si>
    <t>CHAMAPA IDEAL</t>
  </si>
  <si>
    <t>CPFI01427350..</t>
  </si>
  <si>
    <t xml:space="preserve">JAVIER PEREZ </t>
  </si>
  <si>
    <t>IMDM28600378..</t>
  </si>
  <si>
    <t xml:space="preserve"> CLEMENTE  </t>
  </si>
  <si>
    <t>EL DORADO</t>
  </si>
  <si>
    <t>IMDM31180012..</t>
  </si>
  <si>
    <t>UT47</t>
  </si>
  <si>
    <t>HUIXQUILUCAN</t>
  </si>
  <si>
    <t>HORTALIZA</t>
  </si>
  <si>
    <t>CHAMAPA AUTOVAN</t>
  </si>
  <si>
    <t>IMDM28600364..</t>
  </si>
  <si>
    <t xml:space="preserve">TOYOTA HIACE </t>
  </si>
  <si>
    <t>IMDM30874327..</t>
  </si>
  <si>
    <t>LEONCIO</t>
  </si>
  <si>
    <t>CHAPULTEPEC</t>
  </si>
  <si>
    <t>LA VENTA</t>
  </si>
  <si>
    <t>CPFI01427359..</t>
  </si>
  <si>
    <t>UT 38</t>
  </si>
  <si>
    <t>IMDM28600385..</t>
  </si>
  <si>
    <t xml:space="preserve">3 1/2 DIESEL </t>
  </si>
  <si>
    <t>NOPALA</t>
  </si>
  <si>
    <t>IMDM30874329..</t>
  </si>
  <si>
    <t>UT 10UD COMPRAS</t>
  </si>
  <si>
    <t>IMDM28600368..</t>
  </si>
  <si>
    <t>CARLOS  NAZAR</t>
  </si>
  <si>
    <t>IMDM28600382..</t>
  </si>
  <si>
    <t xml:space="preserve">JOSE TRUJANO </t>
  </si>
  <si>
    <t>CHAMAPA CAPUFE</t>
  </si>
  <si>
    <t>JILOTEPEC</t>
  </si>
  <si>
    <t>PACHUCA</t>
  </si>
  <si>
    <t>ATLACOMULCO SUR</t>
  </si>
  <si>
    <t>IMDM30874324..</t>
  </si>
  <si>
    <t>PAOLA JA</t>
  </si>
  <si>
    <t>SUPER VIA</t>
  </si>
  <si>
    <t>SEGUNDO PISO A.U. SUR</t>
  </si>
  <si>
    <t>IMDM28600391..</t>
  </si>
  <si>
    <t>Alberto Maq</t>
  </si>
  <si>
    <t>IMDM28600363..</t>
  </si>
  <si>
    <t xml:space="preserve">PETROLIZADORA </t>
  </si>
  <si>
    <t>LAGO DE GUADALUPE</t>
  </si>
  <si>
    <t>ATLACOMULCO-LIB QRO</t>
  </si>
  <si>
    <t>SALAMANCA</t>
  </si>
  <si>
    <t xml:space="preserve">Semana </t>
  </si>
  <si>
    <t>SEMANA 34</t>
  </si>
  <si>
    <t>Etiquetas de fila</t>
  </si>
  <si>
    <t>Total general</t>
  </si>
  <si>
    <t>CONSUMO SEMANA 34 JDJ EYC</t>
  </si>
  <si>
    <t>CONSUMO</t>
  </si>
  <si>
    <t>Camion personal de mexico toluca</t>
  </si>
  <si>
    <t>Columna1</t>
  </si>
  <si>
    <t>javier perez</t>
  </si>
  <si>
    <t>Camion pasajerons</t>
  </si>
  <si>
    <t>carlos alarcon</t>
  </si>
  <si>
    <t>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</si>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</sst>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21" fontId="0" fillId="0" borderId="0" xfId="0" applyNumberFormat="1"/>
    <xf numFmtId="8" fontId="0" fillId="0" borderId="0" xfId="0" applyNumberFormat="1"/>
    <xf numFmtId="20" fontId="0" fillId="0" borderId="0" xfId="0" applyNumberFormat="1"/>
    <xf numFmtId="44" fontId="0" fillId="0" borderId="0" xfId="1" applyFont="1"/>
    <xf numFmtId="0" fontId="20" fillId="0" borderId="0" xfId="0" pivotButton="1" applyFont="1"/>
    <xf numFmtId="44" fontId="20" fillId="0" borderId="0" xfId="1" applyFont="1"/>
    <xf numFmtId="0" fontId="20" fillId="0" borderId="0" xfId="0" applyFont="1" applyAlignment="1">
      <alignment horizontal="left"/>
    </xf>
    <xf numFmtId="8" fontId="0" fillId="33" borderId="10" xfId="0" applyNumberFormat="1" applyFill="1" applyBorder="1"/>
    <xf numFmtId="8" fontId="0" fillId="0" borderId="10" xfId="0" applyNumberFormat="1" applyBorder="1"/>
    <xf numFmtId="44" fontId="19" fillId="0" borderId="0" xfId="1" applyFont="1" applyAlignment="1">
      <alignment horizontal="center"/>
    </xf>
    <xf numFmtId="8" fontId="0" fillId="33" borderId="10" xfId="0" applyNumberFormat="1" applyFont="1" applyFill="1" applyBorder="1"/>
    <xf numFmtId="8" fontId="0" fillId="0" borderId="10" xfId="0" applyNumberFormat="1" applyFont="1" applyBorder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9"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numFmt numFmtId="12" formatCode="&quot;$&quot;#,##0.00;[Red]\-&quot;$&quot;#,##0.00"/>
    </dxf>
    <dxf>
      <numFmt numFmtId="26" formatCode="hh:mm:ss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tza Edith" refreshedDate="46260.398179282405" createdVersion="7" refreshedVersion="7" minRefreshableVersion="3" recordCount="171" xr:uid="{00000000-000A-0000-FFFF-FFFF02000000}">
  <cacheSource type="worksheet">
    <worksheetSource name="Tabla1"/>
  </cacheSource>
  <cacheFields count="7">
    <cacheField name="Tag" numFmtId="0">
      <sharedItems/>
    </cacheField>
    <cacheField name="No.Economico" numFmtId="0">
      <sharedItems count="13">
        <s v=" CLEMENTE  "/>
        <s v="3 1/2 DIESEL "/>
        <s v="Alberto Maq"/>
        <s v="CARLOS  NAZAR"/>
        <s v="JAVIER PEREZ "/>
        <s v="JOSE TRUJANO "/>
        <s v="LEONCIO"/>
        <s v="PAOLA JA"/>
        <s v="PETROLIZADORA "/>
        <s v="TOYOTA HIACE "/>
        <s v="UT 10UD COMPRAS"/>
        <s v="UT 38"/>
        <s v="UT47"/>
      </sharedItems>
    </cacheField>
    <cacheField name="Fecha" numFmtId="14">
      <sharedItems containsSemiMixedTypes="0" containsNonDate="0" containsDate="1" containsString="0" minDate="2026-08-17T00:00:00" maxDate="2026-08-23T00:00:00"/>
    </cacheField>
    <cacheField name="Hora" numFmtId="0">
      <sharedItems containsSemiMixedTypes="0" containsNonDate="0" containsDate="1" containsString="0" minDate="1899-12-30T00:30:24" maxDate="1899-12-30T22:31:29"/>
    </cacheField>
    <cacheField name="Caseta" numFmtId="0">
      <sharedItems/>
    </cacheField>
    <cacheField name="Importe" numFmtId="8">
      <sharedItems containsSemiMixedTypes="0" containsString="0" containsNumber="1" minValue="-541" maxValue="-33.49"/>
    </cacheField>
    <cacheField name="Semana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1">
  <r>
    <s v="IMDM28600378.."/>
    <x v="0"/>
    <d v="2026-08-22T00:00:00"/>
    <d v="1899-12-30T18:55:00"/>
    <s v="EL DORADO"/>
    <n v="-58"/>
    <s v="SEMANA 34"/>
  </r>
  <r>
    <s v="IMDM28600378.."/>
    <x v="0"/>
    <d v="2026-08-22T00:00:00"/>
    <d v="1899-12-30T18:40:27"/>
    <s v="XONACATLAN"/>
    <n v="-70"/>
    <s v="SEMANA 34"/>
  </r>
  <r>
    <s v="IMDM28600378.."/>
    <x v="0"/>
    <d v="2026-08-21T00:00:00"/>
    <d v="1899-12-30T21:11:34"/>
    <s v="XONACATLAN"/>
    <n v="-42"/>
    <s v="SEMANA 34"/>
  </r>
  <r>
    <s v="IMDM28600378.."/>
    <x v="0"/>
    <d v="2026-08-21T00:00:00"/>
    <d v="1899-12-30T16:55:13"/>
    <s v="MARQUESA T2"/>
    <n v="-75"/>
    <s v="SEMANA 34"/>
  </r>
  <r>
    <s v="IMDM28600378.."/>
    <x v="0"/>
    <d v="2026-08-21T00:00:00"/>
    <d v="1899-12-30T16:42:07"/>
    <s v="XONACATLAN"/>
    <n v="-83"/>
    <s v="SEMANA 34"/>
  </r>
  <r>
    <s v="IMDM28600378.."/>
    <x v="0"/>
    <d v="2026-08-21T00:00:00"/>
    <d v="1899-12-30T15:31:34"/>
    <s v="XONACATLAN"/>
    <n v="-70"/>
    <s v="SEMANA 34"/>
  </r>
  <r>
    <s v="IMDM28600378.."/>
    <x v="0"/>
    <d v="2026-08-21T00:00:00"/>
    <d v="1899-12-30T15:05:07"/>
    <s v="EL DORADO"/>
    <n v="-58"/>
    <s v="SEMANA 34"/>
  </r>
  <r>
    <s v="IMDM28600378.."/>
    <x v="0"/>
    <d v="2026-08-20T00:00:00"/>
    <d v="1899-12-30T21:31:41"/>
    <s v="JILOTEPEC"/>
    <n v="-211"/>
    <s v="SEMANA 34"/>
  </r>
  <r>
    <s v="IMDM28600378.."/>
    <x v="0"/>
    <d v="2026-08-20T00:00:00"/>
    <d v="1899-12-30T17:54:47"/>
    <s v="PACHUCA"/>
    <n v="-305"/>
    <s v="SEMANA 34"/>
  </r>
  <r>
    <s v="IMDM28600378.."/>
    <x v="0"/>
    <d v="2026-08-20T00:00:00"/>
    <d v="1899-12-30T15:21:27"/>
    <s v="ATLACOMULCO SUR"/>
    <n v="-58"/>
    <s v="SEMANA 34"/>
  </r>
  <r>
    <s v="IMDM28600378.."/>
    <x v="0"/>
    <d v="2026-08-20T00:00:00"/>
    <d v="1899-12-30T13:52:44"/>
    <s v="XONACATLAN"/>
    <n v="-70"/>
    <s v="SEMANA 34"/>
  </r>
  <r>
    <s v="IMDM28600378.."/>
    <x v="0"/>
    <d v="2026-08-20T00:00:00"/>
    <d v="1899-12-30T13:02:51"/>
    <s v="EL DORADO"/>
    <n v="-58"/>
    <s v="SEMANA 34"/>
  </r>
  <r>
    <s v="IMDM28600378.."/>
    <x v="0"/>
    <d v="2026-08-18T00:00:00"/>
    <d v="1899-12-30T20:35:24"/>
    <s v="XONACATLAN"/>
    <n v="-42"/>
    <s v="SEMANA 34"/>
  </r>
  <r>
    <s v="IMDM28600378.."/>
    <x v="0"/>
    <d v="2026-08-18T00:00:00"/>
    <d v="1899-12-30T20:30:38"/>
    <s v="CERRILLO"/>
    <n v="-201"/>
    <s v="SEMANA 34"/>
  </r>
  <r>
    <s v="IMDM28600378.."/>
    <x v="0"/>
    <d v="2026-08-18T00:00:00"/>
    <d v="1899-12-30T20:04:29"/>
    <s v="CHAMAPA CAPUFE"/>
    <n v="-69"/>
    <s v="SEMANA 34"/>
  </r>
  <r>
    <s v="IMDM28600378.."/>
    <x v="0"/>
    <d v="2026-08-18T00:00:00"/>
    <d v="1899-12-30T19:36:03"/>
    <s v="CTO. EXT. MEXIQUENSE"/>
    <n v="-43"/>
    <s v="SEMANA 34"/>
  </r>
  <r>
    <s v="IMDM28600378.."/>
    <x v="0"/>
    <d v="2026-08-18T00:00:00"/>
    <d v="1899-12-30T19:28:25"/>
    <s v="CTO. EXT. MEXIQUENSE"/>
    <n v="-57"/>
    <s v="SEMANA 34"/>
  </r>
  <r>
    <s v="IMDM28600378.."/>
    <x v="0"/>
    <d v="2026-08-18T00:00:00"/>
    <d v="1899-12-30T12:25:09"/>
    <s v="CTO. EXT. MEXIQUENSE"/>
    <n v="-57"/>
    <s v="SEMANA 34"/>
  </r>
  <r>
    <s v="IMDM28600378.."/>
    <x v="0"/>
    <d v="2026-08-18T00:00:00"/>
    <d v="1899-12-30T12:15:20"/>
    <s v="CTO. EXT. MEXIQUENSE"/>
    <n v="-43"/>
    <s v="SEMANA 34"/>
  </r>
  <r>
    <s v="IMDM28600378.."/>
    <x v="0"/>
    <d v="2026-08-18T00:00:00"/>
    <d v="1899-12-30T12:06:36"/>
    <s v="SAN MIGUEL"/>
    <n v="-94"/>
    <s v="SEMANA 34"/>
  </r>
  <r>
    <s v="IMDM28600378.."/>
    <x v="0"/>
    <d v="2026-08-18T00:00:00"/>
    <d v="1899-12-30T11:40:27"/>
    <s v="CHAMAPA AUTOVAN"/>
    <n v="-201"/>
    <s v="SEMANA 34"/>
  </r>
  <r>
    <s v="IMDM28600378.."/>
    <x v="0"/>
    <d v="2026-08-18T00:00:00"/>
    <d v="1899-12-30T11:17:33"/>
    <s v="XONACATLAN"/>
    <n v="-42"/>
    <s v="SEMANA 34"/>
  </r>
  <r>
    <s v="IMDM28600378.."/>
    <x v="0"/>
    <d v="2026-08-18T00:00:00"/>
    <d v="1899-12-30T08:03:59"/>
    <s v="XONACATLAN"/>
    <n v="-70"/>
    <s v="SEMANA 34"/>
  </r>
  <r>
    <s v="IMDM28600378.."/>
    <x v="0"/>
    <d v="2026-08-18T00:00:00"/>
    <d v="1899-12-30T07:40:08"/>
    <s v="EL DORADO"/>
    <n v="-58"/>
    <s v="SEMANA 34"/>
  </r>
  <r>
    <s v="IMDM28600385.."/>
    <x v="1"/>
    <d v="2026-08-22T00:00:00"/>
    <d v="1899-12-30T07:12:28"/>
    <s v="XONACATLAN"/>
    <n v="-83"/>
    <s v="SEMANA 34"/>
  </r>
  <r>
    <s v="IMDM28600385.."/>
    <x v="1"/>
    <d v="2026-08-22T00:00:00"/>
    <d v="1899-12-30T06:59:47"/>
    <s v="MARQUESA T2"/>
    <n v="-158"/>
    <s v="SEMANA 34"/>
  </r>
  <r>
    <s v="IMDM28600385.."/>
    <x v="1"/>
    <d v="2026-08-22T00:00:00"/>
    <d v="1899-12-30T05:37:59"/>
    <s v="MARQUESA T2"/>
    <n v="-158"/>
    <s v="SEMANA 34"/>
  </r>
  <r>
    <s v="IMDM28600385.."/>
    <x v="1"/>
    <d v="2026-08-22T00:00:00"/>
    <d v="1899-12-30T05:25:23"/>
    <s v="XONACATLAN"/>
    <n v="-83"/>
    <s v="SEMANA 34"/>
  </r>
  <r>
    <s v="IMDM28600385.."/>
    <x v="1"/>
    <d v="2026-08-21T00:00:00"/>
    <d v="1899-12-30T22:06:07"/>
    <s v="XONACATLAN"/>
    <n v="-83"/>
    <s v="SEMANA 34"/>
  </r>
  <r>
    <s v="IMDM28600385.."/>
    <x v="1"/>
    <d v="2026-08-21T00:00:00"/>
    <d v="1899-12-30T21:49:20"/>
    <s v="MARQUESA T2"/>
    <n v="-158"/>
    <s v="SEMANA 34"/>
  </r>
  <r>
    <s v="IMDM28600385.."/>
    <x v="1"/>
    <d v="2026-08-21T00:00:00"/>
    <d v="1899-12-30T19:47:02"/>
    <s v="HUIXQUILUCAN"/>
    <n v="-226"/>
    <s v="SEMANA 34"/>
  </r>
  <r>
    <s v="IMDM28600385.."/>
    <x v="1"/>
    <d v="2026-08-21T00:00:00"/>
    <d v="1899-12-30T19:04:11"/>
    <s v="CTO. EXT. MEXIQUENSE"/>
    <n v="-98"/>
    <s v="SEMANA 34"/>
  </r>
  <r>
    <s v="IMDM28600385.."/>
    <x v="1"/>
    <d v="2026-08-21T00:00:00"/>
    <d v="1899-12-30T18:06:54"/>
    <s v="CTO. EXT. MEXIQUENSE"/>
    <n v="-318"/>
    <s v="SEMANA 34"/>
  </r>
  <r>
    <s v="IMDM28600385.."/>
    <x v="1"/>
    <d v="2026-08-21T00:00:00"/>
    <d v="1899-12-30T17:52:11"/>
    <s v="CTO. EXT. MEXIQUENSE"/>
    <n v="-191"/>
    <s v="SEMANA 34"/>
  </r>
  <r>
    <s v="IMDM28600385.."/>
    <x v="1"/>
    <d v="2026-08-21T00:00:00"/>
    <d v="1899-12-30T17:38:36"/>
    <s v="CTO. EXT. MEXIQUENSE"/>
    <n v="-120"/>
    <s v="SEMANA 34"/>
  </r>
  <r>
    <s v="IMDM28600385.."/>
    <x v="1"/>
    <d v="2026-08-21T00:00:00"/>
    <d v="1899-12-30T17:30:30"/>
    <s v="CTO. EXT. MEXIQUENSE"/>
    <n v="-117"/>
    <s v="SEMANA 34"/>
  </r>
  <r>
    <s v="IMDM28600385.."/>
    <x v="1"/>
    <d v="2026-08-21T00:00:00"/>
    <d v="1899-12-30T17:17:07"/>
    <s v="CTO. EXT. MEXIQUENSE"/>
    <n v="-276"/>
    <s v="SEMANA 34"/>
  </r>
  <r>
    <s v="IMDM28600385.."/>
    <x v="1"/>
    <d v="2026-08-21T00:00:00"/>
    <d v="1899-12-30T13:21:28"/>
    <s v="CTO. EXT. MEXIQUENSE"/>
    <n v="-276"/>
    <s v="SEMANA 34"/>
  </r>
  <r>
    <s v="IMDM28600385.."/>
    <x v="1"/>
    <d v="2026-08-21T00:00:00"/>
    <d v="1899-12-30T13:01:59"/>
    <s v="CTO. EXT. MEXIQUENSE"/>
    <n v="-117"/>
    <s v="SEMANA 34"/>
  </r>
  <r>
    <s v="IMDM28600385.."/>
    <x v="1"/>
    <d v="2026-08-21T00:00:00"/>
    <d v="1899-12-30T12:53:53"/>
    <s v="CTO. EXT. MEXIQUENSE"/>
    <n v="-120"/>
    <s v="SEMANA 34"/>
  </r>
  <r>
    <s v="IMDM28600385.."/>
    <x v="1"/>
    <d v="2026-08-21T00:00:00"/>
    <d v="1899-12-30T12:32:30"/>
    <s v="CTO. EXT. MEXIQUENSE"/>
    <n v="-268"/>
    <s v="SEMANA 34"/>
  </r>
  <r>
    <s v="IMDM28600385.."/>
    <x v="1"/>
    <d v="2026-08-21T00:00:00"/>
    <d v="1899-12-30T12:21:49"/>
    <s v="CTO. EXT. MEXIQUENSE"/>
    <n v="-98"/>
    <s v="SEMANA 34"/>
  </r>
  <r>
    <s v="IMDM28600385.."/>
    <x v="1"/>
    <d v="2026-08-21T00:00:00"/>
    <d v="1899-12-30T12:13:07"/>
    <s v="SAN MIGUEL"/>
    <n v="-178"/>
    <s v="SEMANA 34"/>
  </r>
  <r>
    <s v="IMDM28600385.."/>
    <x v="1"/>
    <d v="2026-08-21T00:00:00"/>
    <d v="1899-12-30T11:44:23"/>
    <s v="CHAMAPA AUTOVAN"/>
    <n v="-541"/>
    <s v="SEMANA 34"/>
  </r>
  <r>
    <s v="IMDM28600385.."/>
    <x v="1"/>
    <d v="2026-08-20T00:00:00"/>
    <d v="1899-12-30T22:12:10"/>
    <s v="XONACATLAN"/>
    <n v="-139"/>
    <s v="SEMANA 34"/>
  </r>
  <r>
    <s v="IMDM28600385.."/>
    <x v="1"/>
    <d v="2026-08-20T00:00:00"/>
    <d v="1899-12-30T21:53:43"/>
    <s v="HORTALIZA"/>
    <n v="-108"/>
    <s v="SEMANA 34"/>
  </r>
  <r>
    <s v="IMDM28600385.."/>
    <x v="1"/>
    <d v="2026-08-20T00:00:00"/>
    <d v="1899-12-30T19:39:28"/>
    <s v="HORTALIZA"/>
    <n v="-108"/>
    <s v="SEMANA 34"/>
  </r>
  <r>
    <s v="IMDM28600385.."/>
    <x v="1"/>
    <d v="2026-08-19T00:00:00"/>
    <d v="1899-12-30T16:09:03"/>
    <s v="XONACATLAN"/>
    <n v="-83"/>
    <s v="SEMANA 34"/>
  </r>
  <r>
    <s v="IMDM28600385.."/>
    <x v="1"/>
    <d v="2026-08-19T00:00:00"/>
    <d v="1899-12-30T15:53:37"/>
    <s v="MARQUESA T2"/>
    <n v="-158"/>
    <s v="SEMANA 34"/>
  </r>
  <r>
    <s v="IMDM28600385.."/>
    <x v="1"/>
    <d v="2026-08-19T00:00:00"/>
    <d v="1899-12-30T14:25:37"/>
    <s v="MARQUESA T2"/>
    <n v="-158"/>
    <s v="SEMANA 34"/>
  </r>
  <r>
    <s v="IMDM28600385.."/>
    <x v="1"/>
    <d v="2026-08-19T00:00:00"/>
    <d v="1899-12-30T14:08:39"/>
    <s v="XONACATLAN"/>
    <n v="-83"/>
    <s v="SEMANA 34"/>
  </r>
  <r>
    <s v="IMDM28600385.."/>
    <x v="1"/>
    <d v="2026-08-19T00:00:00"/>
    <d v="1899-12-30T12:05:16"/>
    <s v="XONACATLAN"/>
    <n v="-83"/>
    <s v="SEMANA 34"/>
  </r>
  <r>
    <s v="IMDM28600385.."/>
    <x v="1"/>
    <d v="2026-08-19T00:00:00"/>
    <d v="1899-12-30T11:50:44"/>
    <s v="MARQUESA T2"/>
    <n v="-158"/>
    <s v="SEMANA 34"/>
  </r>
  <r>
    <s v="IMDM28600385.."/>
    <x v="1"/>
    <d v="2026-08-19T00:00:00"/>
    <d v="1899-12-30T10:05:10"/>
    <s v="MARQUESA T2"/>
    <n v="-158"/>
    <s v="SEMANA 34"/>
  </r>
  <r>
    <s v="IMDM28600385.."/>
    <x v="1"/>
    <d v="2026-08-19T00:00:00"/>
    <d v="1899-12-30T06:25:23"/>
    <s v="XONACATLAN"/>
    <n v="-83"/>
    <s v="SEMANA 34"/>
  </r>
  <r>
    <s v="IMDM28600385.."/>
    <x v="1"/>
    <d v="2026-08-18T00:00:00"/>
    <d v="1899-12-30T17:33:37"/>
    <s v="XONACATLAN"/>
    <n v="-83"/>
    <s v="SEMANA 34"/>
  </r>
  <r>
    <s v="IMDM28600385.."/>
    <x v="1"/>
    <d v="2026-08-18T00:00:00"/>
    <d v="1899-12-30T17:18:52"/>
    <s v="MARQUESA T2"/>
    <n v="-158"/>
    <s v="SEMANA 34"/>
  </r>
  <r>
    <s v="IMDM28600385.."/>
    <x v="1"/>
    <d v="2026-08-18T00:00:00"/>
    <d v="1899-12-30T14:37:39"/>
    <s v="MARQUESA T2"/>
    <n v="-158"/>
    <s v="SEMANA 34"/>
  </r>
  <r>
    <s v="IMDM28600385.."/>
    <x v="1"/>
    <d v="2026-08-18T00:00:00"/>
    <d v="1899-12-30T14:22:58"/>
    <s v="XONACATLAN"/>
    <n v="-222"/>
    <s v="SEMANA 34"/>
  </r>
  <r>
    <s v="IMDM28600385.."/>
    <x v="1"/>
    <d v="2026-08-18T00:00:00"/>
    <d v="1899-12-30T14:00:19"/>
    <s v="HORTALIZA"/>
    <n v="-108"/>
    <s v="SEMANA 34"/>
  </r>
  <r>
    <s v="IMDM28600385.."/>
    <x v="1"/>
    <d v="2026-08-18T00:00:00"/>
    <d v="1899-12-30T11:30:23"/>
    <s v="HORTALIZA"/>
    <n v="-108"/>
    <s v="SEMANA 34"/>
  </r>
  <r>
    <s v="IMDM28600385.."/>
    <x v="1"/>
    <d v="2026-08-17T00:00:00"/>
    <d v="1899-12-30T20:02:12"/>
    <s v="XONACATLAN"/>
    <n v="-83"/>
    <s v="SEMANA 34"/>
  </r>
  <r>
    <s v="IMDM28600385.."/>
    <x v="1"/>
    <d v="2026-08-17T00:00:00"/>
    <d v="1899-12-30T19:44:58"/>
    <s v="MARQUESA T2"/>
    <n v="-158"/>
    <s v="SEMANA 34"/>
  </r>
  <r>
    <s v="IMDM28600385.."/>
    <x v="1"/>
    <d v="2026-08-17T00:00:00"/>
    <d v="1899-12-30T18:07:05"/>
    <s v="MARQUESA T2"/>
    <n v="-158"/>
    <s v="SEMANA 34"/>
  </r>
  <r>
    <s v="IMDM28600385.."/>
    <x v="1"/>
    <d v="2026-08-17T00:00:00"/>
    <d v="1899-12-30T17:51:45"/>
    <s v="XONACATLAN"/>
    <n v="-83"/>
    <s v="SEMANA 34"/>
  </r>
  <r>
    <s v="IMDM28600391.."/>
    <x v="2"/>
    <d v="2026-08-18T00:00:00"/>
    <d v="1899-12-30T20:28:11"/>
    <s v="XONACATLAN"/>
    <n v="-42"/>
    <s v="SEMANA 34"/>
  </r>
  <r>
    <s v="IMDM28600391.."/>
    <x v="2"/>
    <d v="2026-08-18T00:00:00"/>
    <d v="1899-12-30T20:23:00"/>
    <s v="CERRILLO"/>
    <n v="-201"/>
    <s v="SEMANA 34"/>
  </r>
  <r>
    <s v="IMDM28600391.."/>
    <x v="2"/>
    <d v="2026-08-18T00:00:00"/>
    <d v="1899-12-30T10:55:24"/>
    <s v="CHAMAPA AUTOVAN"/>
    <n v="-201"/>
    <s v="SEMANA 34"/>
  </r>
  <r>
    <s v="IMDM28600391.."/>
    <x v="2"/>
    <d v="2026-08-17T00:00:00"/>
    <d v="1899-12-30T06:06:37"/>
    <s v="XONACATLAN"/>
    <n v="-70"/>
    <s v="SEMANA 34"/>
  </r>
  <r>
    <s v="IMDM28600368.."/>
    <x v="3"/>
    <d v="2026-08-21T00:00:00"/>
    <d v="1899-12-30T17:49:02"/>
    <s v="XONACATLAN"/>
    <n v="-70"/>
    <s v="SEMANA 34"/>
  </r>
  <r>
    <s v="IMDM28600368.."/>
    <x v="3"/>
    <d v="2026-08-21T00:00:00"/>
    <d v="1899-12-30T17:27:51"/>
    <s v="HORTALIZA"/>
    <n v="-54"/>
    <s v="SEMANA 34"/>
  </r>
  <r>
    <s v="IMDM28600368.."/>
    <x v="3"/>
    <d v="2026-08-21T00:00:00"/>
    <d v="1899-12-30T09:35:50"/>
    <s v="HORTALIZA"/>
    <n v="-54"/>
    <s v="SEMANA 34"/>
  </r>
  <r>
    <s v="IMDM28600368.."/>
    <x v="3"/>
    <d v="2026-08-20T00:00:00"/>
    <d v="1899-12-30T07:48:55"/>
    <s v="HORTALIZA"/>
    <n v="-54"/>
    <s v="SEMANA 34"/>
  </r>
  <r>
    <s v="IMDM28600368.."/>
    <x v="3"/>
    <d v="2026-08-19T00:00:00"/>
    <d v="1899-12-30T19:32:47"/>
    <s v="HORTALIZA"/>
    <n v="-54"/>
    <s v="SEMANA 34"/>
  </r>
  <r>
    <s v="IMDM28600368.."/>
    <x v="3"/>
    <d v="2026-08-19T00:00:00"/>
    <d v="1899-12-30T06:31:32"/>
    <s v="HORTALIZA"/>
    <n v="-54"/>
    <s v="SEMANA 34"/>
  </r>
  <r>
    <s v="IMDM28600368.."/>
    <x v="3"/>
    <d v="2026-08-19T00:00:00"/>
    <d v="1899-12-30T06:12:22"/>
    <s v="XONACATLAN"/>
    <n v="-70"/>
    <s v="SEMANA 34"/>
  </r>
  <r>
    <s v="IMDM28600368.."/>
    <x v="3"/>
    <d v="2026-08-18T00:00:00"/>
    <d v="1899-12-30T14:57:10"/>
    <s v="CERRILLO"/>
    <n v="-201"/>
    <s v="SEMANA 34"/>
  </r>
  <r>
    <s v="IMDM28600368.."/>
    <x v="3"/>
    <d v="2026-08-18T00:00:00"/>
    <d v="1899-12-30T14:31:37"/>
    <s v="CHAMAPA CAPUFE"/>
    <n v="-69"/>
    <s v="SEMANA 34"/>
  </r>
  <r>
    <s v="IMDM28600368.."/>
    <x v="3"/>
    <d v="2026-08-18T00:00:00"/>
    <d v="1899-12-30T13:22:23"/>
    <s v="LAGO DE GUADALUPE"/>
    <n v="-61"/>
    <s v="SEMANA 34"/>
  </r>
  <r>
    <s v="IMDM28600368.."/>
    <x v="3"/>
    <d v="2026-08-18T00:00:00"/>
    <d v="1899-12-30T13:03:35"/>
    <s v="CHAMAPA AUTOVAN"/>
    <n v="-201"/>
    <s v="SEMANA 34"/>
  </r>
  <r>
    <s v="IMDM28600368.."/>
    <x v="3"/>
    <d v="2026-08-18T00:00:00"/>
    <d v="1899-12-30T12:32:34"/>
    <s v="XONACATLAN"/>
    <n v="-42"/>
    <s v="SEMANA 34"/>
  </r>
  <r>
    <s v="IMDM28600368.."/>
    <x v="3"/>
    <d v="2026-08-18T00:00:00"/>
    <d v="1899-12-30T07:51:22"/>
    <s v="XONACATLAN"/>
    <n v="-70"/>
    <s v="SEMANA 34"/>
  </r>
  <r>
    <s v="IMDM28600368.."/>
    <x v="3"/>
    <d v="2026-08-18T00:00:00"/>
    <d v="1899-12-30T07:33:46"/>
    <s v="HORTALIZA"/>
    <n v="-54"/>
    <s v="SEMANA 34"/>
  </r>
  <r>
    <s v="IMDM28600368.."/>
    <x v="3"/>
    <d v="2026-08-18T00:00:00"/>
    <d v="1899-12-30T05:25:19"/>
    <s v="HORTALIZA"/>
    <n v="-54"/>
    <s v="SEMANA 34"/>
  </r>
  <r>
    <s v="IMDM28600368.."/>
    <x v="3"/>
    <d v="2026-08-17T00:00:00"/>
    <d v="1899-12-30T17:39:41"/>
    <s v="XONACATLAN"/>
    <n v="-42"/>
    <s v="SEMANA 34"/>
  </r>
  <r>
    <s v="IMDM28600368.."/>
    <x v="3"/>
    <d v="2026-08-17T00:00:00"/>
    <d v="1899-12-30T13:22:56"/>
    <s v="HUIXQUILUCAN"/>
    <n v="-40"/>
    <s v="SEMANA 34"/>
  </r>
  <r>
    <s v="IMDM28600368.."/>
    <x v="3"/>
    <d v="2026-08-17T00:00:00"/>
    <d v="1899-12-30T13:13:55"/>
    <s v="NOPALA"/>
    <n v="-122"/>
    <s v="SEMANA 34"/>
  </r>
  <r>
    <s v="CPFI01427350.."/>
    <x v="4"/>
    <d v="2026-08-22T00:00:00"/>
    <d v="1899-12-30T19:16:00"/>
    <s v="XONACATLAN"/>
    <n v="-83"/>
    <s v="SEMANA 34"/>
  </r>
  <r>
    <s v="CPFI01427350.."/>
    <x v="4"/>
    <d v="2026-08-22T00:00:00"/>
    <d v="1899-12-30T13:36:43"/>
    <s v="MARQUESA T2"/>
    <n v="-158"/>
    <s v="SEMANA 34"/>
  </r>
  <r>
    <s v="CPFI01427350.."/>
    <x v="4"/>
    <d v="2026-08-22T00:00:00"/>
    <d v="1899-12-30T13:20:17"/>
    <s v="XONACATLAN"/>
    <n v="-83"/>
    <s v="SEMANA 34"/>
  </r>
  <r>
    <s v="CPFI01427350.."/>
    <x v="4"/>
    <d v="2026-08-21T00:00:00"/>
    <d v="1899-12-30T19:43:01"/>
    <s v="XONACATLAN"/>
    <n v="-83"/>
    <s v="SEMANA 34"/>
  </r>
  <r>
    <s v="CPFI01427350.."/>
    <x v="4"/>
    <d v="2026-08-21T00:00:00"/>
    <d v="1899-12-30T16:59:33"/>
    <s v="XONACATLAN"/>
    <n v="-83"/>
    <s v="SEMANA 34"/>
  </r>
  <r>
    <s v="CPFI01427350.."/>
    <x v="4"/>
    <d v="2026-08-21T00:00:00"/>
    <d v="1899-12-30T10:43:48"/>
    <s v="XONACATLAN"/>
    <n v="-83"/>
    <s v="SEMANA 34"/>
  </r>
  <r>
    <s v="CPFI01427350.."/>
    <x v="4"/>
    <d v="2026-08-21T00:00:00"/>
    <d v="1899-12-30T10:07:00"/>
    <s v="LA VENTA"/>
    <n v="-178"/>
    <s v="SEMANA 34"/>
  </r>
  <r>
    <s v="CPFI01427350.."/>
    <x v="4"/>
    <d v="2026-08-21T00:00:00"/>
    <d v="1899-12-30T08:58:36"/>
    <s v="HUIXQUILUCAN"/>
    <n v="-82"/>
    <s v="SEMANA 34"/>
  </r>
  <r>
    <s v="CPFI01427350.."/>
    <x v="4"/>
    <d v="2026-08-21T00:00:00"/>
    <d v="1899-12-30T07:17:16"/>
    <s v="XONACATLAN"/>
    <n v="-83"/>
    <s v="SEMANA 34"/>
  </r>
  <r>
    <s v="CPFI01427350.."/>
    <x v="4"/>
    <d v="2026-08-20T00:00:00"/>
    <d v="1899-12-30T18:36:26"/>
    <s v="XONACATLAN"/>
    <n v="-83"/>
    <s v="SEMANA 34"/>
  </r>
  <r>
    <s v="CPFI01427350.."/>
    <x v="4"/>
    <d v="2026-08-19T00:00:00"/>
    <d v="1899-12-30T18:16:31"/>
    <s v="MARQUESA T2"/>
    <n v="-75"/>
    <s v="SEMANA 34"/>
  </r>
  <r>
    <s v="CPFI01427350.."/>
    <x v="4"/>
    <d v="2026-08-19T00:00:00"/>
    <d v="1899-12-30T11:16:36"/>
    <s v="XONACATLAN"/>
    <n v="-42"/>
    <s v="SEMANA 34"/>
  </r>
  <r>
    <s v="CPFI01427350.."/>
    <x v="4"/>
    <d v="2026-08-18T00:00:00"/>
    <d v="1899-12-30T18:08:46"/>
    <s v="MARQUESA T2"/>
    <n v="-75"/>
    <s v="SEMANA 34"/>
  </r>
  <r>
    <s v="CPFI01427350.."/>
    <x v="4"/>
    <d v="2026-08-18T00:00:00"/>
    <d v="1899-12-30T11:30:22"/>
    <s v="XONACATLAN"/>
    <n v="-42"/>
    <s v="SEMANA 34"/>
  </r>
  <r>
    <s v="CPFI01427350.."/>
    <x v="4"/>
    <d v="2026-08-17T00:00:00"/>
    <d v="1899-12-30T20:21:04"/>
    <s v="MARQUESA T2"/>
    <n v="-75"/>
    <s v="SEMANA 34"/>
  </r>
  <r>
    <s v="CPFI01427350.."/>
    <x v="4"/>
    <d v="2026-08-17T00:00:00"/>
    <d v="1899-12-30T13:36:14"/>
    <s v="EL DORADO"/>
    <n v="-58"/>
    <s v="SEMANA 34"/>
  </r>
  <r>
    <s v="CPFI01427350.."/>
    <x v="4"/>
    <d v="2026-08-17T00:00:00"/>
    <d v="1899-12-30T13:10:44"/>
    <s v="ATLACOMULCO SUR"/>
    <n v="-58"/>
    <s v="SEMANA 34"/>
  </r>
  <r>
    <s v="CPFI01427350.."/>
    <x v="4"/>
    <d v="2026-08-17T00:00:00"/>
    <d v="1899-12-30T12:05:58"/>
    <s v="ATLACOMULCO-LIB QRO"/>
    <n v="-186"/>
    <s v="SEMANA 34"/>
  </r>
  <r>
    <s v="CPFI01427350.."/>
    <x v="4"/>
    <d v="2026-08-17T00:00:00"/>
    <d v="1899-12-30T10:57:29"/>
    <s v="SALAMANCA"/>
    <n v="-106"/>
    <s v="SEMANA 34"/>
  </r>
  <r>
    <s v="IMDM28600382.."/>
    <x v="5"/>
    <d v="2026-08-21T00:00:00"/>
    <d v="1899-12-30T13:24:29"/>
    <s v="MARQUESA T2"/>
    <n v="-75"/>
    <s v="SEMANA 34"/>
  </r>
  <r>
    <s v="IMDM28600382.."/>
    <x v="5"/>
    <d v="2026-08-21T00:00:00"/>
    <d v="1899-12-30T13:12:29"/>
    <s v="MARQUESA VIAPASS"/>
    <n v="-58"/>
    <s v="SEMANA 34"/>
  </r>
  <r>
    <s v="IMDM28600382.."/>
    <x v="5"/>
    <d v="2026-08-21T00:00:00"/>
    <d v="1899-12-30T13:09:53"/>
    <s v="LA VENTA"/>
    <n v="-202"/>
    <s v="SEMANA 34"/>
  </r>
  <r>
    <s v="IMDM28600382.."/>
    <x v="5"/>
    <d v="2026-08-21T00:00:00"/>
    <d v="1899-12-30T12:37:28"/>
    <s v="CTO. EXT. MEXIQUENSE"/>
    <n v="-43"/>
    <s v="SEMANA 34"/>
  </r>
  <r>
    <s v="IMDM28600382.."/>
    <x v="5"/>
    <d v="2026-08-21T00:00:00"/>
    <d v="1899-12-30T12:29:17"/>
    <s v="CTO. EXT. MEXIQUENSE"/>
    <n v="-57"/>
    <s v="SEMANA 34"/>
  </r>
  <r>
    <s v="IMDM28600382.."/>
    <x v="5"/>
    <d v="2026-08-21T00:00:00"/>
    <d v="1899-12-30T11:32:46"/>
    <s v="CTO. EXT. MEXIQUENSE"/>
    <n v="-57"/>
    <s v="SEMANA 34"/>
  </r>
  <r>
    <s v="IMDM28600382.."/>
    <x v="5"/>
    <d v="2026-08-21T00:00:00"/>
    <d v="1899-12-30T11:22:43"/>
    <s v="CTO. EXT. MEXIQUENSE"/>
    <n v="-43"/>
    <s v="SEMANA 34"/>
  </r>
  <r>
    <s v="IMDM28600382.."/>
    <x v="5"/>
    <d v="2026-08-21T00:00:00"/>
    <d v="1899-12-30T11:12:34"/>
    <s v="SAN MIGUEL"/>
    <n v="-203"/>
    <s v="SEMANA 34"/>
  </r>
  <r>
    <s v="IMDM28600382.."/>
    <x v="5"/>
    <d v="2026-08-21T00:00:00"/>
    <d v="1899-12-30T10:35:50"/>
    <s v="MARQUESA VIAPASS"/>
    <n v="-58"/>
    <s v="SEMANA 34"/>
  </r>
  <r>
    <s v="IMDM28600382.."/>
    <x v="5"/>
    <d v="2026-08-18T00:00:00"/>
    <d v="1899-12-30T18:47:17"/>
    <s v="MARQUESA T2"/>
    <n v="-75"/>
    <s v="SEMANA 34"/>
  </r>
  <r>
    <s v="IMDM28600382.."/>
    <x v="5"/>
    <d v="2026-08-18T00:00:00"/>
    <d v="1899-12-30T18:36:31"/>
    <s v="MARQUESA VIAPASS"/>
    <n v="-116"/>
    <s v="SEMANA 34"/>
  </r>
  <r>
    <s v="IMDM28600382.."/>
    <x v="5"/>
    <d v="2026-08-18T00:00:00"/>
    <d v="1899-12-30T15:22:58"/>
    <s v="MARQUESA VIAPASS"/>
    <n v="-116"/>
    <s v="SEMANA 34"/>
  </r>
  <r>
    <s v="IMDM28600382.."/>
    <x v="5"/>
    <d v="2026-08-17T00:00:00"/>
    <d v="1899-12-30T13:00:53"/>
    <s v="MARQUESA T2"/>
    <n v="-75"/>
    <s v="SEMANA 34"/>
  </r>
  <r>
    <s v="IMDM28600382.."/>
    <x v="5"/>
    <d v="2026-08-17T00:00:00"/>
    <d v="1899-12-30T12:38:05"/>
    <s v="MARQUESA VIAPASS"/>
    <n v="-116"/>
    <s v="SEMANA 34"/>
  </r>
  <r>
    <s v="IMDM28600382.."/>
    <x v="5"/>
    <d v="2026-08-17T00:00:00"/>
    <d v="1899-12-30T08:28:06"/>
    <s v="MARQUESA VIAPASS"/>
    <n v="-116"/>
    <s v="SEMANA 34"/>
  </r>
  <r>
    <s v="IMDM30874327.."/>
    <x v="6"/>
    <d v="2026-08-22T00:00:00"/>
    <d v="1899-12-30T13:52:45"/>
    <s v="XONACATLAN"/>
    <n v="-70"/>
    <s v="SEMANA 34"/>
  </r>
  <r>
    <s v="IMDM30874327.."/>
    <x v="6"/>
    <d v="2026-08-22T00:00:00"/>
    <d v="1899-12-30T08:11:47"/>
    <s v="XONACATLAN"/>
    <n v="-70"/>
    <s v="SEMANA 34"/>
  </r>
  <r>
    <s v="IMDM30874327.."/>
    <x v="6"/>
    <d v="2026-08-20T00:00:00"/>
    <d v="1899-12-30T19:22:11"/>
    <s v="XONACATLAN"/>
    <n v="-70"/>
    <s v="SEMANA 34"/>
  </r>
  <r>
    <s v="IMDM30874327.."/>
    <x v="6"/>
    <d v="2026-08-20T00:00:00"/>
    <d v="1899-12-30T05:02:26"/>
    <s v="XONACATLAN"/>
    <n v="-70"/>
    <s v="SEMANA 34"/>
  </r>
  <r>
    <s v="IMDM30874327.."/>
    <x v="6"/>
    <d v="2026-08-19T00:00:00"/>
    <d v="1899-12-30T18:30:41"/>
    <s v="XONACATLAN"/>
    <n v="-70"/>
    <s v="SEMANA 34"/>
  </r>
  <r>
    <s v="IMDM30874327.."/>
    <x v="6"/>
    <d v="2026-08-19T00:00:00"/>
    <d v="1899-12-30T08:31:11"/>
    <s v="XONACATLAN"/>
    <n v="-70"/>
    <s v="SEMANA 34"/>
  </r>
  <r>
    <s v="IMDM30874327.."/>
    <x v="6"/>
    <d v="2026-08-18T00:00:00"/>
    <d v="1899-12-30T18:54:29"/>
    <s v="XONACATLAN"/>
    <n v="-70"/>
    <s v="SEMANA 34"/>
  </r>
  <r>
    <s v="IMDM30874327.."/>
    <x v="6"/>
    <d v="2026-08-18T00:00:00"/>
    <d v="1899-12-30T05:11:54"/>
    <s v="XONACATLAN"/>
    <n v="-70"/>
    <s v="SEMANA 34"/>
  </r>
  <r>
    <s v="IMDM30874327.."/>
    <x v="6"/>
    <d v="2026-08-17T00:00:00"/>
    <d v="1899-12-30T19:22:43"/>
    <s v="XONACATLAN"/>
    <n v="-70"/>
    <s v="SEMANA 34"/>
  </r>
  <r>
    <s v="IMDM30874324.."/>
    <x v="7"/>
    <d v="2026-08-19T00:00:00"/>
    <d v="1899-12-30T13:26:28"/>
    <s v="MARQUESA VIAPASS"/>
    <n v="-116"/>
    <s v="SEMANA 34"/>
  </r>
  <r>
    <s v="IMDM30874324.."/>
    <x v="7"/>
    <d v="2026-08-19T00:00:00"/>
    <d v="1899-12-30T13:15:15"/>
    <s v="SUPER VIA"/>
    <n v="-99"/>
    <s v="SEMANA 34"/>
  </r>
  <r>
    <s v="IMDM30874324.."/>
    <x v="7"/>
    <d v="2026-08-19T00:00:00"/>
    <d v="1899-12-30T13:02:16"/>
    <s v="SEGUNDO PISO A.U. SUR"/>
    <n v="-33.49"/>
    <s v="SEMANA 34"/>
  </r>
  <r>
    <s v="IMDM30874324.."/>
    <x v="7"/>
    <d v="2026-08-19T00:00:00"/>
    <d v="1899-12-30T10:56:21"/>
    <s v="SUPER VIA"/>
    <n v="-99"/>
    <s v="SEMANA 34"/>
  </r>
  <r>
    <s v="IMDM28600363.."/>
    <x v="8"/>
    <d v="2026-08-18T00:00:00"/>
    <d v="1899-12-30T13:56:52"/>
    <s v="XONACATLAN"/>
    <n v="-83"/>
    <s v="SEMANA 34"/>
  </r>
  <r>
    <s v="IMDM28600363.."/>
    <x v="8"/>
    <d v="2026-08-18T00:00:00"/>
    <d v="1899-12-30T13:33:43"/>
    <s v="CERRILLO"/>
    <n v="-541"/>
    <s v="SEMANA 34"/>
  </r>
  <r>
    <s v="IMDM28600363.."/>
    <x v="8"/>
    <d v="2026-08-18T00:00:00"/>
    <d v="1899-12-30T13:03:09"/>
    <s v="CHAMAPA IDEAL"/>
    <n v="-51"/>
    <s v="SEMANA 34"/>
  </r>
  <r>
    <s v="IMDM28600363.."/>
    <x v="8"/>
    <d v="2026-08-18T00:00:00"/>
    <d v="1899-12-30T10:19:41"/>
    <s v="HUIXQUILUCAN"/>
    <n v="-51"/>
    <s v="SEMANA 34"/>
  </r>
  <r>
    <s v="IMDM28600363.."/>
    <x v="8"/>
    <d v="2026-08-18T00:00:00"/>
    <d v="1899-12-30T10:11:20"/>
    <s v="CHAMAPA AUTOVAN"/>
    <n v="-541"/>
    <s v="SEMANA 34"/>
  </r>
  <r>
    <s v="IMDM28600363.."/>
    <x v="8"/>
    <d v="2026-08-18T00:00:00"/>
    <d v="1899-12-30T09:25:35"/>
    <s v="XONACATLAN"/>
    <n v="-83"/>
    <s v="SEMANA 34"/>
  </r>
  <r>
    <s v="IMDM28600363.."/>
    <x v="8"/>
    <d v="2026-08-18T00:00:00"/>
    <d v="1899-12-30T04:32:33"/>
    <s v="XONACATLAN"/>
    <n v="-83"/>
    <s v="SEMANA 34"/>
  </r>
  <r>
    <s v="IMDM28600363.."/>
    <x v="8"/>
    <d v="2026-08-18T00:00:00"/>
    <d v="1899-12-30T04:26:31"/>
    <s v="CERRILLO"/>
    <n v="-541"/>
    <s v="SEMANA 34"/>
  </r>
  <r>
    <s v="IMDM28600363.."/>
    <x v="8"/>
    <d v="2026-08-18T00:00:00"/>
    <d v="1899-12-30T03:57:32"/>
    <s v="CHAMAPA IDEAL"/>
    <n v="-51"/>
    <s v="SEMANA 34"/>
  </r>
  <r>
    <s v="IMDM28600363.."/>
    <x v="8"/>
    <d v="2026-08-17T00:00:00"/>
    <d v="1899-12-30T22:31:29"/>
    <s v="HUIXQUILUCAN"/>
    <n v="-51"/>
    <s v="SEMANA 34"/>
  </r>
  <r>
    <s v="IMDM28600363.."/>
    <x v="8"/>
    <d v="2026-08-17T00:00:00"/>
    <d v="1899-12-30T22:23:46"/>
    <s v="CHAMAPA AUTOVAN"/>
    <n v="-541"/>
    <s v="SEMANA 34"/>
  </r>
  <r>
    <s v="IMDM28600363.."/>
    <x v="8"/>
    <d v="2026-08-17T00:00:00"/>
    <d v="1899-12-30T21:41:31"/>
    <s v="XONACATLAN"/>
    <n v="-83"/>
    <s v="SEMANA 34"/>
  </r>
  <r>
    <s v="IMDM28600363.."/>
    <x v="8"/>
    <d v="2026-08-17T00:00:00"/>
    <d v="1899-12-30T16:59:33"/>
    <s v="XONACATLAN"/>
    <n v="-83"/>
    <s v="SEMANA 34"/>
  </r>
  <r>
    <s v="IMDM28600363.."/>
    <x v="8"/>
    <d v="2026-08-17T00:00:00"/>
    <d v="1899-12-30T13:08:07"/>
    <s v="XONACATLAN"/>
    <n v="-83"/>
    <s v="SEMANA 34"/>
  </r>
  <r>
    <s v="IMDM28600364.."/>
    <x v="9"/>
    <d v="2026-08-22T00:00:00"/>
    <d v="1899-12-30T13:56:56"/>
    <s v="XONACATLAN"/>
    <n v="-70"/>
    <s v="SEMANA 34"/>
  </r>
  <r>
    <s v="IMDM28600364.."/>
    <x v="9"/>
    <d v="2026-08-22T00:00:00"/>
    <d v="1899-12-30T10:38:02"/>
    <s v="XONACATLAN"/>
    <n v="-42"/>
    <s v="SEMANA 34"/>
  </r>
  <r>
    <s v="IMDM28600364.."/>
    <x v="9"/>
    <d v="2026-08-22T00:00:00"/>
    <d v="1899-12-30T08:21:54"/>
    <s v="XONACATLAN"/>
    <n v="-42"/>
    <s v="SEMANA 34"/>
  </r>
  <r>
    <s v="IMDM28600364.."/>
    <x v="9"/>
    <d v="2026-08-17T00:00:00"/>
    <d v="1899-12-30T09:18:44"/>
    <s v="CHAPULTEPEC"/>
    <n v="-58"/>
    <s v="SEMANA 34"/>
  </r>
  <r>
    <s v="IMDM28600364.."/>
    <x v="9"/>
    <d v="2026-08-17T00:00:00"/>
    <d v="1899-12-30T09:09:16"/>
    <s v="CHAPULTEPEC"/>
    <n v="-116"/>
    <s v="SEMANA 34"/>
  </r>
  <r>
    <s v="IMDM28600364.."/>
    <x v="9"/>
    <d v="2026-08-17T00:00:00"/>
    <d v="1899-12-30T07:49:34"/>
    <s v="XONACATLAN"/>
    <n v="-42"/>
    <s v="SEMANA 34"/>
  </r>
  <r>
    <s v="IMDM28600364.."/>
    <x v="9"/>
    <d v="2026-08-17T00:00:00"/>
    <d v="1899-12-30T04:56:15"/>
    <s v="XONACATLAN"/>
    <n v="-70"/>
    <s v="SEMANA 34"/>
  </r>
  <r>
    <s v="IMDM30874329.."/>
    <x v="10"/>
    <d v="2026-08-21T00:00:00"/>
    <d v="1899-12-30T20:19:05"/>
    <s v="XONACATLAN"/>
    <n v="-42"/>
    <s v="SEMANA 34"/>
  </r>
  <r>
    <s v="IMDM30874329.."/>
    <x v="10"/>
    <d v="2026-08-21T00:00:00"/>
    <d v="1899-12-30T20:18:56"/>
    <s v="XONACATLAN"/>
    <n v="-42"/>
    <s v="SEMANA 34"/>
  </r>
  <r>
    <s v="IMDM30874329.."/>
    <x v="10"/>
    <d v="2026-08-21T00:00:00"/>
    <d v="1899-12-30T18:50:14"/>
    <s v="XONACATLAN"/>
    <n v="-42"/>
    <s v="SEMANA 34"/>
  </r>
  <r>
    <s v="IMDM30874329.."/>
    <x v="10"/>
    <d v="2026-08-19T00:00:00"/>
    <d v="1899-12-30T01:31:02"/>
    <s v="XONACATLAN"/>
    <n v="-42"/>
    <s v="SEMANA 34"/>
  </r>
  <r>
    <s v="IMDM30874329.."/>
    <x v="10"/>
    <d v="2026-08-19T00:00:00"/>
    <d v="1899-12-30T00:30:24"/>
    <s v="XONACATLAN"/>
    <n v="-42"/>
    <s v="SEMANA 34"/>
  </r>
  <r>
    <s v="IMDM30874329.."/>
    <x v="10"/>
    <d v="2026-08-18T00:00:00"/>
    <d v="1899-12-30T12:24:41"/>
    <s v="XONACATLAN"/>
    <n v="-42"/>
    <s v="SEMANA 34"/>
  </r>
  <r>
    <s v="IMDM30874329.."/>
    <x v="10"/>
    <d v="2026-08-18T00:00:00"/>
    <d v="1899-12-30T11:38:43"/>
    <s v="XONACATLAN"/>
    <n v="-42"/>
    <s v="SEMANA 34"/>
  </r>
  <r>
    <s v="CPFI01427359.."/>
    <x v="11"/>
    <d v="2026-08-22T00:00:00"/>
    <d v="1899-12-30T08:15:08"/>
    <s v="MARQUESA T2"/>
    <n v="-75"/>
    <s v="SEMANA 34"/>
  </r>
  <r>
    <s v="CPFI01427359.."/>
    <x v="11"/>
    <d v="2026-08-21T00:00:00"/>
    <d v="1899-12-30T14:48:02"/>
    <s v="LA VENTA"/>
    <n v="-82"/>
    <s v="SEMANA 34"/>
  </r>
  <r>
    <s v="CPFI01427359.."/>
    <x v="11"/>
    <d v="2026-08-21T00:00:00"/>
    <d v="1899-12-30T10:38:42"/>
    <s v="HUIXQUILUCAN"/>
    <n v="-82"/>
    <s v="SEMANA 34"/>
  </r>
  <r>
    <s v="CPFI01427359.."/>
    <x v="11"/>
    <d v="2026-08-20T00:00:00"/>
    <d v="1899-12-30T17:45:06"/>
    <s v="XONACATLAN"/>
    <n v="-42"/>
    <s v="SEMANA 34"/>
  </r>
  <r>
    <s v="CPFI01427359.."/>
    <x v="11"/>
    <d v="2026-08-20T00:00:00"/>
    <d v="1899-12-30T17:30:23"/>
    <s v="MARQUESA T2"/>
    <n v="-75"/>
    <s v="SEMANA 34"/>
  </r>
  <r>
    <s v="CPFI01427359.."/>
    <x v="11"/>
    <d v="2026-08-20T00:00:00"/>
    <d v="1899-12-30T09:42:33"/>
    <s v="XONACATLAN"/>
    <n v="-42"/>
    <s v="SEMANA 34"/>
  </r>
  <r>
    <s v="IMDM31180012.."/>
    <x v="12"/>
    <d v="2026-08-22T00:00:00"/>
    <d v="1899-12-30T18:42:00"/>
    <s v="MARQUESA T2"/>
    <n v="-75"/>
    <s v="SEMANA 34"/>
  </r>
  <r>
    <s v="IMDM31180012.."/>
    <x v="12"/>
    <d v="2026-08-22T00:00:00"/>
    <d v="1899-12-30T10:21:38"/>
    <s v="MARQUESA VIAPASS"/>
    <n v="-58"/>
    <s v="SEMANA 34"/>
  </r>
  <r>
    <s v="IMDM31180012.."/>
    <x v="12"/>
    <d v="2026-08-21T00:00:00"/>
    <d v="1899-12-30T18:41:24"/>
    <s v="MARQUESA T2"/>
    <n v="-75"/>
    <s v="SEMANA 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C6:D20" firstHeaderRow="1" firstDataRow="1" firstDataCol="1"/>
  <pivotFields count="7"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umFmtId="14" showAll="0"/>
    <pivotField showAll="0"/>
    <pivotField showAll="0"/>
    <pivotField dataField="1" numFmtId="8"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NSUMO" fld="5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72" totalsRowShown="0">
  <autoFilter ref="A1:H172" xr:uid="{00000000-0009-0000-0100-000001000000}">
    <filterColumn colId="1">
      <filters>
        <filter val="JAVIER PEREZ"/>
        <filter val="UT 38"/>
        <filter val="UT47"/>
      </filters>
    </filterColumn>
  </autoFilter>
  <sortState xmlns:xlrd2="http://schemas.microsoft.com/office/spreadsheetml/2017/richdata2" ref="A2:G172">
    <sortCondition ref="B1:B172"/>
  </sortState>
  <tableColumns count="8">
    <tableColumn id="1" xr3:uid="{00000000-0010-0000-0000-000001000000}" name="Tag"/>
    <tableColumn id="2" xr3:uid="{00000000-0010-0000-0000-000002000000}" name="No.Economico"/>
    <tableColumn id="3" xr3:uid="{00000000-0010-0000-0000-000003000000}" name="Fecha" dataDxfId="8"/>
    <tableColumn id="4" xr3:uid="{00000000-0010-0000-0000-000004000000}" name="Hora" dataDxfId="7"/>
    <tableColumn id="5" xr3:uid="{00000000-0010-0000-0000-000005000000}" name="Caseta"/>
    <tableColumn id="8" xr3:uid="{00000000-0010-0000-0000-000008000000}" name="Importe" dataDxfId="6"/>
    <tableColumn id="13" xr3:uid="{00000000-0010-0000-0000-00000D000000}" name="Semana "/>
    <tableColumn id="6" xr3:uid="{96E585B2-787D-4912-AE68-5A968CC6AE65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20"/>
  <sheetViews>
    <sheetView workbookViewId="0">
      <selection activeCell="G10" sqref="G10"/>
    </sheetView>
  </sheetViews>
  <sheetFormatPr baseColWidth="10" defaultRowHeight="14.4" x14ac:dyDescent="0.3"/>
  <cols>
    <col min="1" max="1" width="17.6640625" bestFit="1" customWidth="1"/>
    <col min="2" max="2" width="16.33203125" style="5" bestFit="1" customWidth="1"/>
    <col min="3" max="3" width="29" bestFit="1" customWidth="1"/>
    <col min="4" max="4" width="18.88671875" bestFit="1" customWidth="1"/>
  </cols>
  <sheetData>
    <row r="3" spans="2:5" x14ac:dyDescent="0.3">
      <c r="B3" s="11" t="s">
        <v>59</v>
      </c>
      <c r="C3" s="11"/>
      <c r="D3" s="11"/>
      <c r="E3" s="11"/>
    </row>
    <row r="4" spans="2:5" x14ac:dyDescent="0.3">
      <c r="B4" s="11"/>
      <c r="C4" s="11"/>
      <c r="D4" s="11"/>
      <c r="E4" s="11"/>
    </row>
    <row r="6" spans="2:5" ht="23.4" x14ac:dyDescent="0.45">
      <c r="C6" s="6" t="s">
        <v>57</v>
      </c>
      <c r="D6" s="7" t="s">
        <v>60</v>
      </c>
    </row>
    <row r="7" spans="2:5" ht="23.4" x14ac:dyDescent="0.45">
      <c r="C7" s="8" t="s">
        <v>16</v>
      </c>
      <c r="D7" s="7">
        <v>-2135</v>
      </c>
    </row>
    <row r="8" spans="2:5" ht="23.4" x14ac:dyDescent="0.45">
      <c r="C8" s="8" t="s">
        <v>32</v>
      </c>
      <c r="D8" s="7">
        <v>-6305</v>
      </c>
    </row>
    <row r="9" spans="2:5" ht="23.4" x14ac:dyDescent="0.45">
      <c r="C9" s="8" t="s">
        <v>49</v>
      </c>
      <c r="D9" s="7">
        <v>-514</v>
      </c>
    </row>
    <row r="10" spans="2:5" ht="23.4" x14ac:dyDescent="0.45">
      <c r="C10" s="8" t="s">
        <v>37</v>
      </c>
      <c r="D10" s="7">
        <v>-1366</v>
      </c>
    </row>
    <row r="11" spans="2:5" ht="23.4" x14ac:dyDescent="0.45">
      <c r="C11" s="8" t="s">
        <v>14</v>
      </c>
      <c r="D11" s="7">
        <v>-1716</v>
      </c>
    </row>
    <row r="12" spans="2:5" ht="23.4" x14ac:dyDescent="0.45">
      <c r="C12" s="8" t="s">
        <v>39</v>
      </c>
      <c r="D12" s="7">
        <v>-1410</v>
      </c>
    </row>
    <row r="13" spans="2:5" ht="23.4" x14ac:dyDescent="0.45">
      <c r="C13" s="8" t="s">
        <v>26</v>
      </c>
      <c r="D13" s="7">
        <v>-630</v>
      </c>
    </row>
    <row r="14" spans="2:5" ht="23.4" x14ac:dyDescent="0.45">
      <c r="C14" s="8" t="s">
        <v>45</v>
      </c>
      <c r="D14" s="7">
        <v>-347.49</v>
      </c>
    </row>
    <row r="15" spans="2:5" ht="23.4" x14ac:dyDescent="0.45">
      <c r="C15" s="8" t="s">
        <v>51</v>
      </c>
      <c r="D15" s="7">
        <v>-2866</v>
      </c>
    </row>
    <row r="16" spans="2:5" ht="23.4" x14ac:dyDescent="0.45">
      <c r="C16" s="8" t="s">
        <v>24</v>
      </c>
      <c r="D16" s="7">
        <v>-440</v>
      </c>
    </row>
    <row r="17" spans="3:4" ht="23.4" x14ac:dyDescent="0.45">
      <c r="C17" s="8" t="s">
        <v>35</v>
      </c>
      <c r="D17" s="7">
        <v>-294</v>
      </c>
    </row>
    <row r="18" spans="3:4" ht="23.4" x14ac:dyDescent="0.45">
      <c r="C18" s="8" t="s">
        <v>30</v>
      </c>
      <c r="D18" s="7">
        <v>-398</v>
      </c>
    </row>
    <row r="19" spans="3:4" ht="23.4" x14ac:dyDescent="0.45">
      <c r="C19" s="8" t="s">
        <v>19</v>
      </c>
      <c r="D19" s="7">
        <v>-208</v>
      </c>
    </row>
    <row r="20" spans="3:4" ht="23.4" x14ac:dyDescent="0.45">
      <c r="C20" s="8" t="s">
        <v>58</v>
      </c>
      <c r="D20" s="7">
        <v>-18629.489999999998</v>
      </c>
    </row>
  </sheetData>
  <mergeCells count="1">
    <mergeCell ref="B3:E4"/>
  </mergeCells>
  <pageMargins left="0.7" right="0.7" top="0.75" bottom="0.75" header="0.3" footer="0.3"/>
  <pageSetup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7"/>
  <sheetViews>
    <sheetView tabSelected="1" workbookViewId="0">
      <selection activeCell="C100" sqref="C89:C100"/>
    </sheetView>
  </sheetViews>
  <sheetFormatPr baseColWidth="10" defaultRowHeight="14.4" x14ac:dyDescent="0.3"/>
  <cols>
    <col min="1" max="1" width="22.109375" customWidth="1"/>
    <col min="2" max="2" width="15.88671875" customWidth="1"/>
    <col min="5" max="5" width="22.5546875" bestFit="1" customWidth="1"/>
    <col min="7" max="7" width="11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55</v>
      </c>
      <c r="H1" t="s">
        <v>62</v>
      </c>
    </row>
    <row r="2" spans="1:8" hidden="1" x14ac:dyDescent="0.3">
      <c r="A2" t="s">
        <v>15</v>
      </c>
      <c r="B2" t="s">
        <v>16</v>
      </c>
      <c r="C2" s="1">
        <v>46256</v>
      </c>
      <c r="D2" s="4">
        <v>0.78819444444444442</v>
      </c>
      <c r="E2" t="s">
        <v>17</v>
      </c>
      <c r="F2" s="3">
        <v>-58</v>
      </c>
      <c r="G2" t="s">
        <v>56</v>
      </c>
    </row>
    <row r="3" spans="1:8" hidden="1" x14ac:dyDescent="0.3">
      <c r="A3" t="s">
        <v>15</v>
      </c>
      <c r="B3" t="s">
        <v>16</v>
      </c>
      <c r="C3" s="1">
        <v>46256</v>
      </c>
      <c r="D3" s="2">
        <v>0.77809027777777773</v>
      </c>
      <c r="E3" t="s">
        <v>6</v>
      </c>
      <c r="F3" s="3">
        <v>-70</v>
      </c>
      <c r="G3" t="s">
        <v>56</v>
      </c>
    </row>
    <row r="4" spans="1:8" hidden="1" x14ac:dyDescent="0.3">
      <c r="A4" t="s">
        <v>15</v>
      </c>
      <c r="B4" t="s">
        <v>16</v>
      </c>
      <c r="C4" s="1">
        <v>46255</v>
      </c>
      <c r="D4" s="2">
        <v>0.8830324074074074</v>
      </c>
      <c r="E4" t="s">
        <v>6</v>
      </c>
      <c r="F4" s="3">
        <v>-42</v>
      </c>
      <c r="G4" t="s">
        <v>56</v>
      </c>
    </row>
    <row r="5" spans="1:8" hidden="1" x14ac:dyDescent="0.3">
      <c r="A5" t="s">
        <v>15</v>
      </c>
      <c r="B5" t="s">
        <v>16</v>
      </c>
      <c r="C5" s="1">
        <v>46255</v>
      </c>
      <c r="D5" s="2">
        <v>0.70501157407407411</v>
      </c>
      <c r="E5" t="s">
        <v>7</v>
      </c>
      <c r="F5" s="3">
        <v>-75</v>
      </c>
      <c r="G5" t="s">
        <v>56</v>
      </c>
    </row>
    <row r="6" spans="1:8" hidden="1" x14ac:dyDescent="0.3">
      <c r="A6" t="s">
        <v>15</v>
      </c>
      <c r="B6" t="s">
        <v>16</v>
      </c>
      <c r="C6" s="1">
        <v>46255</v>
      </c>
      <c r="D6" s="2">
        <v>0.6959143518518518</v>
      </c>
      <c r="E6" t="s">
        <v>6</v>
      </c>
      <c r="F6" s="3">
        <v>-83</v>
      </c>
      <c r="G6" t="s">
        <v>56</v>
      </c>
    </row>
    <row r="7" spans="1:8" hidden="1" x14ac:dyDescent="0.3">
      <c r="A7" t="s">
        <v>15</v>
      </c>
      <c r="B7" t="s">
        <v>16</v>
      </c>
      <c r="C7" s="1">
        <v>46255</v>
      </c>
      <c r="D7" s="2">
        <v>0.64692129629629624</v>
      </c>
      <c r="E7" t="s">
        <v>6</v>
      </c>
      <c r="F7" s="3">
        <v>-70</v>
      </c>
      <c r="G7" t="s">
        <v>56</v>
      </c>
    </row>
    <row r="8" spans="1:8" hidden="1" x14ac:dyDescent="0.3">
      <c r="A8" t="s">
        <v>15</v>
      </c>
      <c r="B8" t="s">
        <v>16</v>
      </c>
      <c r="C8" s="1">
        <v>46255</v>
      </c>
      <c r="D8" s="2">
        <v>0.6285532407407407</v>
      </c>
      <c r="E8" t="s">
        <v>17</v>
      </c>
      <c r="F8" s="3">
        <v>-58</v>
      </c>
      <c r="G8" t="s">
        <v>56</v>
      </c>
    </row>
    <row r="9" spans="1:8" hidden="1" x14ac:dyDescent="0.3">
      <c r="A9" t="s">
        <v>15</v>
      </c>
      <c r="B9" t="s">
        <v>16</v>
      </c>
      <c r="C9" s="1">
        <v>46254</v>
      </c>
      <c r="D9" s="2">
        <v>0.89700231481481485</v>
      </c>
      <c r="E9" t="s">
        <v>41</v>
      </c>
      <c r="F9" s="3">
        <v>-211</v>
      </c>
      <c r="G9" t="s">
        <v>56</v>
      </c>
    </row>
    <row r="10" spans="1:8" hidden="1" x14ac:dyDescent="0.3">
      <c r="A10" t="s">
        <v>15</v>
      </c>
      <c r="B10" t="s">
        <v>16</v>
      </c>
      <c r="C10" s="1">
        <v>46254</v>
      </c>
      <c r="D10" s="2">
        <v>0.74637731481481484</v>
      </c>
      <c r="E10" t="s">
        <v>42</v>
      </c>
      <c r="F10" s="3">
        <v>-305</v>
      </c>
      <c r="G10" t="s">
        <v>56</v>
      </c>
    </row>
    <row r="11" spans="1:8" hidden="1" x14ac:dyDescent="0.3">
      <c r="A11" t="s">
        <v>15</v>
      </c>
      <c r="B11" t="s">
        <v>16</v>
      </c>
      <c r="C11" s="1">
        <v>46254</v>
      </c>
      <c r="D11" s="2">
        <v>0.63989583333333333</v>
      </c>
      <c r="E11" t="s">
        <v>43</v>
      </c>
      <c r="F11" s="3">
        <v>-58</v>
      </c>
      <c r="G11" t="s">
        <v>56</v>
      </c>
    </row>
    <row r="12" spans="1:8" hidden="1" x14ac:dyDescent="0.3">
      <c r="A12" t="s">
        <v>15</v>
      </c>
      <c r="B12" t="s">
        <v>16</v>
      </c>
      <c r="C12" s="1">
        <v>46254</v>
      </c>
      <c r="D12" s="2">
        <v>0.57828703703703699</v>
      </c>
      <c r="E12" t="s">
        <v>6</v>
      </c>
      <c r="F12" s="3">
        <v>-70</v>
      </c>
      <c r="G12" t="s">
        <v>56</v>
      </c>
    </row>
    <row r="13" spans="1:8" hidden="1" x14ac:dyDescent="0.3">
      <c r="A13" t="s">
        <v>15</v>
      </c>
      <c r="B13" t="s">
        <v>16</v>
      </c>
      <c r="C13" s="1">
        <v>46254</v>
      </c>
      <c r="D13" s="2">
        <v>0.54364583333333338</v>
      </c>
      <c r="E13" t="s">
        <v>17</v>
      </c>
      <c r="F13" s="3">
        <v>-58</v>
      </c>
      <c r="G13" t="s">
        <v>56</v>
      </c>
    </row>
    <row r="14" spans="1:8" hidden="1" x14ac:dyDescent="0.3">
      <c r="A14" t="s">
        <v>15</v>
      </c>
      <c r="B14" t="s">
        <v>16</v>
      </c>
      <c r="C14" s="1">
        <v>46252</v>
      </c>
      <c r="D14" s="2">
        <v>0.85791666666666666</v>
      </c>
      <c r="E14" t="s">
        <v>6</v>
      </c>
      <c r="F14" s="3">
        <v>-42</v>
      </c>
      <c r="G14" t="s">
        <v>56</v>
      </c>
    </row>
    <row r="15" spans="1:8" hidden="1" x14ac:dyDescent="0.3">
      <c r="A15" t="s">
        <v>15</v>
      </c>
      <c r="B15" t="s">
        <v>16</v>
      </c>
      <c r="C15" s="1">
        <v>46252</v>
      </c>
      <c r="D15" s="2">
        <v>0.85460648148148144</v>
      </c>
      <c r="E15" t="s">
        <v>11</v>
      </c>
      <c r="F15" s="3">
        <v>-201</v>
      </c>
      <c r="G15" t="s">
        <v>56</v>
      </c>
    </row>
    <row r="16" spans="1:8" hidden="1" x14ac:dyDescent="0.3">
      <c r="A16" t="s">
        <v>15</v>
      </c>
      <c r="B16" t="s">
        <v>16</v>
      </c>
      <c r="C16" s="1">
        <v>46252</v>
      </c>
      <c r="D16" s="2">
        <v>0.83644675925925926</v>
      </c>
      <c r="E16" t="s">
        <v>40</v>
      </c>
      <c r="F16" s="3">
        <v>-69</v>
      </c>
      <c r="G16" t="s">
        <v>56</v>
      </c>
    </row>
    <row r="17" spans="1:7" hidden="1" x14ac:dyDescent="0.3">
      <c r="A17" t="s">
        <v>15</v>
      </c>
      <c r="B17" t="s">
        <v>16</v>
      </c>
      <c r="C17" s="1">
        <v>46252</v>
      </c>
      <c r="D17" s="2">
        <v>0.81670138888888888</v>
      </c>
      <c r="E17" t="s">
        <v>8</v>
      </c>
      <c r="F17" s="3">
        <v>-43</v>
      </c>
      <c r="G17" t="s">
        <v>56</v>
      </c>
    </row>
    <row r="18" spans="1:7" hidden="1" x14ac:dyDescent="0.3">
      <c r="A18" t="s">
        <v>15</v>
      </c>
      <c r="B18" t="s">
        <v>16</v>
      </c>
      <c r="C18" s="1">
        <v>46252</v>
      </c>
      <c r="D18" s="2">
        <v>0.81140046296296298</v>
      </c>
      <c r="E18" t="s">
        <v>8</v>
      </c>
      <c r="F18" s="3">
        <v>-57</v>
      </c>
      <c r="G18" t="s">
        <v>56</v>
      </c>
    </row>
    <row r="19" spans="1:7" hidden="1" x14ac:dyDescent="0.3">
      <c r="A19" t="s">
        <v>15</v>
      </c>
      <c r="B19" t="s">
        <v>16</v>
      </c>
      <c r="C19" s="1">
        <v>46252</v>
      </c>
      <c r="D19" s="2">
        <v>0.51746527777777773</v>
      </c>
      <c r="E19" t="s">
        <v>8</v>
      </c>
      <c r="F19" s="3">
        <v>-57</v>
      </c>
      <c r="G19" t="s">
        <v>56</v>
      </c>
    </row>
    <row r="20" spans="1:7" hidden="1" x14ac:dyDescent="0.3">
      <c r="A20" t="s">
        <v>15</v>
      </c>
      <c r="B20" t="s">
        <v>16</v>
      </c>
      <c r="C20" s="1">
        <v>46252</v>
      </c>
      <c r="D20" s="2">
        <v>0.51064814814814818</v>
      </c>
      <c r="E20" t="s">
        <v>8</v>
      </c>
      <c r="F20" s="3">
        <v>-43</v>
      </c>
      <c r="G20" t="s">
        <v>56</v>
      </c>
    </row>
    <row r="21" spans="1:7" hidden="1" x14ac:dyDescent="0.3">
      <c r="A21" t="s">
        <v>15</v>
      </c>
      <c r="B21" t="s">
        <v>16</v>
      </c>
      <c r="C21" s="1">
        <v>46252</v>
      </c>
      <c r="D21" s="2">
        <v>0.50458333333333338</v>
      </c>
      <c r="E21" t="s">
        <v>9</v>
      </c>
      <c r="F21" s="3">
        <v>-94</v>
      </c>
      <c r="G21" t="s">
        <v>56</v>
      </c>
    </row>
    <row r="22" spans="1:7" hidden="1" x14ac:dyDescent="0.3">
      <c r="A22" t="s">
        <v>15</v>
      </c>
      <c r="B22" t="s">
        <v>16</v>
      </c>
      <c r="C22" s="1">
        <v>46252</v>
      </c>
      <c r="D22" s="2">
        <v>0.4864236111111111</v>
      </c>
      <c r="E22" t="s">
        <v>22</v>
      </c>
      <c r="F22" s="3">
        <v>-201</v>
      </c>
      <c r="G22" t="s">
        <v>56</v>
      </c>
    </row>
    <row r="23" spans="1:7" hidden="1" x14ac:dyDescent="0.3">
      <c r="A23" t="s">
        <v>15</v>
      </c>
      <c r="B23" t="s">
        <v>16</v>
      </c>
      <c r="C23" s="1">
        <v>46252</v>
      </c>
      <c r="D23" s="2">
        <v>0.47052083333333333</v>
      </c>
      <c r="E23" t="s">
        <v>6</v>
      </c>
      <c r="F23" s="3">
        <v>-42</v>
      </c>
      <c r="G23" t="s">
        <v>56</v>
      </c>
    </row>
    <row r="24" spans="1:7" hidden="1" x14ac:dyDescent="0.3">
      <c r="A24" t="s">
        <v>15</v>
      </c>
      <c r="B24" t="s">
        <v>16</v>
      </c>
      <c r="C24" s="1">
        <v>46252</v>
      </c>
      <c r="D24" s="2">
        <v>0.33609953703703704</v>
      </c>
      <c r="E24" t="s">
        <v>6</v>
      </c>
      <c r="F24" s="3">
        <v>-70</v>
      </c>
      <c r="G24" t="s">
        <v>56</v>
      </c>
    </row>
    <row r="25" spans="1:7" hidden="1" x14ac:dyDescent="0.3">
      <c r="A25" t="s">
        <v>15</v>
      </c>
      <c r="B25" t="s">
        <v>16</v>
      </c>
      <c r="C25" s="1">
        <v>46252</v>
      </c>
      <c r="D25" s="2">
        <v>0.31953703703703706</v>
      </c>
      <c r="E25" t="s">
        <v>17</v>
      </c>
      <c r="F25" s="3">
        <v>-58</v>
      </c>
      <c r="G25" t="s">
        <v>56</v>
      </c>
    </row>
    <row r="26" spans="1:7" hidden="1" x14ac:dyDescent="0.3">
      <c r="A26" t="s">
        <v>31</v>
      </c>
      <c r="B26" t="s">
        <v>32</v>
      </c>
      <c r="C26" s="1">
        <v>46256</v>
      </c>
      <c r="D26" s="2">
        <v>0.30032407407407408</v>
      </c>
      <c r="E26" t="s">
        <v>6</v>
      </c>
      <c r="F26" s="3">
        <v>-83</v>
      </c>
      <c r="G26" t="s">
        <v>56</v>
      </c>
    </row>
    <row r="27" spans="1:7" hidden="1" x14ac:dyDescent="0.3">
      <c r="A27" t="s">
        <v>31</v>
      </c>
      <c r="B27" t="s">
        <v>32</v>
      </c>
      <c r="C27" s="1">
        <v>46256</v>
      </c>
      <c r="D27" s="2">
        <v>0.29151620370370368</v>
      </c>
      <c r="E27" t="s">
        <v>7</v>
      </c>
      <c r="F27" s="3">
        <v>-158</v>
      </c>
      <c r="G27" t="s">
        <v>56</v>
      </c>
    </row>
    <row r="28" spans="1:7" hidden="1" x14ac:dyDescent="0.3">
      <c r="A28" t="s">
        <v>31</v>
      </c>
      <c r="B28" t="s">
        <v>32</v>
      </c>
      <c r="C28" s="1">
        <v>46256</v>
      </c>
      <c r="D28" s="2">
        <v>0.23471064814814815</v>
      </c>
      <c r="E28" t="s">
        <v>7</v>
      </c>
      <c r="F28" s="3">
        <v>-158</v>
      </c>
      <c r="G28" t="s">
        <v>56</v>
      </c>
    </row>
    <row r="29" spans="1:7" hidden="1" x14ac:dyDescent="0.3">
      <c r="A29" t="s">
        <v>31</v>
      </c>
      <c r="B29" t="s">
        <v>32</v>
      </c>
      <c r="C29" s="1">
        <v>46256</v>
      </c>
      <c r="D29" s="2">
        <v>0.22596064814814815</v>
      </c>
      <c r="E29" t="s">
        <v>6</v>
      </c>
      <c r="F29" s="3">
        <v>-83</v>
      </c>
      <c r="G29" t="s">
        <v>56</v>
      </c>
    </row>
    <row r="30" spans="1:7" hidden="1" x14ac:dyDescent="0.3">
      <c r="A30" t="s">
        <v>31</v>
      </c>
      <c r="B30" t="s">
        <v>32</v>
      </c>
      <c r="C30" s="1">
        <v>46255</v>
      </c>
      <c r="D30" s="2">
        <v>0.92091435185185189</v>
      </c>
      <c r="E30" t="s">
        <v>6</v>
      </c>
      <c r="F30" s="3">
        <v>-83</v>
      </c>
      <c r="G30" t="s">
        <v>56</v>
      </c>
    </row>
    <row r="31" spans="1:7" hidden="1" x14ac:dyDescent="0.3">
      <c r="A31" t="s">
        <v>31</v>
      </c>
      <c r="B31" t="s">
        <v>32</v>
      </c>
      <c r="C31" s="1">
        <v>46255</v>
      </c>
      <c r="D31" s="2">
        <v>0.90925925925925921</v>
      </c>
      <c r="E31" t="s">
        <v>7</v>
      </c>
      <c r="F31" s="3">
        <v>-158</v>
      </c>
      <c r="G31" t="s">
        <v>56</v>
      </c>
    </row>
    <row r="32" spans="1:7" hidden="1" x14ac:dyDescent="0.3">
      <c r="A32" t="s">
        <v>31</v>
      </c>
      <c r="B32" t="s">
        <v>32</v>
      </c>
      <c r="C32" s="1">
        <v>46255</v>
      </c>
      <c r="D32" s="2">
        <v>0.8243287037037037</v>
      </c>
      <c r="E32" t="s">
        <v>20</v>
      </c>
      <c r="F32" s="3">
        <v>-226</v>
      </c>
      <c r="G32" t="s">
        <v>56</v>
      </c>
    </row>
    <row r="33" spans="1:7" hidden="1" x14ac:dyDescent="0.3">
      <c r="A33" t="s">
        <v>31</v>
      </c>
      <c r="B33" t="s">
        <v>32</v>
      </c>
      <c r="C33" s="1">
        <v>46255</v>
      </c>
      <c r="D33" s="2">
        <v>0.79457175925925927</v>
      </c>
      <c r="E33" t="s">
        <v>8</v>
      </c>
      <c r="F33" s="3">
        <v>-98</v>
      </c>
      <c r="G33" t="s">
        <v>56</v>
      </c>
    </row>
    <row r="34" spans="1:7" hidden="1" x14ac:dyDescent="0.3">
      <c r="A34" t="s">
        <v>31</v>
      </c>
      <c r="B34" t="s">
        <v>32</v>
      </c>
      <c r="C34" s="1">
        <v>46255</v>
      </c>
      <c r="D34" s="2">
        <v>0.75479166666666664</v>
      </c>
      <c r="E34" t="s">
        <v>8</v>
      </c>
      <c r="F34" s="3">
        <v>-318</v>
      </c>
      <c r="G34" t="s">
        <v>56</v>
      </c>
    </row>
    <row r="35" spans="1:7" hidden="1" x14ac:dyDescent="0.3">
      <c r="A35" t="s">
        <v>31</v>
      </c>
      <c r="B35" t="s">
        <v>32</v>
      </c>
      <c r="C35" s="1">
        <v>46255</v>
      </c>
      <c r="D35" s="2">
        <v>0.74457175925925922</v>
      </c>
      <c r="E35" t="s">
        <v>8</v>
      </c>
      <c r="F35" s="3">
        <v>-191</v>
      </c>
      <c r="G35" t="s">
        <v>56</v>
      </c>
    </row>
    <row r="36" spans="1:7" hidden="1" x14ac:dyDescent="0.3">
      <c r="A36" t="s">
        <v>31</v>
      </c>
      <c r="B36" t="s">
        <v>32</v>
      </c>
      <c r="C36" s="1">
        <v>46255</v>
      </c>
      <c r="D36" s="2">
        <v>0.7351388888888889</v>
      </c>
      <c r="E36" t="s">
        <v>8</v>
      </c>
      <c r="F36" s="3">
        <v>-120</v>
      </c>
      <c r="G36" t="s">
        <v>56</v>
      </c>
    </row>
    <row r="37" spans="1:7" hidden="1" x14ac:dyDescent="0.3">
      <c r="A37" t="s">
        <v>31</v>
      </c>
      <c r="B37" t="s">
        <v>32</v>
      </c>
      <c r="C37" s="1">
        <v>46255</v>
      </c>
      <c r="D37" s="2">
        <v>0.72951388888888891</v>
      </c>
      <c r="E37" t="s">
        <v>8</v>
      </c>
      <c r="F37" s="3">
        <v>-117</v>
      </c>
      <c r="G37" t="s">
        <v>56</v>
      </c>
    </row>
    <row r="38" spans="1:7" hidden="1" x14ac:dyDescent="0.3">
      <c r="A38" t="s">
        <v>31</v>
      </c>
      <c r="B38" t="s">
        <v>32</v>
      </c>
      <c r="C38" s="1">
        <v>46255</v>
      </c>
      <c r="D38" s="2">
        <v>0.72021990740740738</v>
      </c>
      <c r="E38" t="s">
        <v>8</v>
      </c>
      <c r="F38" s="3">
        <v>-276</v>
      </c>
      <c r="G38" t="s">
        <v>56</v>
      </c>
    </row>
    <row r="39" spans="1:7" hidden="1" x14ac:dyDescent="0.3">
      <c r="A39" t="s">
        <v>31</v>
      </c>
      <c r="B39" t="s">
        <v>32</v>
      </c>
      <c r="C39" s="1">
        <v>46255</v>
      </c>
      <c r="D39" s="2">
        <v>0.55657407407407411</v>
      </c>
      <c r="E39" t="s">
        <v>8</v>
      </c>
      <c r="F39" s="3">
        <v>-276</v>
      </c>
      <c r="G39" t="s">
        <v>56</v>
      </c>
    </row>
    <row r="40" spans="1:7" hidden="1" x14ac:dyDescent="0.3">
      <c r="A40" t="s">
        <v>31</v>
      </c>
      <c r="B40" t="s">
        <v>32</v>
      </c>
      <c r="C40" s="1">
        <v>46255</v>
      </c>
      <c r="D40" s="2">
        <v>0.54304398148148147</v>
      </c>
      <c r="E40" t="s">
        <v>8</v>
      </c>
      <c r="F40" s="3">
        <v>-117</v>
      </c>
      <c r="G40" t="s">
        <v>56</v>
      </c>
    </row>
    <row r="41" spans="1:7" hidden="1" x14ac:dyDescent="0.3">
      <c r="A41" t="s">
        <v>31</v>
      </c>
      <c r="B41" t="s">
        <v>32</v>
      </c>
      <c r="C41" s="1">
        <v>46255</v>
      </c>
      <c r="D41" s="2">
        <v>0.53741898148148148</v>
      </c>
      <c r="E41" t="s">
        <v>8</v>
      </c>
      <c r="F41" s="3">
        <v>-120</v>
      </c>
      <c r="G41" t="s">
        <v>56</v>
      </c>
    </row>
    <row r="42" spans="1:7" hidden="1" x14ac:dyDescent="0.3">
      <c r="A42" t="s">
        <v>31</v>
      </c>
      <c r="B42" t="s">
        <v>32</v>
      </c>
      <c r="C42" s="1">
        <v>46255</v>
      </c>
      <c r="D42" s="2">
        <v>0.52256944444444442</v>
      </c>
      <c r="E42" t="s">
        <v>8</v>
      </c>
      <c r="F42" s="3">
        <v>-268</v>
      </c>
      <c r="G42" t="s">
        <v>56</v>
      </c>
    </row>
    <row r="43" spans="1:7" hidden="1" x14ac:dyDescent="0.3">
      <c r="A43" t="s">
        <v>31</v>
      </c>
      <c r="B43" t="s">
        <v>32</v>
      </c>
      <c r="C43" s="1">
        <v>46255</v>
      </c>
      <c r="D43" s="2">
        <v>0.51515046296296296</v>
      </c>
      <c r="E43" t="s">
        <v>8</v>
      </c>
      <c r="F43" s="3">
        <v>-98</v>
      </c>
      <c r="G43" t="s">
        <v>56</v>
      </c>
    </row>
    <row r="44" spans="1:7" hidden="1" x14ac:dyDescent="0.3">
      <c r="A44" t="s">
        <v>31</v>
      </c>
      <c r="B44" t="s">
        <v>32</v>
      </c>
      <c r="C44" s="1">
        <v>46255</v>
      </c>
      <c r="D44" s="2">
        <v>0.50910879629629635</v>
      </c>
      <c r="E44" t="s">
        <v>9</v>
      </c>
      <c r="F44" s="3">
        <v>-178</v>
      </c>
      <c r="G44" t="s">
        <v>56</v>
      </c>
    </row>
    <row r="45" spans="1:7" hidden="1" x14ac:dyDescent="0.3">
      <c r="A45" t="s">
        <v>31</v>
      </c>
      <c r="B45" t="s">
        <v>32</v>
      </c>
      <c r="C45" s="1">
        <v>46255</v>
      </c>
      <c r="D45" s="2">
        <v>0.4891550925925926</v>
      </c>
      <c r="E45" t="s">
        <v>22</v>
      </c>
      <c r="F45" s="3">
        <v>-541</v>
      </c>
      <c r="G45" t="s">
        <v>56</v>
      </c>
    </row>
    <row r="46" spans="1:7" hidden="1" x14ac:dyDescent="0.3">
      <c r="A46" t="s">
        <v>31</v>
      </c>
      <c r="B46" t="s">
        <v>32</v>
      </c>
      <c r="C46" s="1">
        <v>46254</v>
      </c>
      <c r="D46" s="2">
        <v>0.92511574074074077</v>
      </c>
      <c r="E46" t="s">
        <v>6</v>
      </c>
      <c r="F46" s="3">
        <v>-139</v>
      </c>
      <c r="G46" t="s">
        <v>56</v>
      </c>
    </row>
    <row r="47" spans="1:7" hidden="1" x14ac:dyDescent="0.3">
      <c r="A47" t="s">
        <v>31</v>
      </c>
      <c r="B47" t="s">
        <v>32</v>
      </c>
      <c r="C47" s="1">
        <v>46254</v>
      </c>
      <c r="D47" s="2">
        <v>0.91230324074074076</v>
      </c>
      <c r="E47" t="s">
        <v>21</v>
      </c>
      <c r="F47" s="3">
        <v>-108</v>
      </c>
      <c r="G47" t="s">
        <v>56</v>
      </c>
    </row>
    <row r="48" spans="1:7" hidden="1" x14ac:dyDescent="0.3">
      <c r="A48" t="s">
        <v>31</v>
      </c>
      <c r="B48" t="s">
        <v>32</v>
      </c>
      <c r="C48" s="1">
        <v>46254</v>
      </c>
      <c r="D48" s="2">
        <v>0.81907407407407407</v>
      </c>
      <c r="E48" t="s">
        <v>21</v>
      </c>
      <c r="F48" s="3">
        <v>-108</v>
      </c>
      <c r="G48" t="s">
        <v>56</v>
      </c>
    </row>
    <row r="49" spans="1:7" hidden="1" x14ac:dyDescent="0.3">
      <c r="A49" t="s">
        <v>31</v>
      </c>
      <c r="B49" t="s">
        <v>32</v>
      </c>
      <c r="C49" s="1">
        <v>46253</v>
      </c>
      <c r="D49" s="2">
        <v>0.67295138888888884</v>
      </c>
      <c r="E49" t="s">
        <v>6</v>
      </c>
      <c r="F49" s="3">
        <v>-83</v>
      </c>
      <c r="G49" t="s">
        <v>56</v>
      </c>
    </row>
    <row r="50" spans="1:7" hidden="1" x14ac:dyDescent="0.3">
      <c r="A50" t="s">
        <v>31</v>
      </c>
      <c r="B50" t="s">
        <v>32</v>
      </c>
      <c r="C50" s="1">
        <v>46253</v>
      </c>
      <c r="D50" s="2">
        <v>0.66223379629629631</v>
      </c>
      <c r="E50" t="s">
        <v>7</v>
      </c>
      <c r="F50" s="3">
        <v>-158</v>
      </c>
      <c r="G50" t="s">
        <v>56</v>
      </c>
    </row>
    <row r="51" spans="1:7" hidden="1" x14ac:dyDescent="0.3">
      <c r="A51" t="s">
        <v>31</v>
      </c>
      <c r="B51" t="s">
        <v>32</v>
      </c>
      <c r="C51" s="1">
        <v>46253</v>
      </c>
      <c r="D51" s="2">
        <v>0.60112268518518519</v>
      </c>
      <c r="E51" t="s">
        <v>7</v>
      </c>
      <c r="F51" s="3">
        <v>-158</v>
      </c>
      <c r="G51" t="s">
        <v>56</v>
      </c>
    </row>
    <row r="52" spans="1:7" hidden="1" x14ac:dyDescent="0.3">
      <c r="A52" t="s">
        <v>31</v>
      </c>
      <c r="B52" t="s">
        <v>32</v>
      </c>
      <c r="C52" s="1">
        <v>46253</v>
      </c>
      <c r="D52" s="2">
        <v>0.58934027777777775</v>
      </c>
      <c r="E52" t="s">
        <v>6</v>
      </c>
      <c r="F52" s="3">
        <v>-83</v>
      </c>
      <c r="G52" t="s">
        <v>56</v>
      </c>
    </row>
    <row r="53" spans="1:7" hidden="1" x14ac:dyDescent="0.3">
      <c r="A53" t="s">
        <v>31</v>
      </c>
      <c r="B53" t="s">
        <v>32</v>
      </c>
      <c r="C53" s="1">
        <v>46253</v>
      </c>
      <c r="D53" s="2">
        <v>0.50365740740740739</v>
      </c>
      <c r="E53" t="s">
        <v>6</v>
      </c>
      <c r="F53" s="3">
        <v>-83</v>
      </c>
      <c r="G53" t="s">
        <v>56</v>
      </c>
    </row>
    <row r="54" spans="1:7" hidden="1" x14ac:dyDescent="0.3">
      <c r="A54" t="s">
        <v>31</v>
      </c>
      <c r="B54" t="s">
        <v>32</v>
      </c>
      <c r="C54" s="1">
        <v>46253</v>
      </c>
      <c r="D54" s="2">
        <v>0.49356481481481479</v>
      </c>
      <c r="E54" t="s">
        <v>7</v>
      </c>
      <c r="F54" s="3">
        <v>-158</v>
      </c>
      <c r="G54" t="s">
        <v>56</v>
      </c>
    </row>
    <row r="55" spans="1:7" hidden="1" x14ac:dyDescent="0.3">
      <c r="A55" t="s">
        <v>31</v>
      </c>
      <c r="B55" t="s">
        <v>32</v>
      </c>
      <c r="C55" s="1">
        <v>46253</v>
      </c>
      <c r="D55" s="2">
        <v>0.42025462962962962</v>
      </c>
      <c r="E55" t="s">
        <v>7</v>
      </c>
      <c r="F55" s="3">
        <v>-158</v>
      </c>
      <c r="G55" t="s">
        <v>56</v>
      </c>
    </row>
    <row r="56" spans="1:7" hidden="1" x14ac:dyDescent="0.3">
      <c r="A56" t="s">
        <v>31</v>
      </c>
      <c r="B56" t="s">
        <v>32</v>
      </c>
      <c r="C56" s="1">
        <v>46253</v>
      </c>
      <c r="D56" s="2">
        <v>0.26762731481481483</v>
      </c>
      <c r="E56" t="s">
        <v>6</v>
      </c>
      <c r="F56" s="3">
        <v>-83</v>
      </c>
      <c r="G56" t="s">
        <v>56</v>
      </c>
    </row>
    <row r="57" spans="1:7" hidden="1" x14ac:dyDescent="0.3">
      <c r="A57" t="s">
        <v>31</v>
      </c>
      <c r="B57" t="s">
        <v>32</v>
      </c>
      <c r="C57" s="1">
        <v>46252</v>
      </c>
      <c r="D57" s="2">
        <v>0.73167824074074073</v>
      </c>
      <c r="E57" t="s">
        <v>6</v>
      </c>
      <c r="F57" s="3">
        <v>-83</v>
      </c>
      <c r="G57" t="s">
        <v>56</v>
      </c>
    </row>
    <row r="58" spans="1:7" hidden="1" x14ac:dyDescent="0.3">
      <c r="A58" t="s">
        <v>31</v>
      </c>
      <c r="B58" t="s">
        <v>32</v>
      </c>
      <c r="C58" s="1">
        <v>46252</v>
      </c>
      <c r="D58" s="2">
        <v>0.72143518518518523</v>
      </c>
      <c r="E58" t="s">
        <v>7</v>
      </c>
      <c r="F58" s="3">
        <v>-158</v>
      </c>
      <c r="G58" t="s">
        <v>56</v>
      </c>
    </row>
    <row r="59" spans="1:7" hidden="1" x14ac:dyDescent="0.3">
      <c r="A59" t="s">
        <v>31</v>
      </c>
      <c r="B59" t="s">
        <v>32</v>
      </c>
      <c r="C59" s="1">
        <v>46252</v>
      </c>
      <c r="D59" s="2">
        <v>0.60947916666666668</v>
      </c>
      <c r="E59" t="s">
        <v>7</v>
      </c>
      <c r="F59" s="3">
        <v>-158</v>
      </c>
      <c r="G59" t="s">
        <v>56</v>
      </c>
    </row>
    <row r="60" spans="1:7" hidden="1" x14ac:dyDescent="0.3">
      <c r="A60" t="s">
        <v>31</v>
      </c>
      <c r="B60" t="s">
        <v>32</v>
      </c>
      <c r="C60" s="1">
        <v>46252</v>
      </c>
      <c r="D60" s="2">
        <v>0.59928240740740746</v>
      </c>
      <c r="E60" t="s">
        <v>6</v>
      </c>
      <c r="F60" s="3">
        <v>-222</v>
      </c>
      <c r="G60" t="s">
        <v>56</v>
      </c>
    </row>
    <row r="61" spans="1:7" hidden="1" x14ac:dyDescent="0.3">
      <c r="A61" t="s">
        <v>31</v>
      </c>
      <c r="B61" t="s">
        <v>32</v>
      </c>
      <c r="C61" s="1">
        <v>46252</v>
      </c>
      <c r="D61" s="2">
        <v>0.58355324074074078</v>
      </c>
      <c r="E61" t="s">
        <v>21</v>
      </c>
      <c r="F61" s="3">
        <v>-108</v>
      </c>
      <c r="G61" t="s">
        <v>56</v>
      </c>
    </row>
    <row r="62" spans="1:7" hidden="1" x14ac:dyDescent="0.3">
      <c r="A62" t="s">
        <v>31</v>
      </c>
      <c r="B62" t="s">
        <v>32</v>
      </c>
      <c r="C62" s="1">
        <v>46252</v>
      </c>
      <c r="D62" s="2">
        <v>0.47943287037037036</v>
      </c>
      <c r="E62" t="s">
        <v>21</v>
      </c>
      <c r="F62" s="3">
        <v>-108</v>
      </c>
      <c r="G62" t="s">
        <v>56</v>
      </c>
    </row>
    <row r="63" spans="1:7" hidden="1" x14ac:dyDescent="0.3">
      <c r="A63" t="s">
        <v>31</v>
      </c>
      <c r="B63" t="s">
        <v>32</v>
      </c>
      <c r="C63" s="1">
        <v>46251</v>
      </c>
      <c r="D63" s="2">
        <v>0.83486111111111116</v>
      </c>
      <c r="E63" t="s">
        <v>6</v>
      </c>
      <c r="F63" s="3">
        <v>-83</v>
      </c>
      <c r="G63" t="s">
        <v>56</v>
      </c>
    </row>
    <row r="64" spans="1:7" hidden="1" x14ac:dyDescent="0.3">
      <c r="A64" t="s">
        <v>31</v>
      </c>
      <c r="B64" t="s">
        <v>32</v>
      </c>
      <c r="C64" s="1">
        <v>46251</v>
      </c>
      <c r="D64" s="2">
        <v>0.82289351851851855</v>
      </c>
      <c r="E64" t="s">
        <v>7</v>
      </c>
      <c r="F64" s="3">
        <v>-158</v>
      </c>
      <c r="G64" t="s">
        <v>56</v>
      </c>
    </row>
    <row r="65" spans="1:7" hidden="1" x14ac:dyDescent="0.3">
      <c r="A65" t="s">
        <v>31</v>
      </c>
      <c r="B65" t="s">
        <v>32</v>
      </c>
      <c r="C65" s="1">
        <v>46251</v>
      </c>
      <c r="D65" s="2">
        <v>0.75491898148148151</v>
      </c>
      <c r="E65" t="s">
        <v>7</v>
      </c>
      <c r="F65" s="3">
        <v>-158</v>
      </c>
      <c r="G65" t="s">
        <v>56</v>
      </c>
    </row>
    <row r="66" spans="1:7" hidden="1" x14ac:dyDescent="0.3">
      <c r="A66" t="s">
        <v>31</v>
      </c>
      <c r="B66" t="s">
        <v>32</v>
      </c>
      <c r="C66" s="1">
        <v>46251</v>
      </c>
      <c r="D66" s="2">
        <v>0.74427083333333333</v>
      </c>
      <c r="E66" t="s">
        <v>6</v>
      </c>
      <c r="F66" s="3">
        <v>-83</v>
      </c>
      <c r="G66" t="s">
        <v>56</v>
      </c>
    </row>
    <row r="67" spans="1:7" hidden="1" x14ac:dyDescent="0.3">
      <c r="A67" t="s">
        <v>48</v>
      </c>
      <c r="B67" t="s">
        <v>49</v>
      </c>
      <c r="C67" s="1">
        <v>46252</v>
      </c>
      <c r="D67" s="2">
        <v>0.85290509259259262</v>
      </c>
      <c r="E67" t="s">
        <v>6</v>
      </c>
      <c r="F67" s="3">
        <v>-42</v>
      </c>
      <c r="G67" t="s">
        <v>56</v>
      </c>
    </row>
    <row r="68" spans="1:7" hidden="1" x14ac:dyDescent="0.3">
      <c r="A68" t="s">
        <v>48</v>
      </c>
      <c r="B68" t="s">
        <v>49</v>
      </c>
      <c r="C68" s="1">
        <v>46252</v>
      </c>
      <c r="D68" s="4">
        <v>0.84930555555555554</v>
      </c>
      <c r="E68" t="s">
        <v>11</v>
      </c>
      <c r="F68" s="3">
        <v>-201</v>
      </c>
      <c r="G68" t="s">
        <v>56</v>
      </c>
    </row>
    <row r="69" spans="1:7" hidden="1" x14ac:dyDescent="0.3">
      <c r="A69" t="s">
        <v>48</v>
      </c>
      <c r="B69" t="s">
        <v>49</v>
      </c>
      <c r="C69" s="1">
        <v>46252</v>
      </c>
      <c r="D69" s="2">
        <v>0.45513888888888887</v>
      </c>
      <c r="E69" t="s">
        <v>22</v>
      </c>
      <c r="F69" s="3">
        <v>-201</v>
      </c>
      <c r="G69" t="s">
        <v>56</v>
      </c>
    </row>
    <row r="70" spans="1:7" hidden="1" x14ac:dyDescent="0.3">
      <c r="A70" t="s">
        <v>48</v>
      </c>
      <c r="B70" t="s">
        <v>49</v>
      </c>
      <c r="C70" s="1">
        <v>46251</v>
      </c>
      <c r="D70" s="2">
        <v>0.25459490740740742</v>
      </c>
      <c r="E70" t="s">
        <v>6</v>
      </c>
      <c r="F70" s="3">
        <v>-70</v>
      </c>
      <c r="G70" t="s">
        <v>56</v>
      </c>
    </row>
    <row r="71" spans="1:7" hidden="1" x14ac:dyDescent="0.3">
      <c r="A71" t="s">
        <v>36</v>
      </c>
      <c r="B71" t="s">
        <v>37</v>
      </c>
      <c r="C71" s="1">
        <v>46255</v>
      </c>
      <c r="D71" s="2">
        <v>0.74238425925925922</v>
      </c>
      <c r="E71" t="s">
        <v>6</v>
      </c>
      <c r="F71" s="3">
        <v>-70</v>
      </c>
      <c r="G71" t="s">
        <v>56</v>
      </c>
    </row>
    <row r="72" spans="1:7" hidden="1" x14ac:dyDescent="0.3">
      <c r="A72" t="s">
        <v>36</v>
      </c>
      <c r="B72" t="s">
        <v>37</v>
      </c>
      <c r="C72" s="1">
        <v>46255</v>
      </c>
      <c r="D72" s="2">
        <v>0.72767361111111106</v>
      </c>
      <c r="E72" t="s">
        <v>21</v>
      </c>
      <c r="F72" s="3">
        <v>-54</v>
      </c>
      <c r="G72" t="s">
        <v>56</v>
      </c>
    </row>
    <row r="73" spans="1:7" hidden="1" x14ac:dyDescent="0.3">
      <c r="A73" t="s">
        <v>36</v>
      </c>
      <c r="B73" t="s">
        <v>37</v>
      </c>
      <c r="C73" s="1">
        <v>46255</v>
      </c>
      <c r="D73" s="2">
        <v>0.39988425925925924</v>
      </c>
      <c r="E73" t="s">
        <v>21</v>
      </c>
      <c r="F73" s="3">
        <v>-54</v>
      </c>
      <c r="G73" t="s">
        <v>56</v>
      </c>
    </row>
    <row r="74" spans="1:7" hidden="1" x14ac:dyDescent="0.3">
      <c r="A74" t="s">
        <v>36</v>
      </c>
      <c r="B74" t="s">
        <v>37</v>
      </c>
      <c r="C74" s="1">
        <v>46254</v>
      </c>
      <c r="D74" s="2">
        <v>0.32563657407407409</v>
      </c>
      <c r="E74" t="s">
        <v>21</v>
      </c>
      <c r="F74" s="3">
        <v>-54</v>
      </c>
      <c r="G74" t="s">
        <v>56</v>
      </c>
    </row>
    <row r="75" spans="1:7" hidden="1" x14ac:dyDescent="0.3">
      <c r="A75" t="s">
        <v>36</v>
      </c>
      <c r="B75" t="s">
        <v>37</v>
      </c>
      <c r="C75" s="1">
        <v>46253</v>
      </c>
      <c r="D75" s="2">
        <v>0.81443287037037038</v>
      </c>
      <c r="E75" t="s">
        <v>21</v>
      </c>
      <c r="F75" s="3">
        <v>-54</v>
      </c>
      <c r="G75" t="s">
        <v>56</v>
      </c>
    </row>
    <row r="76" spans="1:7" hidden="1" x14ac:dyDescent="0.3">
      <c r="A76" t="s">
        <v>36</v>
      </c>
      <c r="B76" t="s">
        <v>37</v>
      </c>
      <c r="C76" s="1">
        <v>46253</v>
      </c>
      <c r="D76" s="2">
        <v>0.27189814814814817</v>
      </c>
      <c r="E76" t="s">
        <v>21</v>
      </c>
      <c r="F76" s="3">
        <v>-54</v>
      </c>
      <c r="G76" t="s">
        <v>56</v>
      </c>
    </row>
    <row r="77" spans="1:7" hidden="1" x14ac:dyDescent="0.3">
      <c r="A77" t="s">
        <v>36</v>
      </c>
      <c r="B77" t="s">
        <v>37</v>
      </c>
      <c r="C77" s="1">
        <v>46253</v>
      </c>
      <c r="D77" s="2">
        <v>0.25858796296296294</v>
      </c>
      <c r="E77" t="s">
        <v>6</v>
      </c>
      <c r="F77" s="3">
        <v>-70</v>
      </c>
      <c r="G77" t="s">
        <v>56</v>
      </c>
    </row>
    <row r="78" spans="1:7" hidden="1" x14ac:dyDescent="0.3">
      <c r="A78" t="s">
        <v>36</v>
      </c>
      <c r="B78" t="s">
        <v>37</v>
      </c>
      <c r="C78" s="1">
        <v>46252</v>
      </c>
      <c r="D78" s="2">
        <v>0.6230324074074074</v>
      </c>
      <c r="E78" t="s">
        <v>11</v>
      </c>
      <c r="F78" s="3">
        <v>-201</v>
      </c>
      <c r="G78" t="s">
        <v>56</v>
      </c>
    </row>
    <row r="79" spans="1:7" hidden="1" x14ac:dyDescent="0.3">
      <c r="A79" t="s">
        <v>36</v>
      </c>
      <c r="B79" t="s">
        <v>37</v>
      </c>
      <c r="C79" s="1">
        <v>46252</v>
      </c>
      <c r="D79" s="2">
        <v>0.60528935185185184</v>
      </c>
      <c r="E79" t="s">
        <v>40</v>
      </c>
      <c r="F79" s="3">
        <v>-69</v>
      </c>
      <c r="G79" t="s">
        <v>56</v>
      </c>
    </row>
    <row r="80" spans="1:7" hidden="1" x14ac:dyDescent="0.3">
      <c r="A80" t="s">
        <v>36</v>
      </c>
      <c r="B80" t="s">
        <v>37</v>
      </c>
      <c r="C80" s="1">
        <v>46252</v>
      </c>
      <c r="D80" s="2">
        <v>0.55721064814814814</v>
      </c>
      <c r="E80" t="s">
        <v>52</v>
      </c>
      <c r="F80" s="3">
        <v>-61</v>
      </c>
      <c r="G80" t="s">
        <v>56</v>
      </c>
    </row>
    <row r="81" spans="1:7" hidden="1" x14ac:dyDescent="0.3">
      <c r="A81" t="s">
        <v>36</v>
      </c>
      <c r="B81" t="s">
        <v>37</v>
      </c>
      <c r="C81" s="1">
        <v>46252</v>
      </c>
      <c r="D81" s="2">
        <v>0.54415509259259254</v>
      </c>
      <c r="E81" t="s">
        <v>22</v>
      </c>
      <c r="F81" s="3">
        <v>-201</v>
      </c>
      <c r="G81" t="s">
        <v>56</v>
      </c>
    </row>
    <row r="82" spans="1:7" hidden="1" x14ac:dyDescent="0.3">
      <c r="A82" t="s">
        <v>36</v>
      </c>
      <c r="B82" t="s">
        <v>37</v>
      </c>
      <c r="C82" s="1">
        <v>46252</v>
      </c>
      <c r="D82" s="2">
        <v>0.52261574074074069</v>
      </c>
      <c r="E82" t="s">
        <v>6</v>
      </c>
      <c r="F82" s="3">
        <v>-42</v>
      </c>
      <c r="G82" t="s">
        <v>56</v>
      </c>
    </row>
    <row r="83" spans="1:7" hidden="1" x14ac:dyDescent="0.3">
      <c r="A83" t="s">
        <v>36</v>
      </c>
      <c r="B83" t="s">
        <v>37</v>
      </c>
      <c r="C83" s="1">
        <v>46252</v>
      </c>
      <c r="D83" s="2">
        <v>0.32733796296296297</v>
      </c>
      <c r="E83" t="s">
        <v>6</v>
      </c>
      <c r="F83" s="3">
        <v>-70</v>
      </c>
      <c r="G83" t="s">
        <v>56</v>
      </c>
    </row>
    <row r="84" spans="1:7" hidden="1" x14ac:dyDescent="0.3">
      <c r="A84" t="s">
        <v>36</v>
      </c>
      <c r="B84" t="s">
        <v>37</v>
      </c>
      <c r="C84" s="1">
        <v>46252</v>
      </c>
      <c r="D84" s="2">
        <v>0.31511574074074072</v>
      </c>
      <c r="E84" t="s">
        <v>21</v>
      </c>
      <c r="F84" s="3">
        <v>-54</v>
      </c>
      <c r="G84" t="s">
        <v>56</v>
      </c>
    </row>
    <row r="85" spans="1:7" hidden="1" x14ac:dyDescent="0.3">
      <c r="A85" t="s">
        <v>36</v>
      </c>
      <c r="B85" t="s">
        <v>37</v>
      </c>
      <c r="C85" s="1">
        <v>46252</v>
      </c>
      <c r="D85" s="2">
        <v>0.22591435185185185</v>
      </c>
      <c r="E85" t="s">
        <v>21</v>
      </c>
      <c r="F85" s="3">
        <v>-54</v>
      </c>
      <c r="G85" t="s">
        <v>56</v>
      </c>
    </row>
    <row r="86" spans="1:7" hidden="1" x14ac:dyDescent="0.3">
      <c r="A86" t="s">
        <v>36</v>
      </c>
      <c r="B86" t="s">
        <v>37</v>
      </c>
      <c r="C86" s="1">
        <v>46251</v>
      </c>
      <c r="D86" s="2">
        <v>0.73589120370370376</v>
      </c>
      <c r="E86" t="s">
        <v>6</v>
      </c>
      <c r="F86" s="3">
        <v>-42</v>
      </c>
      <c r="G86" t="s">
        <v>56</v>
      </c>
    </row>
    <row r="87" spans="1:7" hidden="1" x14ac:dyDescent="0.3">
      <c r="A87" t="s">
        <v>36</v>
      </c>
      <c r="B87" t="s">
        <v>37</v>
      </c>
      <c r="C87" s="1">
        <v>46251</v>
      </c>
      <c r="D87" s="2">
        <v>0.55759259259259264</v>
      </c>
      <c r="E87" t="s">
        <v>20</v>
      </c>
      <c r="F87" s="3">
        <v>-40</v>
      </c>
      <c r="G87" t="s">
        <v>56</v>
      </c>
    </row>
    <row r="88" spans="1:7" hidden="1" x14ac:dyDescent="0.3">
      <c r="A88" t="s">
        <v>36</v>
      </c>
      <c r="B88" t="s">
        <v>37</v>
      </c>
      <c r="C88" s="1">
        <v>46251</v>
      </c>
      <c r="D88" s="2">
        <v>0.55133101851851851</v>
      </c>
      <c r="E88" t="s">
        <v>33</v>
      </c>
      <c r="F88" s="3">
        <v>-122</v>
      </c>
      <c r="G88" t="s">
        <v>56</v>
      </c>
    </row>
    <row r="89" spans="1:7" x14ac:dyDescent="0.3">
      <c r="A89" t="s">
        <v>13</v>
      </c>
      <c r="B89" t="s">
        <v>14</v>
      </c>
      <c r="C89" s="1">
        <v>46256</v>
      </c>
      <c r="D89" s="4">
        <v>0.80277777777777781</v>
      </c>
      <c r="E89" t="s">
        <v>6</v>
      </c>
      <c r="F89" s="3">
        <v>-83</v>
      </c>
      <c r="G89" t="s">
        <v>56</v>
      </c>
    </row>
    <row r="90" spans="1:7" x14ac:dyDescent="0.3">
      <c r="A90" t="s">
        <v>13</v>
      </c>
      <c r="B90" t="s">
        <v>14</v>
      </c>
      <c r="C90" s="1">
        <v>46256</v>
      </c>
      <c r="D90" s="2">
        <v>0.56716435185185188</v>
      </c>
      <c r="E90" t="s">
        <v>7</v>
      </c>
      <c r="F90" s="3">
        <v>-158</v>
      </c>
      <c r="G90" t="s">
        <v>56</v>
      </c>
    </row>
    <row r="91" spans="1:7" x14ac:dyDescent="0.3">
      <c r="A91" t="s">
        <v>13</v>
      </c>
      <c r="B91" t="s">
        <v>14</v>
      </c>
      <c r="C91" s="1">
        <v>46256</v>
      </c>
      <c r="D91" s="2">
        <v>0.5557523148148148</v>
      </c>
      <c r="E91" t="s">
        <v>6</v>
      </c>
      <c r="F91" s="3">
        <v>-83</v>
      </c>
      <c r="G91" t="s">
        <v>56</v>
      </c>
    </row>
    <row r="92" spans="1:7" x14ac:dyDescent="0.3">
      <c r="A92" t="s">
        <v>13</v>
      </c>
      <c r="B92" t="s">
        <v>14</v>
      </c>
      <c r="C92" s="1">
        <v>46255</v>
      </c>
      <c r="D92" s="2">
        <v>0.8215393518518519</v>
      </c>
      <c r="E92" t="s">
        <v>6</v>
      </c>
      <c r="F92" s="3">
        <v>-83</v>
      </c>
      <c r="G92" t="s">
        <v>56</v>
      </c>
    </row>
    <row r="93" spans="1:7" x14ac:dyDescent="0.3">
      <c r="A93" t="s">
        <v>13</v>
      </c>
      <c r="B93" t="s">
        <v>14</v>
      </c>
      <c r="C93" s="1">
        <v>46255</v>
      </c>
      <c r="D93" s="2">
        <v>0.70802083333333332</v>
      </c>
      <c r="E93" t="s">
        <v>6</v>
      </c>
      <c r="F93" s="3">
        <v>-83</v>
      </c>
      <c r="G93" t="s">
        <v>56</v>
      </c>
    </row>
    <row r="94" spans="1:7" x14ac:dyDescent="0.3">
      <c r="A94" t="s">
        <v>13</v>
      </c>
      <c r="B94" t="s">
        <v>14</v>
      </c>
      <c r="C94" s="1">
        <v>46255</v>
      </c>
      <c r="D94" s="2">
        <v>0.44708333333333333</v>
      </c>
      <c r="E94" t="s">
        <v>6</v>
      </c>
      <c r="F94" s="3">
        <v>-83</v>
      </c>
      <c r="G94" t="s">
        <v>56</v>
      </c>
    </row>
    <row r="95" spans="1:7" x14ac:dyDescent="0.3">
      <c r="A95" t="s">
        <v>13</v>
      </c>
      <c r="B95" t="s">
        <v>14</v>
      </c>
      <c r="C95" s="1">
        <v>46255</v>
      </c>
      <c r="D95" s="4">
        <v>0.42152777777777778</v>
      </c>
      <c r="E95" t="s">
        <v>28</v>
      </c>
      <c r="F95" s="3">
        <v>-178</v>
      </c>
      <c r="G95" t="s">
        <v>56</v>
      </c>
    </row>
    <row r="96" spans="1:7" x14ac:dyDescent="0.3">
      <c r="A96" t="s">
        <v>13</v>
      </c>
      <c r="B96" t="s">
        <v>14</v>
      </c>
      <c r="C96" s="1">
        <v>46255</v>
      </c>
      <c r="D96" s="2">
        <v>0.37402777777777779</v>
      </c>
      <c r="E96" t="s">
        <v>20</v>
      </c>
      <c r="F96" s="3">
        <v>-82</v>
      </c>
      <c r="G96" t="s">
        <v>56</v>
      </c>
    </row>
    <row r="97" spans="1:17" x14ac:dyDescent="0.3">
      <c r="A97" t="s">
        <v>13</v>
      </c>
      <c r="B97" t="s">
        <v>14</v>
      </c>
      <c r="C97" s="1">
        <v>46255</v>
      </c>
      <c r="D97" s="2">
        <v>0.30365740740740743</v>
      </c>
      <c r="E97" t="s">
        <v>6</v>
      </c>
      <c r="F97" s="3">
        <v>-83</v>
      </c>
      <c r="G97" t="s">
        <v>56</v>
      </c>
    </row>
    <row r="98" spans="1:17" x14ac:dyDescent="0.3">
      <c r="A98" t="s">
        <v>13</v>
      </c>
      <c r="B98" t="s">
        <v>14</v>
      </c>
      <c r="C98" s="1">
        <v>46254</v>
      </c>
      <c r="D98" s="2">
        <v>0.77530092592592592</v>
      </c>
      <c r="E98" t="s">
        <v>6</v>
      </c>
      <c r="F98" s="3">
        <v>-83</v>
      </c>
      <c r="G98" t="s">
        <v>56</v>
      </c>
    </row>
    <row r="99" spans="1:17" x14ac:dyDescent="0.3">
      <c r="A99" t="s">
        <v>13</v>
      </c>
      <c r="B99" t="s">
        <v>14</v>
      </c>
      <c r="C99" s="1">
        <v>46253</v>
      </c>
      <c r="D99" s="2">
        <v>0.76146990740740739</v>
      </c>
      <c r="E99" t="s">
        <v>7</v>
      </c>
      <c r="F99" s="3">
        <v>-75</v>
      </c>
      <c r="G99" t="s">
        <v>56</v>
      </c>
    </row>
    <row r="100" spans="1:17" x14ac:dyDescent="0.3">
      <c r="A100" t="s">
        <v>13</v>
      </c>
      <c r="B100" t="s">
        <v>14</v>
      </c>
      <c r="C100" s="1">
        <v>46253</v>
      </c>
      <c r="D100" s="2">
        <v>0.46986111111111112</v>
      </c>
      <c r="E100" t="s">
        <v>6</v>
      </c>
      <c r="F100" s="3">
        <v>-42</v>
      </c>
      <c r="G100" t="s">
        <v>56</v>
      </c>
    </row>
    <row r="101" spans="1:17" x14ac:dyDescent="0.3">
      <c r="A101" t="s">
        <v>13</v>
      </c>
      <c r="B101" t="s">
        <v>14</v>
      </c>
      <c r="C101" s="1">
        <v>46252</v>
      </c>
      <c r="D101" s="2">
        <v>0.75608796296296299</v>
      </c>
      <c r="E101" t="s">
        <v>7</v>
      </c>
      <c r="F101" s="3">
        <v>-75</v>
      </c>
      <c r="G101" t="s">
        <v>56</v>
      </c>
      <c r="J101" t="s">
        <v>63</v>
      </c>
      <c r="K101" s="9">
        <v>-75</v>
      </c>
      <c r="M101" t="s">
        <v>64</v>
      </c>
      <c r="N101" s="12">
        <v>-83</v>
      </c>
      <c r="P101" t="s">
        <v>65</v>
      </c>
      <c r="Q101" s="10">
        <v>-75</v>
      </c>
    </row>
    <row r="102" spans="1:17" x14ac:dyDescent="0.3">
      <c r="A102" t="s">
        <v>13</v>
      </c>
      <c r="B102" t="s">
        <v>14</v>
      </c>
      <c r="C102" s="1">
        <v>46252</v>
      </c>
      <c r="D102" s="2">
        <v>0.47942129629629632</v>
      </c>
      <c r="E102" t="s">
        <v>6</v>
      </c>
      <c r="F102" s="3">
        <v>-42</v>
      </c>
      <c r="G102" t="s">
        <v>56</v>
      </c>
      <c r="K102" s="10">
        <v>-42</v>
      </c>
      <c r="N102" s="13">
        <v>-158</v>
      </c>
      <c r="Q102" s="9">
        <v>-82</v>
      </c>
    </row>
    <row r="103" spans="1:17" x14ac:dyDescent="0.3">
      <c r="A103" t="s">
        <v>13</v>
      </c>
      <c r="B103" t="s">
        <v>14</v>
      </c>
      <c r="C103" s="1">
        <v>46251</v>
      </c>
      <c r="D103" s="2">
        <v>0.84796296296296292</v>
      </c>
      <c r="E103" t="s">
        <v>7</v>
      </c>
      <c r="F103" s="3">
        <v>-75</v>
      </c>
      <c r="G103" t="s">
        <v>56</v>
      </c>
      <c r="K103" s="9">
        <v>-75</v>
      </c>
      <c r="N103" s="12">
        <v>-83</v>
      </c>
      <c r="Q103" s="10">
        <v>-82</v>
      </c>
    </row>
    <row r="104" spans="1:17" x14ac:dyDescent="0.3">
      <c r="A104" t="s">
        <v>13</v>
      </c>
      <c r="B104" t="s">
        <v>14</v>
      </c>
      <c r="C104" s="1">
        <v>46251</v>
      </c>
      <c r="D104" s="2">
        <v>0.56682870370370375</v>
      </c>
      <c r="E104" t="s">
        <v>17</v>
      </c>
      <c r="F104" s="3">
        <v>-58</v>
      </c>
      <c r="G104" t="s">
        <v>56</v>
      </c>
      <c r="K104" s="10">
        <v>-58</v>
      </c>
      <c r="N104" s="13">
        <v>-83</v>
      </c>
      <c r="Q104" s="9">
        <v>-42</v>
      </c>
    </row>
    <row r="105" spans="1:17" x14ac:dyDescent="0.3">
      <c r="A105" t="s">
        <v>13</v>
      </c>
      <c r="B105" t="s">
        <v>14</v>
      </c>
      <c r="C105" s="1">
        <v>46251</v>
      </c>
      <c r="D105" s="2">
        <v>0.54912037037037043</v>
      </c>
      <c r="E105" t="s">
        <v>43</v>
      </c>
      <c r="F105" s="3">
        <v>-58</v>
      </c>
      <c r="G105" t="s">
        <v>56</v>
      </c>
      <c r="K105" s="9">
        <v>-58</v>
      </c>
      <c r="N105" s="12">
        <v>-83</v>
      </c>
      <c r="Q105" s="10">
        <v>-75</v>
      </c>
    </row>
    <row r="106" spans="1:17" x14ac:dyDescent="0.3">
      <c r="A106" t="s">
        <v>13</v>
      </c>
      <c r="B106" t="s">
        <v>14</v>
      </c>
      <c r="C106" s="1">
        <v>46251</v>
      </c>
      <c r="D106" s="2">
        <v>0.50414351851851846</v>
      </c>
      <c r="E106" t="s">
        <v>53</v>
      </c>
      <c r="F106" s="3">
        <v>-186</v>
      </c>
      <c r="G106" t="s">
        <v>56</v>
      </c>
      <c r="K106" s="10">
        <v>-186</v>
      </c>
      <c r="N106" s="13">
        <v>-83</v>
      </c>
      <c r="Q106" s="9">
        <v>-42</v>
      </c>
    </row>
    <row r="107" spans="1:17" x14ac:dyDescent="0.3">
      <c r="A107" t="s">
        <v>13</v>
      </c>
      <c r="B107" t="s">
        <v>14</v>
      </c>
      <c r="C107" s="1">
        <v>46251</v>
      </c>
      <c r="D107" s="2">
        <v>0.45658564814814817</v>
      </c>
      <c r="E107" t="s">
        <v>54</v>
      </c>
      <c r="F107" s="3">
        <v>-106</v>
      </c>
      <c r="G107" t="s">
        <v>56</v>
      </c>
      <c r="K107" s="9">
        <v>-106</v>
      </c>
      <c r="N107" s="12">
        <v>-178</v>
      </c>
      <c r="P107" t="s">
        <v>67</v>
      </c>
      <c r="Q107" s="3">
        <f>SUM(Q101:Q106)</f>
        <v>-398</v>
      </c>
    </row>
    <row r="108" spans="1:17" hidden="1" x14ac:dyDescent="0.3">
      <c r="A108" t="s">
        <v>38</v>
      </c>
      <c r="B108" t="s">
        <v>39</v>
      </c>
      <c r="C108" s="1">
        <v>46255</v>
      </c>
      <c r="D108" s="2">
        <v>0.55866898148148147</v>
      </c>
      <c r="E108" t="s">
        <v>7</v>
      </c>
      <c r="F108" s="3">
        <v>-75</v>
      </c>
      <c r="G108" t="s">
        <v>56</v>
      </c>
      <c r="N108" s="13">
        <v>-82</v>
      </c>
    </row>
    <row r="109" spans="1:17" hidden="1" x14ac:dyDescent="0.3">
      <c r="A109" t="s">
        <v>38</v>
      </c>
      <c r="B109" t="s">
        <v>39</v>
      </c>
      <c r="C109" s="1">
        <v>46255</v>
      </c>
      <c r="D109" s="2">
        <v>0.55033564814814817</v>
      </c>
      <c r="E109" t="s">
        <v>10</v>
      </c>
      <c r="F109" s="3">
        <v>-58</v>
      </c>
      <c r="G109" t="s">
        <v>56</v>
      </c>
      <c r="N109" s="12">
        <v>-83</v>
      </c>
    </row>
    <row r="110" spans="1:17" hidden="1" x14ac:dyDescent="0.3">
      <c r="A110" t="s">
        <v>38</v>
      </c>
      <c r="B110" t="s">
        <v>39</v>
      </c>
      <c r="C110" s="1">
        <v>46255</v>
      </c>
      <c r="D110" s="2">
        <v>0.54853009259259256</v>
      </c>
      <c r="E110" t="s">
        <v>28</v>
      </c>
      <c r="F110" s="3">
        <v>-202</v>
      </c>
      <c r="G110" t="s">
        <v>56</v>
      </c>
      <c r="N110" s="13">
        <v>-83</v>
      </c>
    </row>
    <row r="111" spans="1:17" hidden="1" x14ac:dyDescent="0.3">
      <c r="A111" t="s">
        <v>38</v>
      </c>
      <c r="B111" t="s">
        <v>39</v>
      </c>
      <c r="C111" s="1">
        <v>46255</v>
      </c>
      <c r="D111" s="2">
        <v>0.52601851851851855</v>
      </c>
      <c r="E111" t="s">
        <v>8</v>
      </c>
      <c r="F111" s="3">
        <v>-43</v>
      </c>
      <c r="G111" t="s">
        <v>56</v>
      </c>
      <c r="N111" s="12">
        <v>-75</v>
      </c>
    </row>
    <row r="112" spans="1:17" hidden="1" x14ac:dyDescent="0.3">
      <c r="A112" t="s">
        <v>38</v>
      </c>
      <c r="B112" t="s">
        <v>39</v>
      </c>
      <c r="C112" s="1">
        <v>46255</v>
      </c>
      <c r="D112" s="2">
        <v>0.52033564814814814</v>
      </c>
      <c r="E112" t="s">
        <v>8</v>
      </c>
      <c r="F112" s="3">
        <v>-57</v>
      </c>
      <c r="G112" t="s">
        <v>56</v>
      </c>
      <c r="N112" s="13">
        <v>-42</v>
      </c>
    </row>
    <row r="113" spans="1:7" hidden="1" x14ac:dyDescent="0.3">
      <c r="A113" t="s">
        <v>38</v>
      </c>
      <c r="B113" t="s">
        <v>39</v>
      </c>
      <c r="C113" s="1">
        <v>46255</v>
      </c>
      <c r="D113" s="2">
        <v>0.48108796296296297</v>
      </c>
      <c r="E113" t="s">
        <v>8</v>
      </c>
      <c r="F113" s="3">
        <v>-57</v>
      </c>
      <c r="G113" t="s">
        <v>56</v>
      </c>
    </row>
    <row r="114" spans="1:7" hidden="1" x14ac:dyDescent="0.3">
      <c r="A114" t="s">
        <v>38</v>
      </c>
      <c r="B114" t="s">
        <v>39</v>
      </c>
      <c r="C114" s="1">
        <v>46255</v>
      </c>
      <c r="D114" s="2">
        <v>0.47410879629629632</v>
      </c>
      <c r="E114" t="s">
        <v>8</v>
      </c>
      <c r="F114" s="3">
        <v>-43</v>
      </c>
      <c r="G114" t="s">
        <v>56</v>
      </c>
    </row>
    <row r="115" spans="1:7" hidden="1" x14ac:dyDescent="0.3">
      <c r="A115" t="s">
        <v>38</v>
      </c>
      <c r="B115" t="s">
        <v>39</v>
      </c>
      <c r="C115" s="1">
        <v>46255</v>
      </c>
      <c r="D115" s="2">
        <v>0.46706018518518516</v>
      </c>
      <c r="E115" t="s">
        <v>9</v>
      </c>
      <c r="F115" s="3">
        <v>-203</v>
      </c>
      <c r="G115" t="s">
        <v>56</v>
      </c>
    </row>
    <row r="116" spans="1:7" hidden="1" x14ac:dyDescent="0.3">
      <c r="A116" t="s">
        <v>38</v>
      </c>
      <c r="B116" t="s">
        <v>39</v>
      </c>
      <c r="C116" s="1">
        <v>46255</v>
      </c>
      <c r="D116" s="2">
        <v>0.44155092592592593</v>
      </c>
      <c r="E116" t="s">
        <v>10</v>
      </c>
      <c r="F116" s="3">
        <v>-58</v>
      </c>
      <c r="G116" t="s">
        <v>56</v>
      </c>
    </row>
    <row r="117" spans="1:7" hidden="1" x14ac:dyDescent="0.3">
      <c r="A117" t="s">
        <v>38</v>
      </c>
      <c r="B117" t="s">
        <v>39</v>
      </c>
      <c r="C117" s="1">
        <v>46252</v>
      </c>
      <c r="D117" s="2">
        <v>0.7828356481481481</v>
      </c>
      <c r="E117" t="s">
        <v>7</v>
      </c>
      <c r="F117" s="3">
        <v>-75</v>
      </c>
      <c r="G117" t="s">
        <v>56</v>
      </c>
    </row>
    <row r="118" spans="1:7" hidden="1" x14ac:dyDescent="0.3">
      <c r="A118" t="s">
        <v>38</v>
      </c>
      <c r="B118" t="s">
        <v>39</v>
      </c>
      <c r="C118" s="1">
        <v>46252</v>
      </c>
      <c r="D118" s="2">
        <v>0.77535879629629634</v>
      </c>
      <c r="E118" t="s">
        <v>10</v>
      </c>
      <c r="F118" s="3">
        <v>-116</v>
      </c>
      <c r="G118" t="s">
        <v>56</v>
      </c>
    </row>
    <row r="119" spans="1:7" hidden="1" x14ac:dyDescent="0.3">
      <c r="A119" t="s">
        <v>38</v>
      </c>
      <c r="B119" t="s">
        <v>39</v>
      </c>
      <c r="C119" s="1">
        <v>46252</v>
      </c>
      <c r="D119" s="2">
        <v>0.64094907407407409</v>
      </c>
      <c r="E119" t="s">
        <v>10</v>
      </c>
      <c r="F119" s="3">
        <v>-116</v>
      </c>
      <c r="G119" t="s">
        <v>56</v>
      </c>
    </row>
    <row r="120" spans="1:7" hidden="1" x14ac:dyDescent="0.3">
      <c r="A120" t="s">
        <v>38</v>
      </c>
      <c r="B120" t="s">
        <v>39</v>
      </c>
      <c r="C120" s="1">
        <v>46251</v>
      </c>
      <c r="D120" s="2">
        <v>0.54228009259259258</v>
      </c>
      <c r="E120" t="s">
        <v>7</v>
      </c>
      <c r="F120" s="3">
        <v>-75</v>
      </c>
      <c r="G120" t="s">
        <v>56</v>
      </c>
    </row>
    <row r="121" spans="1:7" hidden="1" x14ac:dyDescent="0.3">
      <c r="A121" t="s">
        <v>38</v>
      </c>
      <c r="B121" t="s">
        <v>39</v>
      </c>
      <c r="C121" s="1">
        <v>46251</v>
      </c>
      <c r="D121" s="2">
        <v>0.52644675925925921</v>
      </c>
      <c r="E121" t="s">
        <v>10</v>
      </c>
      <c r="F121" s="3">
        <v>-116</v>
      </c>
      <c r="G121" t="s">
        <v>56</v>
      </c>
    </row>
    <row r="122" spans="1:7" hidden="1" x14ac:dyDescent="0.3">
      <c r="A122" t="s">
        <v>38</v>
      </c>
      <c r="B122" t="s">
        <v>39</v>
      </c>
      <c r="C122" s="1">
        <v>46251</v>
      </c>
      <c r="D122" s="2">
        <v>0.3528472222222222</v>
      </c>
      <c r="E122" t="s">
        <v>10</v>
      </c>
      <c r="F122" s="3">
        <v>-116</v>
      </c>
      <c r="G122" t="s">
        <v>56</v>
      </c>
    </row>
    <row r="123" spans="1:7" hidden="1" x14ac:dyDescent="0.3">
      <c r="A123" t="s">
        <v>25</v>
      </c>
      <c r="B123" t="s">
        <v>26</v>
      </c>
      <c r="C123" s="1">
        <v>46256</v>
      </c>
      <c r="D123" s="2">
        <v>0.57829861111111114</v>
      </c>
      <c r="E123" t="s">
        <v>6</v>
      </c>
      <c r="F123" s="3">
        <v>-70</v>
      </c>
      <c r="G123" t="s">
        <v>56</v>
      </c>
    </row>
    <row r="124" spans="1:7" hidden="1" x14ac:dyDescent="0.3">
      <c r="A124" t="s">
        <v>25</v>
      </c>
      <c r="B124" t="s">
        <v>26</v>
      </c>
      <c r="C124" s="1">
        <v>46256</v>
      </c>
      <c r="D124" s="2">
        <v>0.34151620370370372</v>
      </c>
      <c r="E124" t="s">
        <v>6</v>
      </c>
      <c r="F124" s="3">
        <v>-70</v>
      </c>
      <c r="G124" t="s">
        <v>56</v>
      </c>
    </row>
    <row r="125" spans="1:7" hidden="1" x14ac:dyDescent="0.3">
      <c r="A125" t="s">
        <v>25</v>
      </c>
      <c r="B125" t="s">
        <v>26</v>
      </c>
      <c r="C125" s="1">
        <v>46254</v>
      </c>
      <c r="D125" s="2">
        <v>0.80707175925925922</v>
      </c>
      <c r="E125" t="s">
        <v>6</v>
      </c>
      <c r="F125" s="3">
        <v>-70</v>
      </c>
      <c r="G125" t="s">
        <v>56</v>
      </c>
    </row>
    <row r="126" spans="1:7" hidden="1" x14ac:dyDescent="0.3">
      <c r="A126" t="s">
        <v>25</v>
      </c>
      <c r="B126" t="s">
        <v>26</v>
      </c>
      <c r="C126" s="1">
        <v>46254</v>
      </c>
      <c r="D126" s="2">
        <v>0.21002314814814815</v>
      </c>
      <c r="E126" t="s">
        <v>6</v>
      </c>
      <c r="F126" s="3">
        <v>-70</v>
      </c>
      <c r="G126" t="s">
        <v>56</v>
      </c>
    </row>
    <row r="127" spans="1:7" hidden="1" x14ac:dyDescent="0.3">
      <c r="A127" t="s">
        <v>25</v>
      </c>
      <c r="B127" t="s">
        <v>26</v>
      </c>
      <c r="C127" s="1">
        <v>46253</v>
      </c>
      <c r="D127" s="2">
        <v>0.77130787037037041</v>
      </c>
      <c r="E127" t="s">
        <v>6</v>
      </c>
      <c r="F127" s="3">
        <v>-70</v>
      </c>
      <c r="G127" t="s">
        <v>56</v>
      </c>
    </row>
    <row r="128" spans="1:7" hidden="1" x14ac:dyDescent="0.3">
      <c r="A128" t="s">
        <v>25</v>
      </c>
      <c r="B128" t="s">
        <v>26</v>
      </c>
      <c r="C128" s="1">
        <v>46253</v>
      </c>
      <c r="D128" s="2">
        <v>0.35498842592592594</v>
      </c>
      <c r="E128" t="s">
        <v>6</v>
      </c>
      <c r="F128" s="3">
        <v>-70</v>
      </c>
      <c r="G128" t="s">
        <v>56</v>
      </c>
    </row>
    <row r="129" spans="1:7" hidden="1" x14ac:dyDescent="0.3">
      <c r="A129" t="s">
        <v>25</v>
      </c>
      <c r="B129" t="s">
        <v>26</v>
      </c>
      <c r="C129" s="1">
        <v>46252</v>
      </c>
      <c r="D129" s="2">
        <v>0.7878356481481481</v>
      </c>
      <c r="E129" t="s">
        <v>6</v>
      </c>
      <c r="F129" s="3">
        <v>-70</v>
      </c>
      <c r="G129" t="s">
        <v>56</v>
      </c>
    </row>
    <row r="130" spans="1:7" hidden="1" x14ac:dyDescent="0.3">
      <c r="A130" t="s">
        <v>25</v>
      </c>
      <c r="B130" t="s">
        <v>26</v>
      </c>
      <c r="C130" s="1">
        <v>46252</v>
      </c>
      <c r="D130" s="2">
        <v>0.21659722222222222</v>
      </c>
      <c r="E130" t="s">
        <v>6</v>
      </c>
      <c r="F130" s="3">
        <v>-70</v>
      </c>
      <c r="G130" t="s">
        <v>56</v>
      </c>
    </row>
    <row r="131" spans="1:7" hidden="1" x14ac:dyDescent="0.3">
      <c r="A131" t="s">
        <v>25</v>
      </c>
      <c r="B131" t="s">
        <v>26</v>
      </c>
      <c r="C131" s="1">
        <v>46251</v>
      </c>
      <c r="D131" s="2">
        <v>0.80744212962962958</v>
      </c>
      <c r="E131" t="s">
        <v>6</v>
      </c>
      <c r="F131" s="3">
        <v>-70</v>
      </c>
      <c r="G131" t="s">
        <v>56</v>
      </c>
    </row>
    <row r="132" spans="1:7" hidden="1" x14ac:dyDescent="0.3">
      <c r="A132" t="s">
        <v>44</v>
      </c>
      <c r="B132" t="s">
        <v>45</v>
      </c>
      <c r="C132" s="1">
        <v>46253</v>
      </c>
      <c r="D132" s="2">
        <v>0.56004629629629632</v>
      </c>
      <c r="E132" t="s">
        <v>10</v>
      </c>
      <c r="F132" s="3">
        <v>-116</v>
      </c>
      <c r="G132" t="s">
        <v>56</v>
      </c>
    </row>
    <row r="133" spans="1:7" hidden="1" x14ac:dyDescent="0.3">
      <c r="A133" t="s">
        <v>44</v>
      </c>
      <c r="B133" t="s">
        <v>45</v>
      </c>
      <c r="C133" s="1">
        <v>46253</v>
      </c>
      <c r="D133" s="2">
        <v>0.5522569444444444</v>
      </c>
      <c r="E133" t="s">
        <v>46</v>
      </c>
      <c r="F133" s="3">
        <v>-99</v>
      </c>
      <c r="G133" t="s">
        <v>56</v>
      </c>
    </row>
    <row r="134" spans="1:7" hidden="1" x14ac:dyDescent="0.3">
      <c r="A134" t="s">
        <v>44</v>
      </c>
      <c r="B134" t="s">
        <v>45</v>
      </c>
      <c r="C134" s="1">
        <v>46253</v>
      </c>
      <c r="D134" s="2">
        <v>0.54324074074074069</v>
      </c>
      <c r="E134" t="s">
        <v>47</v>
      </c>
      <c r="F134" s="3">
        <v>-33.49</v>
      </c>
      <c r="G134" t="s">
        <v>56</v>
      </c>
    </row>
    <row r="135" spans="1:7" hidden="1" x14ac:dyDescent="0.3">
      <c r="A135" t="s">
        <v>44</v>
      </c>
      <c r="B135" t="s">
        <v>45</v>
      </c>
      <c r="C135" s="1">
        <v>46253</v>
      </c>
      <c r="D135" s="2">
        <v>0.45579861111111108</v>
      </c>
      <c r="E135" t="s">
        <v>46</v>
      </c>
      <c r="F135" s="3">
        <v>-99</v>
      </c>
      <c r="G135" t="s">
        <v>56</v>
      </c>
    </row>
    <row r="136" spans="1:7" hidden="1" x14ac:dyDescent="0.3">
      <c r="A136" t="s">
        <v>50</v>
      </c>
      <c r="B136" t="s">
        <v>51</v>
      </c>
      <c r="C136" s="1">
        <v>46252</v>
      </c>
      <c r="D136" s="2">
        <v>0.5811574074074074</v>
      </c>
      <c r="E136" t="s">
        <v>6</v>
      </c>
      <c r="F136" s="3">
        <v>-83</v>
      </c>
      <c r="G136" t="s">
        <v>56</v>
      </c>
    </row>
    <row r="137" spans="1:7" hidden="1" x14ac:dyDescent="0.3">
      <c r="A137" t="s">
        <v>50</v>
      </c>
      <c r="B137" t="s">
        <v>51</v>
      </c>
      <c r="C137" s="1">
        <v>46252</v>
      </c>
      <c r="D137" s="2">
        <v>0.56508101851851855</v>
      </c>
      <c r="E137" t="s">
        <v>11</v>
      </c>
      <c r="F137" s="3">
        <v>-541</v>
      </c>
      <c r="G137" t="s">
        <v>56</v>
      </c>
    </row>
    <row r="138" spans="1:7" hidden="1" x14ac:dyDescent="0.3">
      <c r="A138" t="s">
        <v>50</v>
      </c>
      <c r="B138" t="s">
        <v>51</v>
      </c>
      <c r="C138" s="1">
        <v>46252</v>
      </c>
      <c r="D138" s="2">
        <v>0.54385416666666664</v>
      </c>
      <c r="E138" t="s">
        <v>12</v>
      </c>
      <c r="F138" s="3">
        <v>-51</v>
      </c>
      <c r="G138" t="s">
        <v>56</v>
      </c>
    </row>
    <row r="139" spans="1:7" hidden="1" x14ac:dyDescent="0.3">
      <c r="A139" t="s">
        <v>50</v>
      </c>
      <c r="B139" t="s">
        <v>51</v>
      </c>
      <c r="C139" s="1">
        <v>46252</v>
      </c>
      <c r="D139" s="2">
        <v>0.43033564814814818</v>
      </c>
      <c r="E139" t="s">
        <v>20</v>
      </c>
      <c r="F139" s="3">
        <v>-51</v>
      </c>
      <c r="G139" t="s">
        <v>56</v>
      </c>
    </row>
    <row r="140" spans="1:7" hidden="1" x14ac:dyDescent="0.3">
      <c r="A140" t="s">
        <v>50</v>
      </c>
      <c r="B140" t="s">
        <v>51</v>
      </c>
      <c r="C140" s="1">
        <v>46252</v>
      </c>
      <c r="D140" s="2">
        <v>0.42453703703703705</v>
      </c>
      <c r="E140" t="s">
        <v>22</v>
      </c>
      <c r="F140" s="3">
        <v>-541</v>
      </c>
      <c r="G140" t="s">
        <v>56</v>
      </c>
    </row>
    <row r="141" spans="1:7" hidden="1" x14ac:dyDescent="0.3">
      <c r="A141" t="s">
        <v>50</v>
      </c>
      <c r="B141" t="s">
        <v>51</v>
      </c>
      <c r="C141" s="1">
        <v>46252</v>
      </c>
      <c r="D141" s="2">
        <v>0.39276620370370369</v>
      </c>
      <c r="E141" t="s">
        <v>6</v>
      </c>
      <c r="F141" s="3">
        <v>-83</v>
      </c>
      <c r="G141" t="s">
        <v>56</v>
      </c>
    </row>
    <row r="142" spans="1:7" hidden="1" x14ac:dyDescent="0.3">
      <c r="A142" t="s">
        <v>50</v>
      </c>
      <c r="B142" t="s">
        <v>51</v>
      </c>
      <c r="C142" s="1">
        <v>46252</v>
      </c>
      <c r="D142" s="2">
        <v>0.18927083333333333</v>
      </c>
      <c r="E142" t="s">
        <v>6</v>
      </c>
      <c r="F142" s="3">
        <v>-83</v>
      </c>
      <c r="G142" t="s">
        <v>56</v>
      </c>
    </row>
    <row r="143" spans="1:7" hidden="1" x14ac:dyDescent="0.3">
      <c r="A143" t="s">
        <v>50</v>
      </c>
      <c r="B143" t="s">
        <v>51</v>
      </c>
      <c r="C143" s="1">
        <v>46252</v>
      </c>
      <c r="D143" s="2">
        <v>0.18508101851851852</v>
      </c>
      <c r="E143" t="s">
        <v>11</v>
      </c>
      <c r="F143" s="3">
        <v>-541</v>
      </c>
      <c r="G143" t="s">
        <v>56</v>
      </c>
    </row>
    <row r="144" spans="1:7" hidden="1" x14ac:dyDescent="0.3">
      <c r="A144" t="s">
        <v>50</v>
      </c>
      <c r="B144" t="s">
        <v>51</v>
      </c>
      <c r="C144" s="1">
        <v>46252</v>
      </c>
      <c r="D144" s="2">
        <v>0.16495370370370371</v>
      </c>
      <c r="E144" t="s">
        <v>12</v>
      </c>
      <c r="F144" s="3">
        <v>-51</v>
      </c>
      <c r="G144" t="s">
        <v>56</v>
      </c>
    </row>
    <row r="145" spans="1:7" hidden="1" x14ac:dyDescent="0.3">
      <c r="A145" t="s">
        <v>50</v>
      </c>
      <c r="B145" t="s">
        <v>51</v>
      </c>
      <c r="C145" s="1">
        <v>46251</v>
      </c>
      <c r="D145" s="2">
        <v>0.93853009259259257</v>
      </c>
      <c r="E145" t="s">
        <v>20</v>
      </c>
      <c r="F145" s="3">
        <v>-51</v>
      </c>
      <c r="G145" t="s">
        <v>56</v>
      </c>
    </row>
    <row r="146" spans="1:7" hidden="1" x14ac:dyDescent="0.3">
      <c r="A146" t="s">
        <v>50</v>
      </c>
      <c r="B146" t="s">
        <v>51</v>
      </c>
      <c r="C146" s="1">
        <v>46251</v>
      </c>
      <c r="D146" s="2">
        <v>0.93317129629629625</v>
      </c>
      <c r="E146" t="s">
        <v>22</v>
      </c>
      <c r="F146" s="3">
        <v>-541</v>
      </c>
      <c r="G146" t="s">
        <v>56</v>
      </c>
    </row>
    <row r="147" spans="1:7" hidden="1" x14ac:dyDescent="0.3">
      <c r="A147" t="s">
        <v>50</v>
      </c>
      <c r="B147" t="s">
        <v>51</v>
      </c>
      <c r="C147" s="1">
        <v>46251</v>
      </c>
      <c r="D147" s="2">
        <v>0.90383101851851855</v>
      </c>
      <c r="E147" t="s">
        <v>6</v>
      </c>
      <c r="F147" s="3">
        <v>-83</v>
      </c>
      <c r="G147" t="s">
        <v>56</v>
      </c>
    </row>
    <row r="148" spans="1:7" hidden="1" x14ac:dyDescent="0.3">
      <c r="A148" t="s">
        <v>50</v>
      </c>
      <c r="B148" t="s">
        <v>51</v>
      </c>
      <c r="C148" s="1">
        <v>46251</v>
      </c>
      <c r="D148" s="2">
        <v>0.70802083333333332</v>
      </c>
      <c r="E148" t="s">
        <v>6</v>
      </c>
      <c r="F148" s="3">
        <v>-83</v>
      </c>
      <c r="G148" t="s">
        <v>56</v>
      </c>
    </row>
    <row r="149" spans="1:7" hidden="1" x14ac:dyDescent="0.3">
      <c r="A149" t="s">
        <v>50</v>
      </c>
      <c r="B149" t="s">
        <v>51</v>
      </c>
      <c r="C149" s="1">
        <v>46251</v>
      </c>
      <c r="D149" s="2">
        <v>0.54730324074074077</v>
      </c>
      <c r="E149" t="s">
        <v>6</v>
      </c>
      <c r="F149" s="3">
        <v>-83</v>
      </c>
      <c r="G149" t="s">
        <v>56</v>
      </c>
    </row>
    <row r="150" spans="1:7" hidden="1" x14ac:dyDescent="0.3">
      <c r="A150" t="s">
        <v>23</v>
      </c>
      <c r="B150" t="s">
        <v>24</v>
      </c>
      <c r="C150" s="1">
        <v>46256</v>
      </c>
      <c r="D150" s="2">
        <v>0.58120370370370367</v>
      </c>
      <c r="E150" t="s">
        <v>6</v>
      </c>
      <c r="F150" s="3">
        <v>-70</v>
      </c>
      <c r="G150" t="s">
        <v>56</v>
      </c>
    </row>
    <row r="151" spans="1:7" hidden="1" x14ac:dyDescent="0.3">
      <c r="A151" t="s">
        <v>23</v>
      </c>
      <c r="B151" t="s">
        <v>24</v>
      </c>
      <c r="C151" s="1">
        <v>46256</v>
      </c>
      <c r="D151" s="2">
        <v>0.44307870370370372</v>
      </c>
      <c r="E151" t="s">
        <v>6</v>
      </c>
      <c r="F151" s="3">
        <v>-42</v>
      </c>
      <c r="G151" t="s">
        <v>56</v>
      </c>
    </row>
    <row r="152" spans="1:7" hidden="1" x14ac:dyDescent="0.3">
      <c r="A152" t="s">
        <v>23</v>
      </c>
      <c r="B152" t="s">
        <v>24</v>
      </c>
      <c r="C152" s="1">
        <v>46256</v>
      </c>
      <c r="D152" s="2">
        <v>0.34854166666666669</v>
      </c>
      <c r="E152" t="s">
        <v>6</v>
      </c>
      <c r="F152" s="3">
        <v>-42</v>
      </c>
      <c r="G152" t="s">
        <v>56</v>
      </c>
    </row>
    <row r="153" spans="1:7" hidden="1" x14ac:dyDescent="0.3">
      <c r="A153" t="s">
        <v>23</v>
      </c>
      <c r="B153" t="s">
        <v>24</v>
      </c>
      <c r="C153" s="1">
        <v>46251</v>
      </c>
      <c r="D153" s="2">
        <v>0.38800925925925928</v>
      </c>
      <c r="E153" t="s">
        <v>27</v>
      </c>
      <c r="F153" s="3">
        <v>-58</v>
      </c>
      <c r="G153" t="s">
        <v>56</v>
      </c>
    </row>
    <row r="154" spans="1:7" hidden="1" x14ac:dyDescent="0.3">
      <c r="A154" t="s">
        <v>23</v>
      </c>
      <c r="B154" t="s">
        <v>24</v>
      </c>
      <c r="C154" s="1">
        <v>46251</v>
      </c>
      <c r="D154" s="2">
        <v>0.38143518518518521</v>
      </c>
      <c r="E154" t="s">
        <v>27</v>
      </c>
      <c r="F154" s="3">
        <v>-116</v>
      </c>
      <c r="G154" t="s">
        <v>56</v>
      </c>
    </row>
    <row r="155" spans="1:7" hidden="1" x14ac:dyDescent="0.3">
      <c r="A155" t="s">
        <v>23</v>
      </c>
      <c r="B155" t="s">
        <v>24</v>
      </c>
      <c r="C155" s="1">
        <v>46251</v>
      </c>
      <c r="D155" s="2">
        <v>0.32608796296296294</v>
      </c>
      <c r="E155" t="s">
        <v>6</v>
      </c>
      <c r="F155" s="3">
        <v>-42</v>
      </c>
      <c r="G155" t="s">
        <v>56</v>
      </c>
    </row>
    <row r="156" spans="1:7" hidden="1" x14ac:dyDescent="0.3">
      <c r="A156" t="s">
        <v>23</v>
      </c>
      <c r="B156" t="s">
        <v>24</v>
      </c>
      <c r="C156" s="1">
        <v>46251</v>
      </c>
      <c r="D156" s="2">
        <v>0.20572916666666666</v>
      </c>
      <c r="E156" t="s">
        <v>6</v>
      </c>
      <c r="F156" s="3">
        <v>-70</v>
      </c>
      <c r="G156" t="s">
        <v>56</v>
      </c>
    </row>
    <row r="157" spans="1:7" hidden="1" x14ac:dyDescent="0.3">
      <c r="A157" t="s">
        <v>34</v>
      </c>
      <c r="B157" t="s">
        <v>35</v>
      </c>
      <c r="C157" s="1">
        <v>46255</v>
      </c>
      <c r="D157" s="2">
        <v>0.84658564814814818</v>
      </c>
      <c r="E157" t="s">
        <v>6</v>
      </c>
      <c r="F157" s="3">
        <v>-42</v>
      </c>
      <c r="G157" t="s">
        <v>56</v>
      </c>
    </row>
    <row r="158" spans="1:7" hidden="1" x14ac:dyDescent="0.3">
      <c r="A158" t="s">
        <v>34</v>
      </c>
      <c r="B158" t="s">
        <v>35</v>
      </c>
      <c r="C158" s="1">
        <v>46255</v>
      </c>
      <c r="D158" s="2">
        <v>0.8464814814814815</v>
      </c>
      <c r="E158" t="s">
        <v>6</v>
      </c>
      <c r="F158" s="3">
        <v>-42</v>
      </c>
      <c r="G158" t="s">
        <v>56</v>
      </c>
    </row>
    <row r="159" spans="1:7" hidden="1" x14ac:dyDescent="0.3">
      <c r="A159" t="s">
        <v>34</v>
      </c>
      <c r="B159" t="s">
        <v>35</v>
      </c>
      <c r="C159" s="1">
        <v>46255</v>
      </c>
      <c r="D159" s="2">
        <v>0.78488425925925931</v>
      </c>
      <c r="E159" t="s">
        <v>6</v>
      </c>
      <c r="F159" s="3">
        <v>-42</v>
      </c>
      <c r="G159" t="s">
        <v>56</v>
      </c>
    </row>
    <row r="160" spans="1:7" hidden="1" x14ac:dyDescent="0.3">
      <c r="A160" t="s">
        <v>34</v>
      </c>
      <c r="B160" t="s">
        <v>35</v>
      </c>
      <c r="C160" s="1">
        <v>46253</v>
      </c>
      <c r="D160" s="2">
        <v>6.3217592592592589E-2</v>
      </c>
      <c r="E160" t="s">
        <v>6</v>
      </c>
      <c r="F160" s="3">
        <v>-42</v>
      </c>
      <c r="G160" t="s">
        <v>56</v>
      </c>
    </row>
    <row r="161" spans="1:14" hidden="1" x14ac:dyDescent="0.3">
      <c r="A161" t="s">
        <v>34</v>
      </c>
      <c r="B161" t="s">
        <v>35</v>
      </c>
      <c r="C161" s="1">
        <v>46253</v>
      </c>
      <c r="D161" s="2">
        <v>2.1111111111111112E-2</v>
      </c>
      <c r="E161" t="s">
        <v>6</v>
      </c>
      <c r="F161" s="3">
        <v>-42</v>
      </c>
      <c r="G161" t="s">
        <v>56</v>
      </c>
    </row>
    <row r="162" spans="1:14" hidden="1" x14ac:dyDescent="0.3">
      <c r="A162" t="s">
        <v>34</v>
      </c>
      <c r="B162" t="s">
        <v>35</v>
      </c>
      <c r="C162" s="1">
        <v>46252</v>
      </c>
      <c r="D162" s="2">
        <v>0.51714120370370376</v>
      </c>
      <c r="E162" t="s">
        <v>6</v>
      </c>
      <c r="F162" s="3">
        <v>-42</v>
      </c>
      <c r="G162" t="s">
        <v>56</v>
      </c>
    </row>
    <row r="163" spans="1:14" hidden="1" x14ac:dyDescent="0.3">
      <c r="A163" t="s">
        <v>34</v>
      </c>
      <c r="B163" t="s">
        <v>35</v>
      </c>
      <c r="C163" s="1">
        <v>46252</v>
      </c>
      <c r="D163" s="2">
        <v>0.48521990740740739</v>
      </c>
      <c r="E163" t="s">
        <v>6</v>
      </c>
      <c r="F163" s="3">
        <v>-42</v>
      </c>
      <c r="G163" t="s">
        <v>56</v>
      </c>
    </row>
    <row r="164" spans="1:14" x14ac:dyDescent="0.3">
      <c r="A164" t="s">
        <v>29</v>
      </c>
      <c r="B164" t="s">
        <v>30</v>
      </c>
      <c r="C164" s="1">
        <v>46256</v>
      </c>
      <c r="D164" s="2">
        <v>0.34384259259259259</v>
      </c>
      <c r="E164" t="s">
        <v>7</v>
      </c>
      <c r="F164" s="3">
        <v>-75</v>
      </c>
      <c r="G164" t="s">
        <v>56</v>
      </c>
      <c r="H164" t="s">
        <v>61</v>
      </c>
      <c r="K164" s="10">
        <v>-75</v>
      </c>
      <c r="M164" t="s">
        <v>66</v>
      </c>
      <c r="N164" s="3"/>
    </row>
    <row r="165" spans="1:14" x14ac:dyDescent="0.3">
      <c r="A165" t="s">
        <v>29</v>
      </c>
      <c r="B165" t="s">
        <v>30</v>
      </c>
      <c r="C165" s="1">
        <v>46255</v>
      </c>
      <c r="D165" s="2">
        <v>0.61668981481481477</v>
      </c>
      <c r="E165" t="s">
        <v>28</v>
      </c>
      <c r="F165" s="3">
        <v>-82</v>
      </c>
      <c r="G165" t="s">
        <v>56</v>
      </c>
      <c r="K165" s="9">
        <v>-58</v>
      </c>
    </row>
    <row r="166" spans="1:14" x14ac:dyDescent="0.3">
      <c r="A166" t="s">
        <v>29</v>
      </c>
      <c r="B166" t="s">
        <v>30</v>
      </c>
      <c r="C166" s="1">
        <v>46255</v>
      </c>
      <c r="D166" s="2">
        <v>0.44354166666666667</v>
      </c>
      <c r="E166" t="s">
        <v>20</v>
      </c>
      <c r="F166" s="3">
        <v>-82</v>
      </c>
      <c r="G166" t="s">
        <v>56</v>
      </c>
      <c r="K166" s="10">
        <v>-75</v>
      </c>
    </row>
    <row r="167" spans="1:14" x14ac:dyDescent="0.3">
      <c r="A167" t="s">
        <v>29</v>
      </c>
      <c r="B167" t="s">
        <v>30</v>
      </c>
      <c r="C167" s="1">
        <v>46254</v>
      </c>
      <c r="D167" s="2">
        <v>0.73965277777777783</v>
      </c>
      <c r="E167" t="s">
        <v>6</v>
      </c>
      <c r="F167" s="3">
        <v>-42</v>
      </c>
      <c r="G167" t="s">
        <v>56</v>
      </c>
      <c r="J167" t="s">
        <v>66</v>
      </c>
      <c r="K167" s="3">
        <f>SUM(K101:K166)</f>
        <v>-808</v>
      </c>
    </row>
    <row r="168" spans="1:14" x14ac:dyDescent="0.3">
      <c r="A168" t="s">
        <v>29</v>
      </c>
      <c r="B168" t="s">
        <v>30</v>
      </c>
      <c r="C168" s="1">
        <v>46254</v>
      </c>
      <c r="D168" s="2">
        <v>0.72943287037037041</v>
      </c>
      <c r="E168" t="s">
        <v>7</v>
      </c>
      <c r="F168" s="3">
        <v>-75</v>
      </c>
      <c r="G168" t="s">
        <v>56</v>
      </c>
    </row>
    <row r="169" spans="1:14" x14ac:dyDescent="0.3">
      <c r="A169" t="s">
        <v>29</v>
      </c>
      <c r="B169" t="s">
        <v>30</v>
      </c>
      <c r="C169" s="1">
        <v>46254</v>
      </c>
      <c r="D169" s="2">
        <v>0.40454861111111112</v>
      </c>
      <c r="E169" t="s">
        <v>6</v>
      </c>
      <c r="F169" s="3">
        <v>-42</v>
      </c>
      <c r="G169" t="s">
        <v>56</v>
      </c>
    </row>
    <row r="170" spans="1:14" x14ac:dyDescent="0.3">
      <c r="A170" t="s">
        <v>18</v>
      </c>
      <c r="B170" t="s">
        <v>19</v>
      </c>
      <c r="C170" s="1">
        <v>46256</v>
      </c>
      <c r="D170" s="4">
        <v>0.77916666666666667</v>
      </c>
      <c r="E170" t="s">
        <v>7</v>
      </c>
      <c r="F170" s="3">
        <v>-75</v>
      </c>
      <c r="G170" t="s">
        <v>56</v>
      </c>
    </row>
    <row r="171" spans="1:14" x14ac:dyDescent="0.3">
      <c r="A171" t="s">
        <v>18</v>
      </c>
      <c r="B171" t="s">
        <v>19</v>
      </c>
      <c r="C171" s="1">
        <v>46256</v>
      </c>
      <c r="D171" s="2">
        <v>0.43168981481481483</v>
      </c>
      <c r="E171" t="s">
        <v>10</v>
      </c>
      <c r="F171" s="3">
        <v>-58</v>
      </c>
      <c r="G171" t="s">
        <v>56</v>
      </c>
    </row>
    <row r="172" spans="1:14" x14ac:dyDescent="0.3">
      <c r="A172" t="s">
        <v>18</v>
      </c>
      <c r="B172" t="s">
        <v>19</v>
      </c>
      <c r="C172" s="1">
        <v>46255</v>
      </c>
      <c r="D172" s="2">
        <v>0.77875000000000005</v>
      </c>
      <c r="E172" t="s">
        <v>7</v>
      </c>
      <c r="F172" s="3">
        <v>-75</v>
      </c>
      <c r="G172" t="s">
        <v>56</v>
      </c>
    </row>
    <row r="175" spans="1:14" x14ac:dyDescent="0.3">
      <c r="J175" s="12">
        <v>-83</v>
      </c>
    </row>
    <row r="176" spans="1:14" x14ac:dyDescent="0.3">
      <c r="J176" s="13">
        <v>-158</v>
      </c>
    </row>
    <row r="177" spans="10:10" x14ac:dyDescent="0.3">
      <c r="J177" s="12">
        <v>-83</v>
      </c>
    </row>
    <row r="178" spans="10:10" x14ac:dyDescent="0.3">
      <c r="J178" s="13">
        <v>-83</v>
      </c>
    </row>
    <row r="179" spans="10:10" x14ac:dyDescent="0.3">
      <c r="J179" s="12">
        <v>-83</v>
      </c>
    </row>
    <row r="180" spans="10:10" x14ac:dyDescent="0.3">
      <c r="J180" s="13">
        <v>-83</v>
      </c>
    </row>
    <row r="181" spans="10:10" x14ac:dyDescent="0.3">
      <c r="J181" s="12">
        <v>-178</v>
      </c>
    </row>
    <row r="182" spans="10:10" x14ac:dyDescent="0.3">
      <c r="J182" s="13">
        <v>-82</v>
      </c>
    </row>
    <row r="183" spans="10:10" x14ac:dyDescent="0.3">
      <c r="J183" s="12">
        <v>-83</v>
      </c>
    </row>
    <row r="184" spans="10:10" x14ac:dyDescent="0.3">
      <c r="J184" s="13">
        <v>-83</v>
      </c>
    </row>
    <row r="185" spans="10:10" x14ac:dyDescent="0.3">
      <c r="J185" s="12">
        <v>-75</v>
      </c>
    </row>
    <row r="186" spans="10:10" x14ac:dyDescent="0.3">
      <c r="J186" s="13">
        <v>-42</v>
      </c>
    </row>
    <row r="187" spans="10:10" x14ac:dyDescent="0.3">
      <c r="J187" s="3">
        <f>SUM(J175:J186)</f>
        <v>-1116</v>
      </c>
    </row>
  </sheetData>
  <phoneticPr fontId="18" type="noConversion"/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R1</vt:lpstr>
      <vt:lpstr>DESGLOSE </vt:lpstr>
      <vt:lpstr>'R1'!Área_de_impresión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Olitza Edith</dc:creator>
  <cp:lastModifiedBy>GRUPO TRUJANO 03</cp:lastModifiedBy>
  <cp:lastPrinted>2026-08-26T15:36:52Z</cp:lastPrinted>
  <dcterms:created xsi:type="dcterms:W3CDTF">2026-08-26T15:37:17Z</dcterms:created>
  <dcterms:modified xsi:type="dcterms:W3CDTF">2026-08-26T19:16:44Z</dcterms:modified>
</cp:coreProperties>
</file>