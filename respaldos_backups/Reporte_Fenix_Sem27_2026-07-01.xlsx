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6AFA615F-C1D1-4370-AFF8-B297B98EE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1" r:id="rId1"/>
    <sheet name="🛢 Diésel" sheetId="2" r:id="rId2"/>
    <sheet name="🚛 Acarreos" sheetId="3" r:id="rId3"/>
    <sheet name="⚡ Rendimiento" sheetId="4" r:id="rId4"/>
  </sheets>
  <calcPr calcId="0"/>
</workbook>
</file>

<file path=xl/sharedStrings.xml><?xml version="1.0" encoding="utf-8"?>
<sst xmlns="http://schemas.openxmlformats.org/spreadsheetml/2006/main" count="203" uniqueCount="112">
  <si>
    <t>🔥  SISTEMA FÉNIX</t>
  </si>
  <si>
    <t>REPORTE EJECUTIVO DE CONTROL DE COMBUSTIBLES Y ACARREOS</t>
  </si>
  <si>
    <t>SEMANA 27  |  WEDNESDAY 01 DE JULY, 2026</t>
  </si>
  <si>
    <t>LITROS DIÉSEL TOTAL</t>
  </si>
  <si>
    <t>CONTENIDO DEL REPORTE</t>
  </si>
  <si>
    <t>23,527.0 L</t>
  </si>
  <si>
    <t>1.</t>
  </si>
  <si>
    <t>Resumen Ejecutivo</t>
  </si>
  <si>
    <t>2.</t>
  </si>
  <si>
    <t>Control de Diésel</t>
  </si>
  <si>
    <t>COSTO ACARREOS</t>
  </si>
  <si>
    <t>3.</t>
  </si>
  <si>
    <t>Control de Gasolina</t>
  </si>
  <si>
    <t>$1,394,980.40</t>
  </si>
  <si>
    <t>4.</t>
  </si>
  <si>
    <t>Pagos a Sindicatos</t>
  </si>
  <si>
    <t>5.</t>
  </si>
  <si>
    <t>Rendimiento de Maquinaria</t>
  </si>
  <si>
    <t>6.</t>
  </si>
  <si>
    <t>Alertas y Anomalías</t>
  </si>
  <si>
    <t>VIAJES REGISTRADOS</t>
  </si>
  <si>
    <t>314</t>
  </si>
  <si>
    <t>EQUIPOS ACTIVOS</t>
  </si>
  <si>
    <t>95</t>
  </si>
  <si>
    <t>ALERTAS CRÍTICAS</t>
  </si>
  <si>
    <t>2</t>
  </si>
  <si>
    <t xml:space="preserve">  🛢️  CONTROL DE DIÉSEL — CONSUMO POR OBRA</t>
  </si>
  <si>
    <t>Obra / Centro de Trabajo</t>
  </si>
  <si>
    <t>Litros Consumidos</t>
  </si>
  <si>
    <t>No. Registros</t>
  </si>
  <si>
    <t>% del Total</t>
  </si>
  <si>
    <t>Sin asignar</t>
  </si>
  <si>
    <t>México-Toluca</t>
  </si>
  <si>
    <t>Lerma - Tres Marías</t>
  </si>
  <si>
    <t>Bacheo Toluca</t>
  </si>
  <si>
    <t>Chamapa-Lechería</t>
  </si>
  <si>
    <t xml:space="preserve">  📄  CONCILIACIÓN DE FACTURAS</t>
  </si>
  <si>
    <t>Folio</t>
  </si>
  <si>
    <t>Proveedor</t>
  </si>
  <si>
    <t>L. Facturados</t>
  </si>
  <si>
    <t>L. Registrados</t>
  </si>
  <si>
    <t>Diferencia</t>
  </si>
  <si>
    <t>Importe</t>
  </si>
  <si>
    <t>F-10021</t>
  </si>
  <si>
    <t>Gasolinera Huixquilucan</t>
  </si>
  <si>
    <t>F-TK-441</t>
  </si>
  <si>
    <t>Estación Chamapa</t>
  </si>
  <si>
    <t xml:space="preserve">  📈  TENDENCIA SEMANAL DE CONSUMO</t>
  </si>
  <si>
    <t>Sem 24</t>
  </si>
  <si>
    <t>Sem 25</t>
  </si>
  <si>
    <t>Sem 26</t>
  </si>
  <si>
    <t>Sem 27</t>
  </si>
  <si>
    <t xml:space="preserve">  🚛  PAGOS A SINDICATOS — RESUMEN</t>
  </si>
  <si>
    <t>Sindicato</t>
  </si>
  <si>
    <t>Viajes</t>
  </si>
  <si>
    <t>Subtotal</t>
  </si>
  <si>
    <t>Total con IVA</t>
  </si>
  <si>
    <t>EMULSIONES Y ASFALTOS JORGE</t>
  </si>
  <si>
    <t>COSUM-TOLUCA</t>
  </si>
  <si>
    <t>COSUM-HUIXQUILUCAN</t>
  </si>
  <si>
    <t>OBRAS PUBLICAS</t>
  </si>
  <si>
    <t>COSUM TOLUCA</t>
  </si>
  <si>
    <t xml:space="preserve">  📋  DETALLE POR SEMANA Y CATEGORÍA</t>
  </si>
  <si>
    <t>Obra</t>
  </si>
  <si>
    <t>Semana</t>
  </si>
  <si>
    <t>Categoría</t>
  </si>
  <si>
    <t>Total a Pagar</t>
  </si>
  <si>
    <t>FRESADO</t>
  </si>
  <si>
    <t>MEZCLA</t>
  </si>
  <si>
    <t>MEXICO-TOLUCA</t>
  </si>
  <si>
    <t>Mezcla</t>
  </si>
  <si>
    <t>Fresado</t>
  </si>
  <si>
    <t xml:space="preserve">  ⚡  RENDIMIENTO DE MAQUINARIA — SEMÁFORO</t>
  </si>
  <si>
    <t>Económico</t>
  </si>
  <si>
    <t>Equipo</t>
  </si>
  <si>
    <t>Horas</t>
  </si>
  <si>
    <t>Litros</t>
  </si>
  <si>
    <t>Real L/h</t>
  </si>
  <si>
    <t>Base L/h</t>
  </si>
  <si>
    <t>Desviación %</t>
  </si>
  <si>
    <t>PP-01</t>
  </si>
  <si>
    <t>PIPA DE AGUA (IMPACTO 01) FORD None</t>
  </si>
  <si>
    <t>NM-01</t>
  </si>
  <si>
    <t>NEUMATICO / COMPACTADOR DE NEUMATICOS DINAPAC CP271</t>
  </si>
  <si>
    <t>DR-01</t>
  </si>
  <si>
    <t>DOBLE RODILLO/VIBROCOMPACTADOR DE RODILLOS HAMM 120HD VV</t>
  </si>
  <si>
    <t>RT-03</t>
  </si>
  <si>
    <t>RETROEXCAVADORA CASE 580 N</t>
  </si>
  <si>
    <t>VG-02</t>
  </si>
  <si>
    <t>PAVIMENTADORA VOGELE 1800-2 SJ</t>
  </si>
  <si>
    <t>VG-03</t>
  </si>
  <si>
    <t>PAVIMENTADORA VOGELE SJ 1800-3</t>
  </si>
  <si>
    <t>PR-01</t>
  </si>
  <si>
    <t>PERFILADORA RODATEC RX600-4-4008</t>
  </si>
  <si>
    <t>BR-01</t>
  </si>
  <si>
    <t>BARREDORA BROCE RJ350</t>
  </si>
  <si>
    <t>VC-01</t>
  </si>
  <si>
    <t>VIBROCOMPACTADOR CATERPILLAR CB66B</t>
  </si>
  <si>
    <t>NM-02</t>
  </si>
  <si>
    <t>NEUMATICO VOLVO PT-240R</t>
  </si>
  <si>
    <t>CPR-01</t>
  </si>
  <si>
    <t>COMPRESOR SULLIVAN PALATEK D2010</t>
  </si>
  <si>
    <t>RT-04</t>
  </si>
  <si>
    <t>RETROEXCAVADORA CASE 420DN</t>
  </si>
  <si>
    <t>BR-05</t>
  </si>
  <si>
    <t>BARREDORA BROCE BROOM KR350</t>
  </si>
  <si>
    <t>RT-05</t>
  </si>
  <si>
    <t>RETROEXCAVADORA JHONDEREE 310SK</t>
  </si>
  <si>
    <t>CI-01</t>
  </si>
  <si>
    <t>IMPACTO FORD 4300</t>
  </si>
  <si>
    <t>PT-02</t>
  </si>
  <si>
    <t>PETROLIZADORA INTERNATIONAL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</si>
</sst>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+0.0%;\-0.0%;0.0%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4"/>
      <color rgb="FF93C5FD"/>
      <name val="Calibri"/>
    </font>
    <font>
      <i/>
      <sz val="11"/>
      <color rgb="FF64748B"/>
      <name val="Calibri"/>
    </font>
    <font>
      <b/>
      <sz val="9"/>
      <color rgb="FFFFFFFF"/>
      <name val="Calibri"/>
    </font>
    <font>
      <b/>
      <sz val="18"/>
      <color rgb="FFFFFFFF"/>
      <name val="Calibri"/>
    </font>
    <font>
      <b/>
      <sz val="11"/>
      <color rgb="FF93C5FD"/>
      <name val="Calibri"/>
    </font>
    <font>
      <b/>
      <sz val="10"/>
      <color rgb="FF3B82F6"/>
      <name val="Calibri"/>
    </font>
    <font>
      <sz val="10"/>
      <color rgb="FFFFFFFF"/>
      <name val="Calibri"/>
    </font>
    <font>
      <b/>
      <sz val="12"/>
      <color rgb="FFFFFFFF"/>
      <name val="Calibri"/>
    </font>
    <font>
      <sz val="10"/>
      <color rgb="FF1E293B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6366F1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F4444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7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64" fontId="10" fillId="9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3" fontId="10" fillId="10" borderId="1" xfId="0" applyNumberFormat="1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166" fontId="10" fillId="9" borderId="1" xfId="0" applyNumberFormat="1" applyFont="1" applyFill="1" applyBorder="1" applyAlignment="1">
      <alignment horizontal="right" vertical="center"/>
    </xf>
    <xf numFmtId="166" fontId="10" fillId="10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right" vertical="center"/>
    </xf>
    <xf numFmtId="165" fontId="10" fillId="11" borderId="1" xfId="0" applyNumberFormat="1" applyFont="1" applyFill="1" applyBorder="1" applyAlignment="1">
      <alignment horizontal="right" vertical="center"/>
    </xf>
    <xf numFmtId="0" fontId="10" fillId="12" borderId="1" xfId="0" applyFont="1" applyFill="1" applyBorder="1" applyAlignment="1">
      <alignment horizontal="left" vertical="center"/>
    </xf>
    <xf numFmtId="164" fontId="10" fillId="12" borderId="1" xfId="0" applyNumberFormat="1" applyFont="1" applyFill="1" applyBorder="1" applyAlignment="1">
      <alignment horizontal="right" vertical="center"/>
    </xf>
    <xf numFmtId="165" fontId="10" fillId="12" borderId="1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8" fillId="2" borderId="0" xfId="0" applyFont="1" applyFill="1"/>
    <xf numFmtId="0" fontId="0" fillId="0" borderId="0" xfId="0"/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/>
    <xf numFmtId="0" fontId="4" fillId="6" borderId="0" xfId="0" applyFont="1" applyFill="1" applyAlignment="1">
      <alignment horizontal="center" vertical="center"/>
    </xf>
    <xf numFmtId="0" fontId="0" fillId="6" borderId="0" xfId="0" applyFill="1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Litros de Diésel por Semana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'🛢 Diésel'!$A$19:$A$22</c:f>
              <c:strCache>
                <c:ptCount val="4"/>
                <c:pt idx="0">
                  <c:v>Sem 24</c:v>
                </c:pt>
                <c:pt idx="1">
                  <c:v>Sem 25</c:v>
                </c:pt>
                <c:pt idx="2">
                  <c:v>Sem 26</c:v>
                </c:pt>
                <c:pt idx="3">
                  <c:v>Sem 27</c:v>
                </c:pt>
              </c:strCache>
            </c:strRef>
          </c:cat>
          <c:val>
            <c:numRef>
              <c:f>'🛢 Diésel'!$B$19:$B$22</c:f>
              <c:numCache>
                <c:formatCode>General</c:formatCode>
                <c:ptCount val="4"/>
                <c:pt idx="0">
                  <c:v>4697</c:v>
                </c:pt>
                <c:pt idx="1">
                  <c:v>7221</c:v>
                </c:pt>
                <c:pt idx="2">
                  <c:v>8317</c:v>
                </c:pt>
                <c:pt idx="3">
                  <c:v>3292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09-469B-84C2-2ECBA90C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showGridLines="0" tabSelected="1" workbookViewId="0">
      <selection activeCell="C12" sqref="C12:E12"/>
    </sheetView>
  </sheetViews>
  <sheetFormatPr baseColWidth="10" defaultColWidth="8.88671875" defaultRowHeight="14.4" x14ac:dyDescent="0.3"/>
  <cols>
    <col min="1" max="1" width="14" customWidth="1"/>
    <col min="2" max="2" width="2" customWidth="1"/>
    <col min="3" max="5" width="14" customWidth="1"/>
    <col min="6" max="6" width="3" customWidth="1"/>
    <col min="7" max="11" width="14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9.95" customHeight="1" x14ac:dyDescent="0.3">
      <c r="A3" s="1"/>
      <c r="B3" s="36" t="s">
        <v>0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5.95" customHeight="1" x14ac:dyDescent="0.3">
      <c r="A5" s="1"/>
      <c r="B5" s="30" t="s">
        <v>1</v>
      </c>
      <c r="C5" s="24"/>
      <c r="D5" s="24"/>
      <c r="E5" s="24"/>
      <c r="F5" s="24"/>
      <c r="G5" s="24"/>
      <c r="H5" s="24"/>
      <c r="I5" s="24"/>
      <c r="J5" s="24"/>
      <c r="K5" s="24"/>
    </row>
    <row r="6" spans="1:11" ht="22.05" customHeight="1" x14ac:dyDescent="0.3">
      <c r="A6" s="1"/>
      <c r="B6" s="26" t="s">
        <v>2</v>
      </c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" customHeight="1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31" t="s">
        <v>3</v>
      </c>
      <c r="D11" s="29"/>
      <c r="E11" s="29"/>
      <c r="F11" s="1"/>
      <c r="G11" s="25" t="s">
        <v>4</v>
      </c>
      <c r="H11" s="24"/>
      <c r="I11" s="24"/>
      <c r="J11" s="24"/>
      <c r="K11" s="24"/>
    </row>
    <row r="12" spans="1:11" ht="31.95" customHeight="1" x14ac:dyDescent="0.3">
      <c r="A12" s="1"/>
      <c r="B12" s="1"/>
      <c r="C12" s="28" t="s">
        <v>5</v>
      </c>
      <c r="D12" s="29"/>
      <c r="E12" s="29"/>
      <c r="F12" s="1"/>
      <c r="G12" s="1"/>
      <c r="H12" s="1"/>
      <c r="I12" s="1"/>
      <c r="J12" s="1"/>
      <c r="K12" s="1"/>
    </row>
    <row r="13" spans="1:11" ht="18" customHeight="1" x14ac:dyDescent="0.3">
      <c r="A13" s="1"/>
      <c r="B13" s="1"/>
      <c r="C13" s="29"/>
      <c r="D13" s="29"/>
      <c r="E13" s="29"/>
      <c r="F13" s="1"/>
      <c r="G13" s="3" t="s">
        <v>6</v>
      </c>
      <c r="H13" s="23" t="s">
        <v>7</v>
      </c>
      <c r="I13" s="24"/>
      <c r="J13" s="24"/>
      <c r="K13" s="24"/>
    </row>
    <row r="14" spans="1:11" ht="18" customHeight="1" x14ac:dyDescent="0.3">
      <c r="A14" s="1"/>
      <c r="B14" s="1"/>
      <c r="C14" s="1"/>
      <c r="D14" s="1"/>
      <c r="E14" s="1"/>
      <c r="F14" s="1"/>
      <c r="G14" s="3" t="s">
        <v>8</v>
      </c>
      <c r="H14" s="23" t="s">
        <v>9</v>
      </c>
      <c r="I14" s="24"/>
      <c r="J14" s="24"/>
      <c r="K14" s="24"/>
    </row>
    <row r="15" spans="1:11" ht="18" customHeight="1" x14ac:dyDescent="0.3">
      <c r="A15" s="1"/>
      <c r="B15" s="1"/>
      <c r="C15" s="39" t="s">
        <v>10</v>
      </c>
      <c r="D15" s="22"/>
      <c r="E15" s="22"/>
      <c r="F15" s="1"/>
      <c r="G15" s="3" t="s">
        <v>11</v>
      </c>
      <c r="H15" s="23" t="s">
        <v>12</v>
      </c>
      <c r="I15" s="24"/>
      <c r="J15" s="24"/>
      <c r="K15" s="24"/>
    </row>
    <row r="16" spans="1:11" ht="18" customHeight="1" x14ac:dyDescent="0.3">
      <c r="A16" s="1"/>
      <c r="B16" s="1"/>
      <c r="C16" s="21" t="s">
        <v>13</v>
      </c>
      <c r="D16" s="22"/>
      <c r="E16" s="22"/>
      <c r="F16" s="1"/>
      <c r="G16" s="3" t="s">
        <v>14</v>
      </c>
      <c r="H16" s="23" t="s">
        <v>15</v>
      </c>
      <c r="I16" s="24"/>
      <c r="J16" s="24"/>
      <c r="K16" s="24"/>
    </row>
    <row r="17" spans="1:11" ht="18" customHeight="1" x14ac:dyDescent="0.3">
      <c r="A17" s="1"/>
      <c r="B17" s="1"/>
      <c r="C17" s="22"/>
      <c r="D17" s="22"/>
      <c r="E17" s="22"/>
      <c r="F17" s="1"/>
      <c r="G17" s="3" t="s">
        <v>16</v>
      </c>
      <c r="H17" s="23" t="s">
        <v>17</v>
      </c>
      <c r="I17" s="24"/>
      <c r="J17" s="24"/>
      <c r="K17" s="24"/>
    </row>
    <row r="18" spans="1:11" ht="18" customHeight="1" x14ac:dyDescent="0.3">
      <c r="A18" s="1"/>
      <c r="B18" s="1"/>
      <c r="C18" s="1"/>
      <c r="D18" s="1"/>
      <c r="E18" s="1"/>
      <c r="F18" s="1"/>
      <c r="G18" s="3" t="s">
        <v>18</v>
      </c>
      <c r="H18" s="23" t="s">
        <v>19</v>
      </c>
      <c r="I18" s="24"/>
      <c r="J18" s="24"/>
      <c r="K18" s="24"/>
    </row>
    <row r="19" spans="1:11" x14ac:dyDescent="0.3">
      <c r="A19" s="1"/>
      <c r="B19" s="1"/>
      <c r="C19" s="38" t="s">
        <v>20</v>
      </c>
      <c r="D19" s="27"/>
      <c r="E19" s="27"/>
      <c r="F19" s="1"/>
      <c r="G19" s="1"/>
      <c r="H19" s="1"/>
      <c r="I19" s="1"/>
      <c r="J19" s="1"/>
      <c r="K19" s="1"/>
    </row>
    <row r="20" spans="1:11" ht="31.95" customHeight="1" x14ac:dyDescent="0.3">
      <c r="A20" s="1"/>
      <c r="B20" s="1"/>
      <c r="C20" s="41" t="s">
        <v>21</v>
      </c>
      <c r="D20" s="27"/>
      <c r="E20" s="27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27"/>
      <c r="D21" s="27"/>
      <c r="E21" s="27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34" t="s">
        <v>22</v>
      </c>
      <c r="D23" s="35"/>
      <c r="E23" s="35"/>
      <c r="F23" s="1"/>
      <c r="G23" s="1"/>
      <c r="H23" s="1"/>
      <c r="I23" s="1"/>
      <c r="J23" s="1"/>
      <c r="K23" s="1"/>
    </row>
    <row r="24" spans="1:11" ht="31.95" customHeight="1" x14ac:dyDescent="0.3">
      <c r="A24" s="1"/>
      <c r="B24" s="1"/>
      <c r="C24" s="40" t="s">
        <v>23</v>
      </c>
      <c r="D24" s="35"/>
      <c r="E24" s="35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35"/>
      <c r="D25" s="35"/>
      <c r="E25" s="35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32" t="s">
        <v>24</v>
      </c>
      <c r="D27" s="33"/>
      <c r="E27" s="33"/>
      <c r="F27" s="1"/>
      <c r="G27" s="1"/>
      <c r="H27" s="1"/>
      <c r="I27" s="1"/>
      <c r="J27" s="1"/>
      <c r="K27" s="1"/>
    </row>
    <row r="28" spans="1:11" ht="31.95" customHeight="1" x14ac:dyDescent="0.3">
      <c r="A28" s="1"/>
      <c r="B28" s="1"/>
      <c r="C28" s="37" t="s">
        <v>25</v>
      </c>
      <c r="D28" s="33"/>
      <c r="E28" s="33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33"/>
      <c r="D29" s="33"/>
      <c r="E29" s="33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mergeCells count="25">
    <mergeCell ref="C29:E29"/>
    <mergeCell ref="C20:E20"/>
    <mergeCell ref="C25:E25"/>
    <mergeCell ref="B3:K3"/>
    <mergeCell ref="C28:E28"/>
    <mergeCell ref="C13:E13"/>
    <mergeCell ref="C19:E19"/>
    <mergeCell ref="C15:E15"/>
    <mergeCell ref="C24:E24"/>
    <mergeCell ref="H17:K17"/>
    <mergeCell ref="H16:K16"/>
    <mergeCell ref="B5:K5"/>
    <mergeCell ref="H18:K18"/>
    <mergeCell ref="H14:K14"/>
    <mergeCell ref="C11:E11"/>
    <mergeCell ref="C27:E27"/>
    <mergeCell ref="C23:E23"/>
    <mergeCell ref="C17:E17"/>
    <mergeCell ref="C16:E16"/>
    <mergeCell ref="H13:K13"/>
    <mergeCell ref="G11:K11"/>
    <mergeCell ref="B6:K6"/>
    <mergeCell ref="C21:E21"/>
    <mergeCell ref="H15:K15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0" customWidth="1"/>
    <col min="2" max="2" width="18" customWidth="1"/>
    <col min="3" max="3" width="14" customWidth="1"/>
    <col min="4" max="4" width="16" customWidth="1"/>
    <col min="5" max="5" width="14" customWidth="1"/>
    <col min="6" max="6" width="16" customWidth="1"/>
  </cols>
  <sheetData>
    <row r="1" spans="1:6" ht="28.05" customHeight="1" x14ac:dyDescent="0.3">
      <c r="A1" s="42" t="s">
        <v>26</v>
      </c>
      <c r="B1" s="24"/>
      <c r="C1" s="24"/>
      <c r="D1" s="24"/>
      <c r="E1" s="24"/>
      <c r="F1" s="24"/>
    </row>
    <row r="3" spans="1:6" ht="19.95" customHeight="1" x14ac:dyDescent="0.3">
      <c r="A3" s="4" t="s">
        <v>27</v>
      </c>
      <c r="B3" s="4" t="s">
        <v>28</v>
      </c>
      <c r="C3" s="4" t="s">
        <v>29</v>
      </c>
      <c r="D3" s="4" t="s">
        <v>30</v>
      </c>
      <c r="E3" s="4"/>
      <c r="F3" s="4"/>
    </row>
    <row r="4" spans="1:6" x14ac:dyDescent="0.3">
      <c r="A4" s="5" t="s">
        <v>31</v>
      </c>
      <c r="B4" s="6">
        <v>8049</v>
      </c>
      <c r="C4" s="7">
        <v>44</v>
      </c>
      <c r="D4" s="8">
        <v>0.34211756705062268</v>
      </c>
      <c r="E4" s="5"/>
      <c r="F4" s="5"/>
    </row>
    <row r="5" spans="1:6" x14ac:dyDescent="0.3">
      <c r="A5" s="9" t="s">
        <v>32</v>
      </c>
      <c r="B5" s="10">
        <v>6844</v>
      </c>
      <c r="C5" s="11">
        <v>92</v>
      </c>
      <c r="D5" s="12">
        <v>0.29089981723126618</v>
      </c>
      <c r="E5" s="9"/>
      <c r="F5" s="9"/>
    </row>
    <row r="6" spans="1:6" x14ac:dyDescent="0.3">
      <c r="A6" s="5" t="s">
        <v>33</v>
      </c>
      <c r="B6" s="6">
        <v>4454</v>
      </c>
      <c r="C6" s="7">
        <v>54</v>
      </c>
      <c r="D6" s="8">
        <v>0.1893144047264845</v>
      </c>
      <c r="E6" s="5"/>
      <c r="F6" s="5"/>
    </row>
    <row r="7" spans="1:6" x14ac:dyDescent="0.3">
      <c r="A7" s="9" t="s">
        <v>34</v>
      </c>
      <c r="B7" s="10">
        <v>2442</v>
      </c>
      <c r="C7" s="11">
        <v>22</v>
      </c>
      <c r="D7" s="12">
        <v>0.1037956390530029</v>
      </c>
      <c r="E7" s="9"/>
      <c r="F7" s="9"/>
    </row>
    <row r="8" spans="1:6" x14ac:dyDescent="0.3">
      <c r="A8" s="5" t="s">
        <v>35</v>
      </c>
      <c r="B8" s="6">
        <v>1738</v>
      </c>
      <c r="C8" s="7">
        <v>26</v>
      </c>
      <c r="D8" s="8">
        <v>7.3872571938623705E-2</v>
      </c>
      <c r="E8" s="5"/>
      <c r="F8" s="5"/>
    </row>
    <row r="10" spans="1:6" ht="28.05" customHeight="1" x14ac:dyDescent="0.3">
      <c r="A10" s="44" t="s">
        <v>36</v>
      </c>
      <c r="B10" s="24"/>
      <c r="C10" s="24"/>
      <c r="D10" s="24"/>
      <c r="E10" s="24"/>
      <c r="F10" s="24"/>
    </row>
    <row r="12" spans="1:6" ht="19.95" customHeight="1" x14ac:dyDescent="0.3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42</v>
      </c>
    </row>
    <row r="13" spans="1:6" x14ac:dyDescent="0.3">
      <c r="A13" s="5" t="s">
        <v>43</v>
      </c>
      <c r="B13" s="5" t="s">
        <v>44</v>
      </c>
      <c r="C13" s="6">
        <v>3000</v>
      </c>
      <c r="D13" s="6">
        <v>3000</v>
      </c>
      <c r="E13" s="6">
        <v>0</v>
      </c>
      <c r="F13" s="13">
        <v>95700</v>
      </c>
    </row>
    <row r="14" spans="1:6" x14ac:dyDescent="0.3">
      <c r="A14" s="9" t="s">
        <v>45</v>
      </c>
      <c r="B14" s="9" t="s">
        <v>46</v>
      </c>
      <c r="C14" s="10">
        <v>200</v>
      </c>
      <c r="D14" s="10">
        <v>200</v>
      </c>
      <c r="E14" s="10">
        <v>0</v>
      </c>
      <c r="F14" s="14">
        <v>5753.6</v>
      </c>
    </row>
    <row r="17" spans="1:6" ht="28.05" customHeight="1" x14ac:dyDescent="0.3">
      <c r="A17" s="43" t="s">
        <v>47</v>
      </c>
      <c r="B17" s="24"/>
      <c r="C17" s="24"/>
      <c r="D17" s="24"/>
      <c r="E17" s="24"/>
      <c r="F17" s="24"/>
    </row>
    <row r="19" spans="1:6" x14ac:dyDescent="0.3">
      <c r="A19" t="s">
        <v>48</v>
      </c>
      <c r="B19">
        <v>4697</v>
      </c>
    </row>
    <row r="20" spans="1:6" x14ac:dyDescent="0.3">
      <c r="A20" t="s">
        <v>49</v>
      </c>
      <c r="B20">
        <v>7221</v>
      </c>
    </row>
    <row r="21" spans="1:6" x14ac:dyDescent="0.3">
      <c r="A21" t="s">
        <v>50</v>
      </c>
      <c r="B21">
        <v>8317</v>
      </c>
    </row>
    <row r="22" spans="1:6" x14ac:dyDescent="0.3">
      <c r="A22" t="s">
        <v>51</v>
      </c>
      <c r="B22">
        <v>3292</v>
      </c>
    </row>
  </sheetData>
  <mergeCells count="3">
    <mergeCell ref="A1:F1"/>
    <mergeCell ref="A17:F17"/>
    <mergeCell ref="A10:F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0" customWidth="1"/>
    <col min="2" max="2" width="26" customWidth="1"/>
    <col min="3" max="3" width="10.88671875" bestFit="1" customWidth="1"/>
    <col min="4" max="4" width="14" customWidth="1"/>
    <col min="5" max="5" width="10" customWidth="1"/>
    <col min="6" max="6" width="16" customWidth="1"/>
  </cols>
  <sheetData>
    <row r="1" spans="1:6" ht="28.05" customHeight="1" x14ac:dyDescent="0.3">
      <c r="A1" s="42" t="s">
        <v>52</v>
      </c>
      <c r="B1" s="24"/>
      <c r="C1" s="24"/>
      <c r="D1" s="24"/>
      <c r="E1" s="24"/>
      <c r="F1" s="24"/>
    </row>
    <row r="3" spans="1:6" ht="19.95" customHeight="1" x14ac:dyDescent="0.3">
      <c r="A3" s="4" t="s">
        <v>53</v>
      </c>
      <c r="B3" s="4" t="s">
        <v>54</v>
      </c>
      <c r="C3" s="4" t="s">
        <v>55</v>
      </c>
      <c r="D3" s="4" t="s">
        <v>56</v>
      </c>
      <c r="E3" s="4"/>
      <c r="F3" s="4"/>
    </row>
    <row r="4" spans="1:6" x14ac:dyDescent="0.3">
      <c r="A4" s="5" t="s">
        <v>57</v>
      </c>
      <c r="B4" s="7">
        <v>84</v>
      </c>
      <c r="C4" s="13">
        <v>354187.2</v>
      </c>
      <c r="D4" s="13">
        <v>688694.4</v>
      </c>
      <c r="E4" s="5"/>
      <c r="F4" s="5"/>
    </row>
    <row r="5" spans="1:6" x14ac:dyDescent="0.3">
      <c r="A5" s="9" t="s">
        <v>58</v>
      </c>
      <c r="B5" s="11">
        <v>145</v>
      </c>
      <c r="C5" s="14">
        <v>352900</v>
      </c>
      <c r="D5" s="14">
        <v>409364</v>
      </c>
      <c r="E5" s="9"/>
      <c r="F5" s="9"/>
    </row>
    <row r="6" spans="1:6" x14ac:dyDescent="0.3">
      <c r="A6" s="5" t="s">
        <v>59</v>
      </c>
      <c r="B6" s="7">
        <v>42</v>
      </c>
      <c r="C6" s="13">
        <v>119700</v>
      </c>
      <c r="D6" s="13">
        <v>138852</v>
      </c>
      <c r="E6" s="5"/>
      <c r="F6" s="5"/>
    </row>
    <row r="7" spans="1:6" x14ac:dyDescent="0.3">
      <c r="A7" s="9" t="s">
        <v>60</v>
      </c>
      <c r="B7" s="11">
        <v>40</v>
      </c>
      <c r="C7" s="14">
        <v>114000</v>
      </c>
      <c r="D7" s="14">
        <v>132240</v>
      </c>
      <c r="E7" s="9"/>
      <c r="F7" s="9"/>
    </row>
    <row r="8" spans="1:6" x14ac:dyDescent="0.3">
      <c r="A8" s="5" t="s">
        <v>61</v>
      </c>
      <c r="B8" s="7">
        <v>3</v>
      </c>
      <c r="C8" s="13">
        <v>25830</v>
      </c>
      <c r="D8" s="13">
        <v>25830</v>
      </c>
      <c r="E8" s="5"/>
      <c r="F8" s="5"/>
    </row>
    <row r="11" spans="1:6" ht="28.05" customHeight="1" x14ac:dyDescent="0.3">
      <c r="A11" s="45" t="s">
        <v>62</v>
      </c>
      <c r="B11" s="24"/>
      <c r="C11" s="24"/>
      <c r="D11" s="24"/>
      <c r="E11" s="24"/>
      <c r="F11" s="24"/>
    </row>
    <row r="13" spans="1:6" ht="19.95" customHeight="1" x14ac:dyDescent="0.3">
      <c r="A13" s="4" t="s">
        <v>53</v>
      </c>
      <c r="B13" s="4" t="s">
        <v>63</v>
      </c>
      <c r="C13" s="4" t="s">
        <v>64</v>
      </c>
      <c r="D13" s="4" t="s">
        <v>65</v>
      </c>
      <c r="E13" s="4" t="s">
        <v>54</v>
      </c>
      <c r="F13" s="4" t="s">
        <v>66</v>
      </c>
    </row>
    <row r="14" spans="1:6" x14ac:dyDescent="0.3">
      <c r="A14" s="5" t="s">
        <v>57</v>
      </c>
      <c r="B14" s="5" t="s">
        <v>33</v>
      </c>
      <c r="C14" s="5" t="s">
        <v>49</v>
      </c>
      <c r="D14" s="5" t="s">
        <v>67</v>
      </c>
      <c r="E14" s="7">
        <v>45</v>
      </c>
      <c r="F14" s="13">
        <v>365400</v>
      </c>
    </row>
    <row r="15" spans="1:6" x14ac:dyDescent="0.3">
      <c r="A15" s="9" t="s">
        <v>57</v>
      </c>
      <c r="B15" s="9" t="s">
        <v>33</v>
      </c>
      <c r="C15" s="9" t="s">
        <v>49</v>
      </c>
      <c r="D15" s="9" t="s">
        <v>68</v>
      </c>
      <c r="E15" s="11">
        <v>39</v>
      </c>
      <c r="F15" s="14">
        <v>323294.40000000002</v>
      </c>
    </row>
    <row r="16" spans="1:6" x14ac:dyDescent="0.3">
      <c r="A16" s="5" t="s">
        <v>58</v>
      </c>
      <c r="B16" s="5" t="s">
        <v>69</v>
      </c>
      <c r="C16" s="5" t="s">
        <v>49</v>
      </c>
      <c r="D16" s="5" t="s">
        <v>67</v>
      </c>
      <c r="E16" s="7">
        <v>71</v>
      </c>
      <c r="F16" s="13">
        <v>164720</v>
      </c>
    </row>
    <row r="17" spans="1:6" x14ac:dyDescent="0.3">
      <c r="A17" s="9" t="s">
        <v>59</v>
      </c>
      <c r="B17" s="9" t="s">
        <v>69</v>
      </c>
      <c r="C17" s="9" t="s">
        <v>49</v>
      </c>
      <c r="D17" s="9" t="s">
        <v>68</v>
      </c>
      <c r="E17" s="11">
        <v>42</v>
      </c>
      <c r="F17" s="14">
        <v>138852</v>
      </c>
    </row>
    <row r="18" spans="1:6" x14ac:dyDescent="0.3">
      <c r="A18" s="5" t="s">
        <v>58</v>
      </c>
      <c r="B18" s="5" t="s">
        <v>69</v>
      </c>
      <c r="C18" s="5" t="s">
        <v>49</v>
      </c>
      <c r="D18" s="5" t="s">
        <v>68</v>
      </c>
      <c r="E18" s="7">
        <v>27</v>
      </c>
      <c r="F18" s="13">
        <v>89262</v>
      </c>
    </row>
    <row r="19" spans="1:6" x14ac:dyDescent="0.3">
      <c r="A19" s="9" t="s">
        <v>58</v>
      </c>
      <c r="B19" s="9" t="s">
        <v>34</v>
      </c>
      <c r="C19" s="9" t="s">
        <v>50</v>
      </c>
      <c r="D19" s="9" t="s">
        <v>68</v>
      </c>
      <c r="E19" s="11">
        <v>26</v>
      </c>
      <c r="F19" s="14">
        <v>85956</v>
      </c>
    </row>
    <row r="20" spans="1:6" x14ac:dyDescent="0.3">
      <c r="A20" s="5" t="s">
        <v>60</v>
      </c>
      <c r="B20" s="5" t="s">
        <v>34</v>
      </c>
      <c r="C20" s="5" t="s">
        <v>50</v>
      </c>
      <c r="D20" s="5" t="s">
        <v>68</v>
      </c>
      <c r="E20" s="7">
        <v>22</v>
      </c>
      <c r="F20" s="13">
        <v>72732</v>
      </c>
    </row>
    <row r="21" spans="1:6" x14ac:dyDescent="0.3">
      <c r="A21" s="9" t="s">
        <v>58</v>
      </c>
      <c r="B21" s="9" t="s">
        <v>34</v>
      </c>
      <c r="C21" s="9" t="s">
        <v>49</v>
      </c>
      <c r="D21" s="9" t="s">
        <v>68</v>
      </c>
      <c r="E21" s="11">
        <v>21</v>
      </c>
      <c r="F21" s="14">
        <v>69426</v>
      </c>
    </row>
    <row r="22" spans="1:6" x14ac:dyDescent="0.3">
      <c r="A22" s="5" t="s">
        <v>60</v>
      </c>
      <c r="B22" s="5" t="s">
        <v>34</v>
      </c>
      <c r="C22" s="5" t="s">
        <v>49</v>
      </c>
      <c r="D22" s="5" t="s">
        <v>68</v>
      </c>
      <c r="E22" s="7">
        <v>18</v>
      </c>
      <c r="F22" s="13">
        <v>59508</v>
      </c>
    </row>
    <row r="23" spans="1:6" x14ac:dyDescent="0.3">
      <c r="A23" s="9" t="s">
        <v>61</v>
      </c>
      <c r="B23" s="9" t="s">
        <v>32</v>
      </c>
      <c r="C23" s="9" t="s">
        <v>51</v>
      </c>
      <c r="D23" s="9" t="s">
        <v>70</v>
      </c>
      <c r="E23" s="11">
        <v>2</v>
      </c>
      <c r="F23" s="14">
        <v>17500</v>
      </c>
    </row>
    <row r="24" spans="1:6" x14ac:dyDescent="0.3">
      <c r="A24" s="5" t="s">
        <v>61</v>
      </c>
      <c r="B24" s="5" t="s">
        <v>32</v>
      </c>
      <c r="C24" s="5" t="s">
        <v>51</v>
      </c>
      <c r="D24" s="5" t="s">
        <v>71</v>
      </c>
      <c r="E24" s="7">
        <v>1</v>
      </c>
      <c r="F24" s="13">
        <v>8330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workbookViewId="0">
      <selection sqref="A1:I1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22" customWidth="1"/>
    <col min="4" max="4" width="9" customWidth="1"/>
    <col min="5" max="6" width="8" customWidth="1"/>
    <col min="7" max="8" width="9" customWidth="1"/>
    <col min="9" max="9" width="13" customWidth="1"/>
  </cols>
  <sheetData>
    <row r="1" spans="1:9" ht="28.05" customHeight="1" x14ac:dyDescent="0.3">
      <c r="A1" s="42" t="s">
        <v>72</v>
      </c>
      <c r="B1" s="24"/>
      <c r="C1" s="24"/>
      <c r="D1" s="24"/>
      <c r="E1" s="24"/>
      <c r="F1" s="24"/>
      <c r="G1" s="24"/>
      <c r="H1" s="24"/>
      <c r="I1" s="24"/>
    </row>
    <row r="3" spans="1:9" ht="19.95" customHeight="1" x14ac:dyDescent="0.3">
      <c r="A3" s="4" t="s">
        <v>73</v>
      </c>
      <c r="B3" s="4" t="s">
        <v>74</v>
      </c>
      <c r="C3" s="4" t="s">
        <v>63</v>
      </c>
      <c r="D3" s="4" t="s">
        <v>64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</row>
    <row r="4" spans="1:9" x14ac:dyDescent="0.3">
      <c r="A4" s="15" t="s">
        <v>80</v>
      </c>
      <c r="B4" s="15" t="s">
        <v>81</v>
      </c>
      <c r="C4" s="15" t="s">
        <v>33</v>
      </c>
      <c r="D4" s="15" t="s">
        <v>49</v>
      </c>
      <c r="E4" s="16">
        <v>24</v>
      </c>
      <c r="F4" s="16">
        <v>230</v>
      </c>
      <c r="G4" s="16">
        <v>9</v>
      </c>
      <c r="H4" s="16">
        <v>3.5</v>
      </c>
      <c r="I4" s="17">
        <v>1.571</v>
      </c>
    </row>
    <row r="5" spans="1:9" x14ac:dyDescent="0.3">
      <c r="A5" s="15" t="s">
        <v>82</v>
      </c>
      <c r="B5" s="15" t="s">
        <v>83</v>
      </c>
      <c r="C5" s="15" t="s">
        <v>33</v>
      </c>
      <c r="D5" s="15" t="s">
        <v>49</v>
      </c>
      <c r="E5" s="16">
        <v>20</v>
      </c>
      <c r="F5" s="16">
        <v>254</v>
      </c>
      <c r="G5" s="16">
        <v>12</v>
      </c>
      <c r="H5" s="16">
        <v>9.5</v>
      </c>
      <c r="I5" s="17">
        <v>0.26300000000000001</v>
      </c>
    </row>
    <row r="6" spans="1:9" x14ac:dyDescent="0.3">
      <c r="A6" s="18" t="s">
        <v>84</v>
      </c>
      <c r="B6" s="18" t="s">
        <v>85</v>
      </c>
      <c r="C6" s="18" t="s">
        <v>33</v>
      </c>
      <c r="D6" s="18" t="s">
        <v>49</v>
      </c>
      <c r="E6" s="19">
        <v>19</v>
      </c>
      <c r="F6" s="19">
        <v>33</v>
      </c>
      <c r="G6" s="19">
        <v>1</v>
      </c>
      <c r="H6" s="19">
        <v>12</v>
      </c>
      <c r="I6" s="20">
        <v>0</v>
      </c>
    </row>
    <row r="7" spans="1:9" x14ac:dyDescent="0.3">
      <c r="A7" s="18" t="s">
        <v>86</v>
      </c>
      <c r="B7" s="18" t="s">
        <v>87</v>
      </c>
      <c r="C7" s="18" t="s">
        <v>33</v>
      </c>
      <c r="D7" s="18" t="s">
        <v>49</v>
      </c>
      <c r="E7" s="19">
        <v>18</v>
      </c>
      <c r="F7" s="19">
        <v>0</v>
      </c>
      <c r="G7" s="19">
        <v>0</v>
      </c>
      <c r="H7" s="19">
        <v>6.5</v>
      </c>
      <c r="I7" s="20">
        <v>-1</v>
      </c>
    </row>
    <row r="8" spans="1:9" x14ac:dyDescent="0.3">
      <c r="A8" s="18" t="s">
        <v>86</v>
      </c>
      <c r="B8" s="18" t="s">
        <v>87</v>
      </c>
      <c r="C8" s="18" t="s">
        <v>34</v>
      </c>
      <c r="D8" s="18" t="s">
        <v>49</v>
      </c>
      <c r="E8" s="19">
        <v>49</v>
      </c>
      <c r="F8" s="19">
        <v>0</v>
      </c>
      <c r="G8" s="19">
        <v>0</v>
      </c>
      <c r="H8" s="19">
        <v>6.5</v>
      </c>
      <c r="I8" s="20">
        <v>-1</v>
      </c>
    </row>
    <row r="9" spans="1:9" x14ac:dyDescent="0.3">
      <c r="A9" s="18" t="s">
        <v>88</v>
      </c>
      <c r="B9" s="18" t="s">
        <v>89</v>
      </c>
      <c r="C9" s="18" t="s">
        <v>33</v>
      </c>
      <c r="D9" s="18" t="s">
        <v>49</v>
      </c>
      <c r="E9" s="19">
        <v>19</v>
      </c>
      <c r="F9" s="19">
        <v>0</v>
      </c>
      <c r="G9" s="19">
        <v>0</v>
      </c>
      <c r="H9" s="19">
        <v>14.5</v>
      </c>
      <c r="I9" s="20">
        <v>-1</v>
      </c>
    </row>
    <row r="10" spans="1:9" x14ac:dyDescent="0.3">
      <c r="A10" s="18" t="s">
        <v>90</v>
      </c>
      <c r="B10" s="18" t="s">
        <v>91</v>
      </c>
      <c r="C10" s="18" t="s">
        <v>32</v>
      </c>
      <c r="D10" s="18" t="s">
        <v>49</v>
      </c>
      <c r="E10" s="19">
        <v>34</v>
      </c>
      <c r="F10" s="19">
        <v>0</v>
      </c>
      <c r="G10" s="19">
        <v>0</v>
      </c>
      <c r="H10" s="19">
        <v>14.5</v>
      </c>
      <c r="I10" s="20">
        <v>-1</v>
      </c>
    </row>
    <row r="11" spans="1:9" x14ac:dyDescent="0.3">
      <c r="A11" s="18" t="s">
        <v>92</v>
      </c>
      <c r="B11" s="18" t="s">
        <v>93</v>
      </c>
      <c r="C11" s="18" t="s">
        <v>33</v>
      </c>
      <c r="D11" s="18" t="s">
        <v>49</v>
      </c>
      <c r="E11" s="19">
        <v>18</v>
      </c>
      <c r="F11" s="19">
        <v>0</v>
      </c>
      <c r="G11" s="19">
        <v>0</v>
      </c>
      <c r="H11" s="19">
        <v>65</v>
      </c>
      <c r="I11" s="20">
        <v>-1</v>
      </c>
    </row>
    <row r="12" spans="1:9" x14ac:dyDescent="0.3">
      <c r="A12" s="18" t="s">
        <v>92</v>
      </c>
      <c r="B12" s="18" t="s">
        <v>93</v>
      </c>
      <c r="C12" s="18" t="s">
        <v>34</v>
      </c>
      <c r="D12" s="18" t="s">
        <v>49</v>
      </c>
      <c r="E12" s="19">
        <v>8</v>
      </c>
      <c r="F12" s="19">
        <v>0</v>
      </c>
      <c r="G12" s="19">
        <v>0</v>
      </c>
      <c r="H12" s="19">
        <v>65</v>
      </c>
      <c r="I12" s="20">
        <v>-1</v>
      </c>
    </row>
    <row r="13" spans="1:9" x14ac:dyDescent="0.3">
      <c r="A13" s="18" t="s">
        <v>94</v>
      </c>
      <c r="B13" s="18" t="s">
        <v>95</v>
      </c>
      <c r="C13" s="18" t="s">
        <v>32</v>
      </c>
      <c r="D13" s="18" t="s">
        <v>49</v>
      </c>
      <c r="E13" s="19">
        <v>33</v>
      </c>
      <c r="F13" s="19">
        <v>0</v>
      </c>
      <c r="G13" s="19">
        <v>0</v>
      </c>
      <c r="H13" s="19">
        <v>7.5</v>
      </c>
      <c r="I13" s="20">
        <v>-1</v>
      </c>
    </row>
    <row r="14" spans="1:9" x14ac:dyDescent="0.3">
      <c r="A14" s="18" t="s">
        <v>84</v>
      </c>
      <c r="B14" s="18" t="s">
        <v>85</v>
      </c>
      <c r="C14" s="18" t="s">
        <v>34</v>
      </c>
      <c r="D14" s="18" t="s">
        <v>49</v>
      </c>
      <c r="E14" s="19">
        <v>4</v>
      </c>
      <c r="F14" s="19">
        <v>0</v>
      </c>
      <c r="G14" s="19">
        <v>0</v>
      </c>
      <c r="H14" s="19">
        <v>12</v>
      </c>
      <c r="I14" s="20">
        <v>-1</v>
      </c>
    </row>
    <row r="15" spans="1:9" x14ac:dyDescent="0.3">
      <c r="A15" s="18" t="s">
        <v>96</v>
      </c>
      <c r="B15" s="18" t="s">
        <v>97</v>
      </c>
      <c r="C15" s="18" t="s">
        <v>32</v>
      </c>
      <c r="D15" s="18" t="s">
        <v>49</v>
      </c>
      <c r="E15" s="19">
        <v>39</v>
      </c>
      <c r="F15" s="19">
        <v>0</v>
      </c>
      <c r="G15" s="19">
        <v>0</v>
      </c>
      <c r="H15" s="19">
        <v>12</v>
      </c>
      <c r="I15" s="20">
        <v>-1</v>
      </c>
    </row>
    <row r="16" spans="1:9" x14ac:dyDescent="0.3">
      <c r="A16" s="18" t="s">
        <v>98</v>
      </c>
      <c r="B16" s="18" t="s">
        <v>99</v>
      </c>
      <c r="C16" s="18" t="s">
        <v>32</v>
      </c>
      <c r="D16" s="18" t="s">
        <v>49</v>
      </c>
      <c r="E16" s="19">
        <v>39</v>
      </c>
      <c r="F16" s="19">
        <v>0</v>
      </c>
      <c r="G16" s="19">
        <v>0</v>
      </c>
      <c r="H16" s="19">
        <v>9.5</v>
      </c>
      <c r="I16" s="20">
        <v>-1</v>
      </c>
    </row>
    <row r="17" spans="1:9" x14ac:dyDescent="0.3">
      <c r="A17" s="18" t="s">
        <v>100</v>
      </c>
      <c r="B17" s="18" t="s">
        <v>101</v>
      </c>
      <c r="C17" s="18" t="s">
        <v>33</v>
      </c>
      <c r="D17" s="18" t="s">
        <v>49</v>
      </c>
      <c r="E17" s="19">
        <v>9</v>
      </c>
      <c r="F17" s="19">
        <v>0</v>
      </c>
      <c r="G17" s="19">
        <v>0</v>
      </c>
      <c r="H17" s="19">
        <v>9</v>
      </c>
      <c r="I17" s="20">
        <v>-1</v>
      </c>
    </row>
    <row r="18" spans="1:9" x14ac:dyDescent="0.3">
      <c r="A18" s="18" t="s">
        <v>102</v>
      </c>
      <c r="B18" s="18" t="s">
        <v>103</v>
      </c>
      <c r="C18" s="18" t="s">
        <v>34</v>
      </c>
      <c r="D18" s="18" t="s">
        <v>49</v>
      </c>
      <c r="E18" s="19">
        <v>21</v>
      </c>
      <c r="F18" s="19">
        <v>0</v>
      </c>
      <c r="G18" s="19">
        <v>0</v>
      </c>
      <c r="H18" s="19">
        <v>6.5</v>
      </c>
      <c r="I18" s="20">
        <v>-1</v>
      </c>
    </row>
    <row r="19" spans="1:9" x14ac:dyDescent="0.3">
      <c r="A19" s="18" t="s">
        <v>104</v>
      </c>
      <c r="B19" s="18" t="s">
        <v>105</v>
      </c>
      <c r="C19" s="18" t="s">
        <v>33</v>
      </c>
      <c r="D19" s="18" t="s">
        <v>49</v>
      </c>
      <c r="E19" s="19">
        <v>18</v>
      </c>
      <c r="F19" s="19">
        <v>0</v>
      </c>
      <c r="G19" s="19">
        <v>0</v>
      </c>
      <c r="H19" s="19">
        <v>7.5</v>
      </c>
      <c r="I19" s="20">
        <v>-1</v>
      </c>
    </row>
    <row r="20" spans="1:9" x14ac:dyDescent="0.3">
      <c r="A20" s="18" t="s">
        <v>106</v>
      </c>
      <c r="B20" s="18" t="s">
        <v>107</v>
      </c>
      <c r="C20" s="18" t="s">
        <v>32</v>
      </c>
      <c r="D20" s="18" t="s">
        <v>49</v>
      </c>
      <c r="E20" s="19">
        <v>34</v>
      </c>
      <c r="F20" s="19">
        <v>0</v>
      </c>
      <c r="G20" s="19">
        <v>0</v>
      </c>
      <c r="H20" s="19">
        <v>6.5</v>
      </c>
      <c r="I20" s="20">
        <v>-1</v>
      </c>
    </row>
    <row r="21" spans="1:9" x14ac:dyDescent="0.3">
      <c r="A21" s="18" t="s">
        <v>108</v>
      </c>
      <c r="B21" s="18" t="s">
        <v>109</v>
      </c>
      <c r="C21" s="18" t="s">
        <v>33</v>
      </c>
      <c r="D21" s="18" t="s">
        <v>49</v>
      </c>
      <c r="E21" s="19">
        <v>20</v>
      </c>
      <c r="F21" s="19">
        <v>0</v>
      </c>
      <c r="G21" s="19">
        <v>0</v>
      </c>
      <c r="H21" s="19">
        <v>3.5</v>
      </c>
      <c r="I21" s="20">
        <v>-1</v>
      </c>
    </row>
    <row r="22" spans="1:9" x14ac:dyDescent="0.3">
      <c r="A22" s="18" t="s">
        <v>110</v>
      </c>
      <c r="B22" s="18" t="s">
        <v>111</v>
      </c>
      <c r="C22" s="18" t="s">
        <v>32</v>
      </c>
      <c r="D22" s="18" t="s">
        <v>49</v>
      </c>
      <c r="E22" s="19">
        <v>20</v>
      </c>
      <c r="F22" s="19">
        <v>0</v>
      </c>
      <c r="G22" s="19">
        <v>0</v>
      </c>
      <c r="H22" s="19">
        <v>10</v>
      </c>
      <c r="I22" s="20">
        <v>-1</v>
      </c>
    </row>
    <row r="23" spans="1:9" x14ac:dyDescent="0.3">
      <c r="A23" s="18" t="s">
        <v>110</v>
      </c>
      <c r="B23" s="18" t="s">
        <v>111</v>
      </c>
      <c r="C23" s="18" t="s">
        <v>33</v>
      </c>
      <c r="D23" s="18" t="s">
        <v>49</v>
      </c>
      <c r="E23" s="19">
        <v>20</v>
      </c>
      <c r="F23" s="19">
        <v>0</v>
      </c>
      <c r="G23" s="19">
        <v>0</v>
      </c>
      <c r="H23" s="19">
        <v>10</v>
      </c>
      <c r="I23" s="20">
        <v>-1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🛢 Diésel</vt:lpstr>
      <vt:lpstr>🚛 Acarreos</vt:lpstr>
      <vt:lpstr>⚡ 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2026-07-01T19:57:24Z</dcterms:created>
  <dcterms:modified xsi:type="dcterms:W3CDTF">2026-07-01T20:19:26Z</dcterms:modified>
</cp:coreProperties>
</file>